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mitriy/devops/misc/thesis/4.2/"/>
    </mc:Choice>
  </mc:AlternateContent>
  <xr:revisionPtr revIDLastSave="0" documentId="13_ncr:1_{365E4B20-E9F3-AD47-B192-5D3C37EAF1B2}" xr6:coauthVersionLast="47" xr6:coauthVersionMax="47" xr10:uidLastSave="{00000000-0000-0000-0000-000000000000}"/>
  <bookViews>
    <workbookView xWindow="-100" yWindow="760" windowWidth="23260" windowHeight="12460" activeTab="1" xr2:uid="{00000000-000D-0000-FFFF-FFFF00000000}"/>
  </bookViews>
  <sheets>
    <sheet name="Rolling Aplha" sheetId="7" r:id="rId1"/>
    <sheet name="Up-Down Scatter Plot" sheetId="9" r:id="rId2"/>
    <sheet name="Risk-free rate" sheetId="8" r:id="rId3"/>
    <sheet name="GSCEQBA_Monthly" sheetId="6" r:id="rId4"/>
    <sheet name="MSCI_World_Index_Monthly" sheetId="5" r:id="rId5"/>
    <sheet name="Metrics_Monthly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6" i="7"/>
  <c r="J17" i="7"/>
  <c r="J18" i="7"/>
  <c r="J19" i="7"/>
  <c r="J20" i="7"/>
  <c r="J21" i="7"/>
  <c r="J22" i="7"/>
  <c r="J23" i="7"/>
  <c r="J24" i="7"/>
  <c r="J25" i="7"/>
  <c r="J14" i="7"/>
  <c r="I15" i="7"/>
  <c r="I16" i="7"/>
  <c r="I17" i="7"/>
  <c r="I18" i="7"/>
  <c r="I19" i="7"/>
  <c r="I20" i="7"/>
  <c r="I21" i="7"/>
  <c r="I22" i="7"/>
  <c r="I23" i="7"/>
  <c r="I24" i="7"/>
  <c r="I25" i="7"/>
  <c r="I14" i="7"/>
  <c r="H4" i="7"/>
  <c r="H5" i="7"/>
  <c r="H6" i="7"/>
  <c r="H7" i="7"/>
  <c r="H8" i="7"/>
  <c r="H9" i="7"/>
  <c r="H10" i="7"/>
  <c r="H11" i="7"/>
  <c r="H12" i="7"/>
  <c r="H13" i="7"/>
  <c r="H14" i="7"/>
  <c r="H3" i="7"/>
  <c r="G4" i="7"/>
  <c r="G5" i="7"/>
  <c r="G6" i="7"/>
  <c r="G7" i="7"/>
  <c r="G8" i="7"/>
  <c r="G9" i="7"/>
  <c r="G10" i="7"/>
  <c r="G11" i="7"/>
  <c r="G12" i="7"/>
  <c r="G13" i="7"/>
  <c r="G14" i="7"/>
  <c r="G3" i="7"/>
  <c r="F3" i="7"/>
  <c r="F4" i="7"/>
  <c r="F5" i="7"/>
  <c r="F6" i="7"/>
  <c r="F7" i="7"/>
  <c r="F8" i="7"/>
  <c r="F9" i="7"/>
  <c r="F10" i="7"/>
  <c r="F11" i="7"/>
  <c r="F12" i="7"/>
  <c r="F13" i="7"/>
  <c r="F2" i="7"/>
  <c r="E4" i="7"/>
  <c r="E5" i="7"/>
  <c r="E6" i="7"/>
  <c r="E7" i="7"/>
  <c r="E8" i="7"/>
  <c r="E9" i="7"/>
  <c r="E10" i="7"/>
  <c r="E11" i="7"/>
  <c r="E12" i="7"/>
  <c r="E13" i="7"/>
  <c r="E14" i="7"/>
  <c r="E3" i="7"/>
  <c r="D4" i="7"/>
  <c r="D5" i="7"/>
  <c r="D6" i="7"/>
  <c r="D7" i="7"/>
  <c r="D8" i="7"/>
  <c r="D9" i="7"/>
  <c r="D10" i="7"/>
  <c r="D11" i="7"/>
  <c r="D12" i="7"/>
  <c r="D13" i="7"/>
  <c r="D14" i="7"/>
  <c r="D3" i="7"/>
  <c r="C3" i="7"/>
  <c r="C4" i="7"/>
  <c r="C5" i="7"/>
  <c r="C6" i="7"/>
  <c r="C7" i="7"/>
  <c r="C8" i="7"/>
  <c r="C9" i="7"/>
  <c r="C10" i="7"/>
  <c r="C11" i="7"/>
  <c r="C12" i="7"/>
  <c r="C13" i="7"/>
  <c r="C2" i="7"/>
  <c r="B3" i="7"/>
  <c r="B4" i="7"/>
  <c r="B5" i="7"/>
  <c r="B6" i="7"/>
  <c r="B7" i="7"/>
  <c r="B8" i="7"/>
  <c r="B9" i="7"/>
  <c r="B10" i="7"/>
  <c r="B11" i="7"/>
  <c r="B12" i="7"/>
  <c r="B13" i="7"/>
  <c r="B2" i="7"/>
  <c r="A3" i="7"/>
  <c r="A4" i="7"/>
  <c r="A5" i="7"/>
  <c r="A6" i="7"/>
  <c r="A7" i="7"/>
  <c r="A8" i="7"/>
  <c r="A9" i="7"/>
  <c r="A10" i="7"/>
  <c r="A11" i="7"/>
  <c r="A12" i="7"/>
  <c r="A13" i="7"/>
  <c r="A2" i="7"/>
  <c r="F73" i="10"/>
  <c r="E73" i="10"/>
  <c r="H73" i="10" s="1"/>
  <c r="D73" i="10"/>
  <c r="G73" i="10" s="1"/>
  <c r="C73" i="10"/>
  <c r="B73" i="10"/>
  <c r="A73" i="10"/>
  <c r="F72" i="10"/>
  <c r="E72" i="10"/>
  <c r="H72" i="10" s="1"/>
  <c r="D72" i="10"/>
  <c r="G72" i="10" s="1"/>
  <c r="C72" i="10"/>
  <c r="B72" i="10"/>
  <c r="A72" i="10"/>
  <c r="G71" i="10"/>
  <c r="F71" i="10"/>
  <c r="E71" i="10"/>
  <c r="H71" i="10" s="1"/>
  <c r="D71" i="10"/>
  <c r="C71" i="10"/>
  <c r="B71" i="10"/>
  <c r="A71" i="10"/>
  <c r="G70" i="10"/>
  <c r="F70" i="10"/>
  <c r="E70" i="10"/>
  <c r="H70" i="10" s="1"/>
  <c r="D70" i="10"/>
  <c r="C70" i="10"/>
  <c r="B70" i="10"/>
  <c r="A70" i="10"/>
  <c r="G69" i="10"/>
  <c r="F69" i="10"/>
  <c r="E69" i="10"/>
  <c r="H69" i="10" s="1"/>
  <c r="D69" i="10"/>
  <c r="C69" i="10"/>
  <c r="B69" i="10"/>
  <c r="A69" i="10"/>
  <c r="G68" i="10"/>
  <c r="F68" i="10"/>
  <c r="E68" i="10"/>
  <c r="H68" i="10" s="1"/>
  <c r="D68" i="10"/>
  <c r="C68" i="10"/>
  <c r="B68" i="10"/>
  <c r="A68" i="10"/>
  <c r="G67" i="10"/>
  <c r="F67" i="10"/>
  <c r="E67" i="10"/>
  <c r="H67" i="10" s="1"/>
  <c r="D67" i="10"/>
  <c r="C67" i="10"/>
  <c r="B67" i="10"/>
  <c r="A67" i="10"/>
  <c r="G66" i="10"/>
  <c r="F66" i="10"/>
  <c r="E66" i="10"/>
  <c r="H66" i="10" s="1"/>
  <c r="D66" i="10"/>
  <c r="C66" i="10"/>
  <c r="B66" i="10"/>
  <c r="A66" i="10"/>
  <c r="G65" i="10"/>
  <c r="F65" i="10"/>
  <c r="E65" i="10"/>
  <c r="H65" i="10" s="1"/>
  <c r="D65" i="10"/>
  <c r="C65" i="10"/>
  <c r="B65" i="10"/>
  <c r="A65" i="10"/>
  <c r="G64" i="10"/>
  <c r="F64" i="10"/>
  <c r="E64" i="10"/>
  <c r="H64" i="10" s="1"/>
  <c r="D64" i="10"/>
  <c r="C64" i="10"/>
  <c r="B64" i="10"/>
  <c r="A64" i="10"/>
  <c r="G63" i="10"/>
  <c r="F63" i="10"/>
  <c r="E63" i="10"/>
  <c r="H63" i="10" s="1"/>
  <c r="D63" i="10"/>
  <c r="C63" i="10"/>
  <c r="B63" i="10"/>
  <c r="A63" i="10"/>
  <c r="G62" i="10"/>
  <c r="F62" i="10"/>
  <c r="E62" i="10"/>
  <c r="H62" i="10" s="1"/>
  <c r="D62" i="10"/>
  <c r="C62" i="10"/>
  <c r="B62" i="10"/>
  <c r="A62" i="10"/>
  <c r="G61" i="10"/>
  <c r="F61" i="10"/>
  <c r="E61" i="10"/>
  <c r="H61" i="10" s="1"/>
  <c r="D61" i="10"/>
  <c r="C61" i="10"/>
  <c r="B61" i="10"/>
  <c r="A61" i="10"/>
  <c r="G60" i="10"/>
  <c r="F60" i="10"/>
  <c r="E60" i="10"/>
  <c r="H60" i="10" s="1"/>
  <c r="D60" i="10"/>
  <c r="C60" i="10"/>
  <c r="B60" i="10"/>
  <c r="A60" i="10"/>
  <c r="G59" i="10"/>
  <c r="F59" i="10"/>
  <c r="E59" i="10"/>
  <c r="H59" i="10" s="1"/>
  <c r="D59" i="10"/>
  <c r="C59" i="10"/>
  <c r="B59" i="10"/>
  <c r="A59" i="10"/>
  <c r="G58" i="10"/>
  <c r="F58" i="10"/>
  <c r="E58" i="10"/>
  <c r="H58" i="10" s="1"/>
  <c r="D58" i="10"/>
  <c r="C58" i="10"/>
  <c r="B58" i="10"/>
  <c r="A58" i="10"/>
  <c r="G57" i="10"/>
  <c r="F57" i="10"/>
  <c r="E57" i="10"/>
  <c r="H57" i="10" s="1"/>
  <c r="D57" i="10"/>
  <c r="C57" i="10"/>
  <c r="B57" i="10"/>
  <c r="A57" i="10"/>
  <c r="G56" i="10"/>
  <c r="F56" i="10"/>
  <c r="E56" i="10"/>
  <c r="H56" i="10" s="1"/>
  <c r="D56" i="10"/>
  <c r="C56" i="10"/>
  <c r="B56" i="10"/>
  <c r="A56" i="10"/>
  <c r="G55" i="10"/>
  <c r="F55" i="10"/>
  <c r="E55" i="10"/>
  <c r="H55" i="10" s="1"/>
  <c r="D55" i="10"/>
  <c r="C55" i="10"/>
  <c r="B55" i="10"/>
  <c r="A55" i="10"/>
  <c r="G54" i="10"/>
  <c r="F54" i="10"/>
  <c r="E54" i="10"/>
  <c r="H54" i="10" s="1"/>
  <c r="D54" i="10"/>
  <c r="C54" i="10"/>
  <c r="B54" i="10"/>
  <c r="A54" i="10"/>
  <c r="G53" i="10"/>
  <c r="F53" i="10"/>
  <c r="E53" i="10"/>
  <c r="H53" i="10" s="1"/>
  <c r="D53" i="10"/>
  <c r="C53" i="10"/>
  <c r="B53" i="10"/>
  <c r="A53" i="10"/>
  <c r="G52" i="10"/>
  <c r="F52" i="10"/>
  <c r="E52" i="10"/>
  <c r="H52" i="10" s="1"/>
  <c r="D52" i="10"/>
  <c r="C52" i="10"/>
  <c r="B52" i="10"/>
  <c r="A52" i="10"/>
  <c r="G51" i="10"/>
  <c r="F51" i="10"/>
  <c r="E51" i="10"/>
  <c r="H51" i="10" s="1"/>
  <c r="D51" i="10"/>
  <c r="C51" i="10"/>
  <c r="B51" i="10"/>
  <c r="A51" i="10"/>
  <c r="G50" i="10"/>
  <c r="F50" i="10"/>
  <c r="E50" i="10"/>
  <c r="H50" i="10" s="1"/>
  <c r="D50" i="10"/>
  <c r="C50" i="10"/>
  <c r="B50" i="10"/>
  <c r="A50" i="10"/>
  <c r="G49" i="10"/>
  <c r="F49" i="10"/>
  <c r="E49" i="10"/>
  <c r="H49" i="10" s="1"/>
  <c r="D49" i="10"/>
  <c r="C49" i="10"/>
  <c r="B49" i="10"/>
  <c r="A49" i="10"/>
  <c r="G48" i="10"/>
  <c r="F48" i="10"/>
  <c r="E48" i="10"/>
  <c r="H48" i="10" s="1"/>
  <c r="D48" i="10"/>
  <c r="C48" i="10"/>
  <c r="B48" i="10"/>
  <c r="A48" i="10"/>
  <c r="F47" i="10"/>
  <c r="E47" i="10"/>
  <c r="H47" i="10" s="1"/>
  <c r="D47" i="10"/>
  <c r="G47" i="10" s="1"/>
  <c r="C47" i="10"/>
  <c r="B47" i="10"/>
  <c r="A47" i="10"/>
  <c r="F46" i="10"/>
  <c r="G46" i="10" s="1"/>
  <c r="E46" i="10"/>
  <c r="H46" i="10" s="1"/>
  <c r="D46" i="10"/>
  <c r="C46" i="10"/>
  <c r="B46" i="10"/>
  <c r="A46" i="10"/>
  <c r="H45" i="10"/>
  <c r="G45" i="10"/>
  <c r="F45" i="10"/>
  <c r="E45" i="10"/>
  <c r="D45" i="10"/>
  <c r="C45" i="10"/>
  <c r="B45" i="10"/>
  <c r="A45" i="10"/>
  <c r="G44" i="10"/>
  <c r="F44" i="10"/>
  <c r="E44" i="10"/>
  <c r="H44" i="10" s="1"/>
  <c r="D44" i="10"/>
  <c r="C44" i="10"/>
  <c r="B44" i="10"/>
  <c r="A44" i="10"/>
  <c r="G43" i="10"/>
  <c r="F43" i="10"/>
  <c r="E43" i="10"/>
  <c r="H43" i="10" s="1"/>
  <c r="D43" i="10"/>
  <c r="C43" i="10"/>
  <c r="B43" i="10"/>
  <c r="A43" i="10"/>
  <c r="F42" i="10"/>
  <c r="G42" i="10" s="1"/>
  <c r="E42" i="10"/>
  <c r="H42" i="10" s="1"/>
  <c r="D42" i="10"/>
  <c r="C42" i="10"/>
  <c r="B42" i="10"/>
  <c r="A42" i="10"/>
  <c r="H41" i="10"/>
  <c r="G41" i="10"/>
  <c r="F41" i="10"/>
  <c r="E41" i="10"/>
  <c r="D41" i="10"/>
  <c r="C41" i="10"/>
  <c r="B41" i="10"/>
  <c r="A41" i="10"/>
  <c r="G40" i="10"/>
  <c r="F40" i="10"/>
  <c r="E40" i="10"/>
  <c r="H40" i="10" s="1"/>
  <c r="D40" i="10"/>
  <c r="C40" i="10"/>
  <c r="B40" i="10"/>
  <c r="A40" i="10"/>
  <c r="G39" i="10"/>
  <c r="F39" i="10"/>
  <c r="E39" i="10"/>
  <c r="H39" i="10" s="1"/>
  <c r="D39" i="10"/>
  <c r="C39" i="10"/>
  <c r="B39" i="10"/>
  <c r="A39" i="10"/>
  <c r="F38" i="10"/>
  <c r="G38" i="10" s="1"/>
  <c r="E38" i="10"/>
  <c r="H38" i="10" s="1"/>
  <c r="D38" i="10"/>
  <c r="C38" i="10"/>
  <c r="B38" i="10"/>
  <c r="A38" i="10"/>
  <c r="H37" i="10"/>
  <c r="G37" i="10"/>
  <c r="F37" i="10"/>
  <c r="E37" i="10"/>
  <c r="D37" i="10"/>
  <c r="C37" i="10"/>
  <c r="B37" i="10"/>
  <c r="A37" i="10"/>
  <c r="G36" i="10"/>
  <c r="F36" i="10"/>
  <c r="E36" i="10"/>
  <c r="H36" i="10" s="1"/>
  <c r="D36" i="10"/>
  <c r="C36" i="10"/>
  <c r="B36" i="10"/>
  <c r="A36" i="10"/>
  <c r="G35" i="10"/>
  <c r="F35" i="10"/>
  <c r="E35" i="10"/>
  <c r="H35" i="10" s="1"/>
  <c r="D35" i="10"/>
  <c r="C35" i="10"/>
  <c r="B35" i="10"/>
  <c r="A35" i="10"/>
  <c r="F34" i="10"/>
  <c r="G34" i="10" s="1"/>
  <c r="E34" i="10"/>
  <c r="H34" i="10" s="1"/>
  <c r="D34" i="10"/>
  <c r="C34" i="10"/>
  <c r="B34" i="10"/>
  <c r="A34" i="10"/>
  <c r="H33" i="10"/>
  <c r="G33" i="10"/>
  <c r="F33" i="10"/>
  <c r="E33" i="10"/>
  <c r="D33" i="10"/>
  <c r="C33" i="10"/>
  <c r="B33" i="10"/>
  <c r="A33" i="10"/>
  <c r="G32" i="10"/>
  <c r="F32" i="10"/>
  <c r="E32" i="10"/>
  <c r="H32" i="10" s="1"/>
  <c r="D32" i="10"/>
  <c r="C32" i="10"/>
  <c r="B32" i="10"/>
  <c r="A32" i="10"/>
  <c r="G31" i="10"/>
  <c r="F31" i="10"/>
  <c r="E31" i="10"/>
  <c r="H31" i="10" s="1"/>
  <c r="D31" i="10"/>
  <c r="C31" i="10"/>
  <c r="B31" i="10"/>
  <c r="A31" i="10"/>
  <c r="F30" i="10"/>
  <c r="G30" i="10" s="1"/>
  <c r="E30" i="10"/>
  <c r="H30" i="10" s="1"/>
  <c r="D30" i="10"/>
  <c r="C30" i="10"/>
  <c r="B30" i="10"/>
  <c r="A30" i="10"/>
  <c r="H29" i="10"/>
  <c r="G29" i="10"/>
  <c r="F29" i="10"/>
  <c r="E29" i="10"/>
  <c r="D29" i="10"/>
  <c r="C29" i="10"/>
  <c r="B29" i="10"/>
  <c r="A29" i="10"/>
  <c r="G28" i="10"/>
  <c r="F28" i="10"/>
  <c r="E28" i="10"/>
  <c r="H28" i="10" s="1"/>
  <c r="D28" i="10"/>
  <c r="C28" i="10"/>
  <c r="B28" i="10"/>
  <c r="A28" i="10"/>
  <c r="G27" i="10"/>
  <c r="F27" i="10"/>
  <c r="E27" i="10"/>
  <c r="H27" i="10" s="1"/>
  <c r="D27" i="10"/>
  <c r="C27" i="10"/>
  <c r="B27" i="10"/>
  <c r="A27" i="10"/>
  <c r="F26" i="10"/>
  <c r="G26" i="10" s="1"/>
  <c r="E26" i="10"/>
  <c r="H26" i="10" s="1"/>
  <c r="D26" i="10"/>
  <c r="C26" i="10"/>
  <c r="B26" i="10"/>
  <c r="A26" i="10"/>
  <c r="H25" i="10"/>
  <c r="G25" i="10"/>
  <c r="F25" i="10"/>
  <c r="E25" i="10"/>
  <c r="D25" i="10"/>
  <c r="C25" i="10"/>
  <c r="B25" i="10"/>
  <c r="A25" i="10"/>
  <c r="G24" i="10"/>
  <c r="F24" i="10"/>
  <c r="E24" i="10"/>
  <c r="H24" i="10" s="1"/>
  <c r="D24" i="10"/>
  <c r="C24" i="10"/>
  <c r="B24" i="10"/>
  <c r="A24" i="10"/>
  <c r="G23" i="10"/>
  <c r="F23" i="10"/>
  <c r="E23" i="10"/>
  <c r="H23" i="10" s="1"/>
  <c r="D23" i="10"/>
  <c r="C23" i="10"/>
  <c r="B23" i="10"/>
  <c r="A23" i="10"/>
  <c r="F22" i="10"/>
  <c r="G22" i="10" s="1"/>
  <c r="E22" i="10"/>
  <c r="H22" i="10" s="1"/>
  <c r="D22" i="10"/>
  <c r="C22" i="10"/>
  <c r="B22" i="10"/>
  <c r="A22" i="10"/>
  <c r="H21" i="10"/>
  <c r="G21" i="10"/>
  <c r="F21" i="10"/>
  <c r="E21" i="10"/>
  <c r="D21" i="10"/>
  <c r="C21" i="10"/>
  <c r="B21" i="10"/>
  <c r="A21" i="10"/>
  <c r="G20" i="10"/>
  <c r="F20" i="10"/>
  <c r="E20" i="10"/>
  <c r="H20" i="10" s="1"/>
  <c r="D20" i="10"/>
  <c r="C20" i="10"/>
  <c r="B20" i="10"/>
  <c r="A20" i="10"/>
  <c r="G19" i="10"/>
  <c r="F19" i="10"/>
  <c r="E19" i="10"/>
  <c r="H19" i="10" s="1"/>
  <c r="D19" i="10"/>
  <c r="C19" i="10"/>
  <c r="B19" i="10"/>
  <c r="A19" i="10"/>
  <c r="F18" i="10"/>
  <c r="G18" i="10" s="1"/>
  <c r="E18" i="10"/>
  <c r="H18" i="10" s="1"/>
  <c r="D18" i="10"/>
  <c r="C18" i="10"/>
  <c r="B18" i="10"/>
  <c r="A18" i="10"/>
  <c r="H17" i="10"/>
  <c r="G17" i="10"/>
  <c r="F17" i="10"/>
  <c r="E17" i="10"/>
  <c r="D17" i="10"/>
  <c r="C17" i="10"/>
  <c r="B17" i="10"/>
  <c r="A17" i="10"/>
  <c r="G16" i="10"/>
  <c r="F16" i="10"/>
  <c r="E16" i="10"/>
  <c r="H16" i="10" s="1"/>
  <c r="D16" i="10"/>
  <c r="C16" i="10"/>
  <c r="B16" i="10"/>
  <c r="A16" i="10"/>
  <c r="G15" i="10"/>
  <c r="F15" i="10"/>
  <c r="E15" i="10"/>
  <c r="H15" i="10" s="1"/>
  <c r="D15" i="10"/>
  <c r="C15" i="10"/>
  <c r="B15" i="10"/>
  <c r="A15" i="10"/>
  <c r="F14" i="10"/>
  <c r="G14" i="10" s="1"/>
  <c r="E14" i="10"/>
  <c r="H14" i="10" s="1"/>
  <c r="D14" i="10"/>
  <c r="C14" i="10"/>
  <c r="B14" i="10"/>
  <c r="A14" i="10"/>
  <c r="F13" i="10"/>
  <c r="G13" i="10" s="1"/>
  <c r="E13" i="10"/>
  <c r="H13" i="10" s="1"/>
  <c r="D13" i="10"/>
  <c r="C13" i="10"/>
  <c r="B13" i="10"/>
  <c r="A13" i="10"/>
  <c r="F12" i="10"/>
  <c r="G12" i="10" s="1"/>
  <c r="E12" i="10"/>
  <c r="H12" i="10" s="1"/>
  <c r="D12" i="10"/>
  <c r="C12" i="10"/>
  <c r="B12" i="10"/>
  <c r="A12" i="10"/>
  <c r="F11" i="10"/>
  <c r="G11" i="10" s="1"/>
  <c r="E11" i="10"/>
  <c r="H11" i="10" s="1"/>
  <c r="D11" i="10"/>
  <c r="C11" i="10"/>
  <c r="B11" i="10"/>
  <c r="A11" i="10"/>
  <c r="F10" i="10"/>
  <c r="G10" i="10" s="1"/>
  <c r="E10" i="10"/>
  <c r="H10" i="10" s="1"/>
  <c r="D10" i="10"/>
  <c r="C10" i="10"/>
  <c r="B10" i="10"/>
  <c r="A10" i="10"/>
  <c r="F9" i="10"/>
  <c r="G9" i="10" s="1"/>
  <c r="E9" i="10"/>
  <c r="H9" i="10" s="1"/>
  <c r="D9" i="10"/>
  <c r="C9" i="10"/>
  <c r="B9" i="10"/>
  <c r="A9" i="10"/>
  <c r="F8" i="10"/>
  <c r="G8" i="10" s="1"/>
  <c r="E8" i="10"/>
  <c r="H8" i="10" s="1"/>
  <c r="D8" i="10"/>
  <c r="C8" i="10"/>
  <c r="B8" i="10"/>
  <c r="A8" i="10"/>
  <c r="F7" i="10"/>
  <c r="G7" i="10" s="1"/>
  <c r="E7" i="10"/>
  <c r="H7" i="10" s="1"/>
  <c r="D7" i="10"/>
  <c r="C7" i="10"/>
  <c r="B7" i="10"/>
  <c r="A7" i="10"/>
  <c r="F6" i="10"/>
  <c r="G6" i="10" s="1"/>
  <c r="E6" i="10"/>
  <c r="H6" i="10" s="1"/>
  <c r="D6" i="10"/>
  <c r="C6" i="10"/>
  <c r="B6" i="10"/>
  <c r="A6" i="10"/>
  <c r="F5" i="10"/>
  <c r="G5" i="10" s="1"/>
  <c r="E5" i="10"/>
  <c r="H5" i="10" s="1"/>
  <c r="D5" i="10"/>
  <c r="C5" i="10"/>
  <c r="B5" i="10"/>
  <c r="A5" i="10"/>
  <c r="F4" i="10"/>
  <c r="G4" i="10" s="1"/>
  <c r="E4" i="10"/>
  <c r="H4" i="10" s="1"/>
  <c r="D4" i="10"/>
  <c r="C4" i="10"/>
  <c r="B4" i="10"/>
  <c r="A4" i="10"/>
  <c r="F3" i="10"/>
  <c r="G3" i="10" s="1"/>
  <c r="E3" i="10"/>
  <c r="H3" i="10" s="1"/>
  <c r="D3" i="10"/>
  <c r="C3" i="10"/>
  <c r="B3" i="10"/>
  <c r="A3" i="10"/>
  <c r="F2" i="10"/>
  <c r="C2" i="10"/>
  <c r="B2" i="10"/>
  <c r="A2" i="10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3" i="9"/>
  <c r="J15" i="10" l="1"/>
  <c r="I15" i="10"/>
  <c r="J19" i="10"/>
  <c r="I19" i="10"/>
  <c r="J23" i="10"/>
  <c r="I23" i="10"/>
  <c r="J29" i="10"/>
  <c r="I29" i="10"/>
  <c r="J37" i="10"/>
  <c r="I37" i="10"/>
  <c r="J45" i="10"/>
  <c r="I45" i="10"/>
  <c r="J53" i="10"/>
  <c r="I53" i="10"/>
  <c r="J59" i="10"/>
  <c r="I59" i="10"/>
  <c r="J67" i="10"/>
  <c r="I67" i="10"/>
  <c r="J27" i="10"/>
  <c r="I27" i="10"/>
  <c r="J35" i="10"/>
  <c r="I35" i="10"/>
  <c r="J51" i="10"/>
  <c r="I51" i="10"/>
  <c r="J66" i="10"/>
  <c r="I66" i="10"/>
  <c r="I14" i="10"/>
  <c r="J14" i="10"/>
  <c r="J18" i="10"/>
  <c r="I18" i="10"/>
  <c r="I22" i="10"/>
  <c r="J22" i="10"/>
  <c r="I26" i="10"/>
  <c r="J26" i="10"/>
  <c r="I34" i="10"/>
  <c r="J34" i="10"/>
  <c r="I42" i="10"/>
  <c r="J42" i="10"/>
  <c r="I50" i="10"/>
  <c r="J50" i="10"/>
  <c r="I58" i="10"/>
  <c r="J58" i="10"/>
  <c r="J65" i="10"/>
  <c r="I65" i="10"/>
  <c r="J73" i="10"/>
  <c r="I73" i="10"/>
  <c r="J43" i="10"/>
  <c r="I43" i="10"/>
  <c r="J28" i="10"/>
  <c r="J36" i="10"/>
  <c r="J44" i="10"/>
  <c r="J52" i="10"/>
  <c r="J64" i="10"/>
  <c r="I64" i="10"/>
  <c r="J72" i="10"/>
  <c r="I72" i="10"/>
  <c r="J17" i="10"/>
  <c r="I17" i="10"/>
  <c r="J21" i="10"/>
  <c r="I21" i="10"/>
  <c r="J25" i="10"/>
  <c r="I25" i="10"/>
  <c r="J33" i="10"/>
  <c r="I33" i="10"/>
  <c r="J41" i="10"/>
  <c r="I41" i="10"/>
  <c r="J49" i="10"/>
  <c r="I49" i="10"/>
  <c r="J57" i="10"/>
  <c r="I57" i="10"/>
  <c r="J63" i="10"/>
  <c r="I63" i="10"/>
  <c r="J71" i="10"/>
  <c r="I71" i="10"/>
  <c r="J31" i="10"/>
  <c r="I31" i="10"/>
  <c r="J39" i="10"/>
  <c r="I39" i="10"/>
  <c r="J47" i="10"/>
  <c r="I47" i="10"/>
  <c r="J55" i="10"/>
  <c r="I55" i="10"/>
  <c r="I62" i="10"/>
  <c r="J62" i="10"/>
  <c r="I70" i="10"/>
  <c r="J70" i="10"/>
  <c r="J16" i="10"/>
  <c r="I16" i="10"/>
  <c r="J20" i="10"/>
  <c r="I20" i="10"/>
  <c r="J24" i="10"/>
  <c r="I24" i="10"/>
  <c r="I30" i="10"/>
  <c r="J30" i="10"/>
  <c r="J38" i="10"/>
  <c r="I38" i="10"/>
  <c r="I46" i="10"/>
  <c r="J46" i="10"/>
  <c r="I54" i="10"/>
  <c r="J54" i="10"/>
  <c r="J61" i="10"/>
  <c r="I61" i="10"/>
  <c r="J69" i="10"/>
  <c r="I69" i="10"/>
  <c r="J32" i="10"/>
  <c r="J40" i="10"/>
  <c r="J48" i="10"/>
  <c r="J56" i="10"/>
  <c r="J60" i="10"/>
  <c r="I60" i="10"/>
  <c r="J68" i="10"/>
  <c r="I68" i="10"/>
  <c r="I28" i="10"/>
  <c r="I32" i="10"/>
  <c r="I36" i="10"/>
  <c r="I40" i="10"/>
  <c r="I44" i="10"/>
  <c r="I48" i="10"/>
  <c r="I52" i="10"/>
  <c r="I56" i="10"/>
  <c r="H39" i="9" a="1"/>
  <c r="H39" i="9" s="1"/>
  <c r="H43" i="9" a="1"/>
  <c r="H43" i="9" s="1"/>
  <c r="H44" i="9" a="1"/>
  <c r="H44" i="9" s="1"/>
  <c r="H48" i="9" a="1"/>
  <c r="H48" i="9" s="1"/>
  <c r="H53" i="9" a="1"/>
  <c r="H53" i="9" s="1"/>
  <c r="H59" i="9" a="1"/>
  <c r="H59" i="9" s="1"/>
  <c r="G43" i="9" a="1"/>
  <c r="G43" i="9" s="1"/>
  <c r="G48" i="9" a="1"/>
  <c r="G48" i="9" s="1"/>
  <c r="G53" i="9" a="1"/>
  <c r="G53" i="9" s="1"/>
  <c r="G59" i="9" a="1"/>
  <c r="G59" i="9" s="1"/>
  <c r="I59" i="9" s="1"/>
  <c r="E43" i="9" a="1"/>
  <c r="E43" i="9" s="1"/>
  <c r="E49" i="9" a="1"/>
  <c r="E49" i="9" s="1"/>
  <c r="E55" i="9" a="1"/>
  <c r="E55" i="9" s="1"/>
  <c r="E56" i="9" a="1"/>
  <c r="E56" i="9" s="1"/>
  <c r="D40" i="9" a="1"/>
  <c r="D40" i="9" s="1"/>
  <c r="D46" i="9" a="1"/>
  <c r="D46" i="9" s="1"/>
  <c r="D47" i="9" a="1"/>
  <c r="D47" i="9" s="1"/>
  <c r="D53" i="9" a="1"/>
  <c r="D53" i="9" s="1"/>
  <c r="D59" i="9" a="1"/>
  <c r="D59" i="9" s="1"/>
  <c r="D60" i="9" a="1"/>
  <c r="D60" i="9" s="1"/>
  <c r="G39" i="9" a="1"/>
  <c r="G39" i="9" s="1"/>
  <c r="H40" i="9" a="1"/>
  <c r="H40" i="9" s="1"/>
  <c r="D41" i="9" a="1"/>
  <c r="D41" i="9" s="1"/>
  <c r="G42" i="9" a="1"/>
  <c r="G42" i="9" s="1"/>
  <c r="D43" i="9" a="1"/>
  <c r="D43" i="9" s="1"/>
  <c r="G44" i="9" a="1"/>
  <c r="G44" i="9" s="1"/>
  <c r="I44" i="9" s="1"/>
  <c r="H45" i="9" a="1"/>
  <c r="H45" i="9" s="1"/>
  <c r="H46" i="9" a="1"/>
  <c r="H46" i="9" s="1"/>
  <c r="E47" i="9" a="1"/>
  <c r="E47" i="9" s="1"/>
  <c r="D48" i="9" a="1"/>
  <c r="D48" i="9" s="1"/>
  <c r="E51" i="9" a="1"/>
  <c r="E51" i="9" s="1"/>
  <c r="E52" i="9" a="1"/>
  <c r="E52" i="9" s="1"/>
  <c r="E53" i="9" a="1"/>
  <c r="E53" i="9" s="1"/>
  <c r="G54" i="9" a="1"/>
  <c r="G54" i="9" s="1"/>
  <c r="G55" i="9" a="1"/>
  <c r="G55" i="9" s="1"/>
  <c r="G56" i="9" a="1"/>
  <c r="G56" i="9" s="1"/>
  <c r="G58" i="9" a="1"/>
  <c r="G58" i="9" s="1"/>
  <c r="E59" i="9" a="1"/>
  <c r="E59" i="9" s="1"/>
  <c r="H60" i="9" a="1"/>
  <c r="H60" i="9" s="1"/>
  <c r="P2" i="9" a="1"/>
  <c r="P2" i="9" s="1"/>
  <c r="A95" i="9"/>
  <c r="A96" i="9"/>
  <c r="A97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2" i="9"/>
  <c r="D15" i="7"/>
  <c r="D16" i="7"/>
  <c r="D17" i="7"/>
  <c r="D18" i="7"/>
  <c r="D19" i="7"/>
  <c r="D20" i="7"/>
  <c r="D21" i="7"/>
  <c r="G21" i="7" s="1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A83" i="7"/>
  <c r="A84" i="7"/>
  <c r="A85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H26" i="7" l="1"/>
  <c r="H46" i="7"/>
  <c r="H38" i="7"/>
  <c r="H70" i="7"/>
  <c r="H78" i="7"/>
  <c r="G79" i="7"/>
  <c r="G63" i="7"/>
  <c r="G39" i="7"/>
  <c r="G15" i="7"/>
  <c r="H54" i="7"/>
  <c r="G84" i="7"/>
  <c r="G76" i="7"/>
  <c r="G60" i="7"/>
  <c r="G52" i="7"/>
  <c r="G36" i="7"/>
  <c r="G20" i="7"/>
  <c r="H62" i="7"/>
  <c r="H76" i="7"/>
  <c r="H68" i="7"/>
  <c r="H60" i="7"/>
  <c r="H52" i="7"/>
  <c r="H44" i="7"/>
  <c r="H36" i="7"/>
  <c r="H28" i="7"/>
  <c r="G83" i="7"/>
  <c r="G75" i="7"/>
  <c r="G59" i="7"/>
  <c r="G51" i="7"/>
  <c r="G43" i="7"/>
  <c r="G35" i="7"/>
  <c r="G19" i="7"/>
  <c r="H30" i="7"/>
  <c r="H84" i="7"/>
  <c r="H59" i="7"/>
  <c r="H27" i="7"/>
  <c r="H50" i="7"/>
  <c r="G24" i="7"/>
  <c r="H83" i="7"/>
  <c r="H51" i="7"/>
  <c r="H19" i="7"/>
  <c r="G18" i="7"/>
  <c r="H18" i="7"/>
  <c r="G16" i="7"/>
  <c r="H82" i="7"/>
  <c r="H58" i="7"/>
  <c r="I43" i="9"/>
  <c r="F53" i="9"/>
  <c r="F43" i="9"/>
  <c r="F47" i="9"/>
  <c r="H81" i="9" a="1"/>
  <c r="H81" i="9" s="1"/>
  <c r="G86" i="9" a="1"/>
  <c r="G86" i="9" s="1"/>
  <c r="H82" i="9" a="1"/>
  <c r="H82" i="9" s="1"/>
  <c r="E72" i="9" a="1"/>
  <c r="E72" i="9" s="1"/>
  <c r="G73" i="7"/>
  <c r="E71" i="9" a="1"/>
  <c r="E71" i="9" s="1"/>
  <c r="H24" i="7"/>
  <c r="H16" i="7"/>
  <c r="G80" i="7"/>
  <c r="G72" i="7"/>
  <c r="G64" i="7"/>
  <c r="G56" i="7"/>
  <c r="G48" i="7"/>
  <c r="G40" i="7"/>
  <c r="G32" i="7"/>
  <c r="H85" i="7"/>
  <c r="H77" i="7"/>
  <c r="H69" i="7"/>
  <c r="H61" i="7"/>
  <c r="H53" i="7"/>
  <c r="H45" i="7"/>
  <c r="H37" i="7"/>
  <c r="H29" i="7"/>
  <c r="D95" i="9" a="1"/>
  <c r="D95" i="9" s="1"/>
  <c r="I39" i="9"/>
  <c r="H58" i="9" a="1"/>
  <c r="H58" i="9" s="1"/>
  <c r="I58" i="9" s="1"/>
  <c r="H15" i="7"/>
  <c r="G55" i="7"/>
  <c r="G31" i="7"/>
  <c r="G62" i="9" a="1"/>
  <c r="G62" i="9" s="1"/>
  <c r="H66" i="9" a="1"/>
  <c r="H66" i="9" s="1"/>
  <c r="E77" i="9" a="1"/>
  <c r="E77" i="9" s="1"/>
  <c r="H22" i="7"/>
  <c r="G78" i="7"/>
  <c r="G70" i="7"/>
  <c r="G62" i="7"/>
  <c r="G54" i="7"/>
  <c r="G46" i="7"/>
  <c r="G38" i="7"/>
  <c r="G30" i="7"/>
  <c r="H75" i="7"/>
  <c r="H67" i="7"/>
  <c r="H43" i="7"/>
  <c r="H35" i="7"/>
  <c r="G81" i="9" a="1"/>
  <c r="G81" i="9" s="1"/>
  <c r="I81" i="9" s="1"/>
  <c r="G89" i="9" a="1"/>
  <c r="G89" i="9" s="1"/>
  <c r="G70" i="9" a="1"/>
  <c r="G70" i="9" s="1"/>
  <c r="E70" i="9" a="1"/>
  <c r="E70" i="9" s="1"/>
  <c r="G92" i="9" a="1"/>
  <c r="G92" i="9" s="1"/>
  <c r="E84" i="9" a="1"/>
  <c r="E84" i="9" s="1"/>
  <c r="D68" i="9" a="1"/>
  <c r="D68" i="9" s="1"/>
  <c r="H68" i="9" a="1"/>
  <c r="H68" i="9" s="1"/>
  <c r="G25" i="7"/>
  <c r="G17" i="7"/>
  <c r="H21" i="7"/>
  <c r="G85" i="7"/>
  <c r="G77" i="7"/>
  <c r="G69" i="7"/>
  <c r="G61" i="7"/>
  <c r="G53" i="7"/>
  <c r="G45" i="7"/>
  <c r="G37" i="7"/>
  <c r="G29" i="7"/>
  <c r="H74" i="7"/>
  <c r="H66" i="7"/>
  <c r="H42" i="7"/>
  <c r="H34" i="7"/>
  <c r="E96" i="9" a="1"/>
  <c r="E96" i="9" s="1"/>
  <c r="G96" i="9" a="1"/>
  <c r="G96" i="9" s="1"/>
  <c r="H25" i="7"/>
  <c r="G81" i="7"/>
  <c r="G49" i="7"/>
  <c r="G33" i="7"/>
  <c r="I48" i="9"/>
  <c r="G71" i="7"/>
  <c r="G47" i="7"/>
  <c r="H75" i="9" a="1"/>
  <c r="H75" i="9" s="1"/>
  <c r="H20" i="7"/>
  <c r="G68" i="7"/>
  <c r="G44" i="7"/>
  <c r="G28" i="7"/>
  <c r="H81" i="7"/>
  <c r="H73" i="7"/>
  <c r="H65" i="7"/>
  <c r="H57" i="7"/>
  <c r="H49" i="7"/>
  <c r="H41" i="7"/>
  <c r="H33" i="7"/>
  <c r="D88" i="9" a="1"/>
  <c r="D88" i="9" s="1"/>
  <c r="H88" i="9" a="1"/>
  <c r="H88" i="9" s="1"/>
  <c r="H17" i="7"/>
  <c r="G65" i="7"/>
  <c r="G41" i="7"/>
  <c r="E86" i="9" a="1"/>
  <c r="E86" i="9" s="1"/>
  <c r="H23" i="7"/>
  <c r="E67" i="9" a="1"/>
  <c r="E67" i="9" s="1"/>
  <c r="G23" i="7"/>
  <c r="G67" i="7"/>
  <c r="G27" i="7"/>
  <c r="H80" i="7"/>
  <c r="H72" i="7"/>
  <c r="H64" i="7"/>
  <c r="H56" i="7"/>
  <c r="H48" i="7"/>
  <c r="H40" i="7"/>
  <c r="H32" i="7"/>
  <c r="E58" i="9" a="1"/>
  <c r="E58" i="9" s="1"/>
  <c r="D58" i="9" a="1"/>
  <c r="D58" i="9" s="1"/>
  <c r="E50" i="9" a="1"/>
  <c r="E50" i="9" s="1"/>
  <c r="H50" i="9" a="1"/>
  <c r="H50" i="9" s="1"/>
  <c r="G50" i="9" a="1"/>
  <c r="G50" i="9" s="1"/>
  <c r="I50" i="9" s="1"/>
  <c r="D50" i="9" a="1"/>
  <c r="D50" i="9" s="1"/>
  <c r="F50" i="9" s="1"/>
  <c r="D42" i="9" a="1"/>
  <c r="D42" i="9" s="1"/>
  <c r="H42" i="9" a="1"/>
  <c r="H42" i="9" s="1"/>
  <c r="I42" i="9" s="1"/>
  <c r="I53" i="9"/>
  <c r="H91" i="9" a="1"/>
  <c r="H91" i="9" s="1"/>
  <c r="G57" i="7"/>
  <c r="H83" i="9" a="1"/>
  <c r="H83" i="9" s="1"/>
  <c r="G22" i="7"/>
  <c r="G82" i="7"/>
  <c r="G74" i="7"/>
  <c r="G66" i="7"/>
  <c r="G58" i="7"/>
  <c r="G50" i="7"/>
  <c r="G42" i="7"/>
  <c r="G34" i="7"/>
  <c r="G26" i="7"/>
  <c r="H79" i="7"/>
  <c r="H71" i="7"/>
  <c r="H63" i="7"/>
  <c r="H55" i="7"/>
  <c r="H47" i="7"/>
  <c r="H39" i="7"/>
  <c r="H31" i="7"/>
  <c r="E57" i="9" a="1"/>
  <c r="E57" i="9" s="1"/>
  <c r="D57" i="9" a="1"/>
  <c r="D57" i="9" s="1"/>
  <c r="H57" i="9" a="1"/>
  <c r="H57" i="9" s="1"/>
  <c r="G57" i="9" a="1"/>
  <c r="G57" i="9" s="1"/>
  <c r="O2" i="9" a="1"/>
  <c r="O2" i="9" s="1"/>
  <c r="Q2" i="9" s="1"/>
  <c r="M2" i="9" a="1"/>
  <c r="M2" i="9" s="1"/>
  <c r="L2" i="9" a="1"/>
  <c r="L2" i="9" s="1"/>
  <c r="H49" i="9" a="1"/>
  <c r="H49" i="9" s="1"/>
  <c r="G49" i="9" a="1"/>
  <c r="G49" i="9" s="1"/>
  <c r="D49" i="9" a="1"/>
  <c r="D49" i="9" s="1"/>
  <c r="F49" i="9" s="1"/>
  <c r="H41" i="9" a="1"/>
  <c r="H41" i="9" s="1"/>
  <c r="G41" i="9" a="1"/>
  <c r="G41" i="9" s="1"/>
  <c r="E41" i="9" a="1"/>
  <c r="E41" i="9" s="1"/>
  <c r="F41" i="9" s="1"/>
  <c r="F59" i="9"/>
  <c r="E68" i="9" a="1"/>
  <c r="E68" i="9" s="1"/>
  <c r="E42" i="9" a="1"/>
  <c r="E42" i="9" s="1"/>
  <c r="D52" i="9" a="1"/>
  <c r="D52" i="9" s="1"/>
  <c r="F52" i="9" s="1"/>
  <c r="D39" i="9" a="1"/>
  <c r="D39" i="9" s="1"/>
  <c r="E54" i="9" a="1"/>
  <c r="E54" i="9" s="1"/>
  <c r="E48" i="9" a="1"/>
  <c r="E48" i="9" s="1"/>
  <c r="F48" i="9" s="1"/>
  <c r="G47" i="9" a="1"/>
  <c r="G47" i="9" s="1"/>
  <c r="I47" i="9" s="1"/>
  <c r="H52" i="9" a="1"/>
  <c r="H52" i="9" s="1"/>
  <c r="H47" i="9" a="1"/>
  <c r="H47" i="9" s="1"/>
  <c r="H38" i="9" a="1"/>
  <c r="H38" i="9" s="1"/>
  <c r="D51" i="9" a="1"/>
  <c r="D51" i="9" s="1"/>
  <c r="F51" i="9" s="1"/>
  <c r="D45" i="9" a="1"/>
  <c r="D45" i="9" s="1"/>
  <c r="D38" i="9" a="1"/>
  <c r="D38" i="9" s="1"/>
  <c r="E60" i="9" a="1"/>
  <c r="E60" i="9" s="1"/>
  <c r="F60" i="9" s="1"/>
  <c r="G52" i="9" a="1"/>
  <c r="G52" i="9" s="1"/>
  <c r="G46" i="9" a="1"/>
  <c r="G46" i="9" s="1"/>
  <c r="I46" i="9" s="1"/>
  <c r="H51" i="9" a="1"/>
  <c r="H51" i="9" s="1"/>
  <c r="D37" i="9" a="1"/>
  <c r="D37" i="9" s="1"/>
  <c r="D44" i="9" a="1"/>
  <c r="D44" i="9" s="1"/>
  <c r="E46" i="9" a="1"/>
  <c r="E46" i="9" s="1"/>
  <c r="F46" i="9" s="1"/>
  <c r="E40" i="9" a="1"/>
  <c r="E40" i="9" s="1"/>
  <c r="F40" i="9" s="1"/>
  <c r="G51" i="9" a="1"/>
  <c r="G51" i="9" s="1"/>
  <c r="I51" i="9" s="1"/>
  <c r="H56" i="9" a="1"/>
  <c r="H56" i="9" s="1"/>
  <c r="I56" i="9" s="1"/>
  <c r="E37" i="9" a="1"/>
  <c r="E37" i="9" s="1"/>
  <c r="D56" i="9" a="1"/>
  <c r="D56" i="9" s="1"/>
  <c r="F56" i="9" s="1"/>
  <c r="E39" i="9" a="1"/>
  <c r="E39" i="9" s="1"/>
  <c r="G45" i="9" a="1"/>
  <c r="G45" i="9" s="1"/>
  <c r="I45" i="9" s="1"/>
  <c r="G40" i="9" a="1"/>
  <c r="G40" i="9" s="1"/>
  <c r="I40" i="9" s="1"/>
  <c r="H55" i="9" a="1"/>
  <c r="H55" i="9" s="1"/>
  <c r="I55" i="9" s="1"/>
  <c r="G37" i="9" a="1"/>
  <c r="G37" i="9" s="1"/>
  <c r="D55" i="9" a="1"/>
  <c r="D55" i="9" s="1"/>
  <c r="F55" i="9" s="1"/>
  <c r="E45" i="9" a="1"/>
  <c r="E45" i="9" s="1"/>
  <c r="E38" i="9" a="1"/>
  <c r="E38" i="9" s="1"/>
  <c r="H54" i="9" a="1"/>
  <c r="H54" i="9" s="1"/>
  <c r="I54" i="9" s="1"/>
  <c r="H37" i="9" a="1"/>
  <c r="H37" i="9" s="1"/>
  <c r="D54" i="9" a="1"/>
  <c r="D54" i="9" s="1"/>
  <c r="F54" i="9" s="1"/>
  <c r="E44" i="9" a="1"/>
  <c r="E44" i="9" s="1"/>
  <c r="G60" i="9" a="1"/>
  <c r="G60" i="9" s="1"/>
  <c r="I60" i="9" s="1"/>
  <c r="G38" i="9" a="1"/>
  <c r="G38" i="9" s="1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2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" i="5"/>
  <c r="I63" i="7" l="1"/>
  <c r="I39" i="7"/>
  <c r="J41" i="7"/>
  <c r="I57" i="7"/>
  <c r="I65" i="7"/>
  <c r="J75" i="7"/>
  <c r="I75" i="7"/>
  <c r="J31" i="7"/>
  <c r="I31" i="7"/>
  <c r="J48" i="7"/>
  <c r="I48" i="7"/>
  <c r="I47" i="7"/>
  <c r="J50" i="7"/>
  <c r="I50" i="7"/>
  <c r="I83" i="7"/>
  <c r="J83" i="7"/>
  <c r="J56" i="7"/>
  <c r="I56" i="7"/>
  <c r="I46" i="7"/>
  <c r="J46" i="7"/>
  <c r="I64" i="7"/>
  <c r="J64" i="7"/>
  <c r="I66" i="7"/>
  <c r="J66" i="7"/>
  <c r="I45" i="7"/>
  <c r="J45" i="7"/>
  <c r="J54" i="7"/>
  <c r="I54" i="7"/>
  <c r="J72" i="7"/>
  <c r="I72" i="7"/>
  <c r="J55" i="7"/>
  <c r="I49" i="7"/>
  <c r="J38" i="7"/>
  <c r="I38" i="7"/>
  <c r="J82" i="7"/>
  <c r="I82" i="7"/>
  <c r="J77" i="7"/>
  <c r="I77" i="7"/>
  <c r="J29" i="7"/>
  <c r="I29" i="7"/>
  <c r="I68" i="7"/>
  <c r="J68" i="7"/>
  <c r="J63" i="7"/>
  <c r="I81" i="7"/>
  <c r="I71" i="7"/>
  <c r="I84" i="7"/>
  <c r="J84" i="7"/>
  <c r="I26" i="7"/>
  <c r="J26" i="7"/>
  <c r="J81" i="7"/>
  <c r="J71" i="7"/>
  <c r="J43" i="7"/>
  <c r="I43" i="7"/>
  <c r="J53" i="7"/>
  <c r="I53" i="7"/>
  <c r="J78" i="7"/>
  <c r="I78" i="7"/>
  <c r="J80" i="7"/>
  <c r="I80" i="7"/>
  <c r="I69" i="7"/>
  <c r="J69" i="7"/>
  <c r="I79" i="7"/>
  <c r="J33" i="7"/>
  <c r="I33" i="7"/>
  <c r="I70" i="7"/>
  <c r="J70" i="7"/>
  <c r="J79" i="7"/>
  <c r="I59" i="7"/>
  <c r="J59" i="7"/>
  <c r="I44" i="7"/>
  <c r="J44" i="7"/>
  <c r="I85" i="7"/>
  <c r="J85" i="7"/>
  <c r="J27" i="7"/>
  <c r="I27" i="7"/>
  <c r="J37" i="7"/>
  <c r="I42" i="7"/>
  <c r="J42" i="7"/>
  <c r="I60" i="7"/>
  <c r="J60" i="7"/>
  <c r="I36" i="7"/>
  <c r="J36" i="7"/>
  <c r="J65" i="7"/>
  <c r="J62" i="7"/>
  <c r="I62" i="7"/>
  <c r="J47" i="7"/>
  <c r="J58" i="7"/>
  <c r="I58" i="7"/>
  <c r="I76" i="7"/>
  <c r="J76" i="7"/>
  <c r="I55" i="7"/>
  <c r="I28" i="7"/>
  <c r="J28" i="7"/>
  <c r="J49" i="7"/>
  <c r="I61" i="7"/>
  <c r="J61" i="7"/>
  <c r="J74" i="7"/>
  <c r="I74" i="7"/>
  <c r="J73" i="7"/>
  <c r="J51" i="7"/>
  <c r="I51" i="7"/>
  <c r="I73" i="7"/>
  <c r="J67" i="7"/>
  <c r="I67" i="7"/>
  <c r="J34" i="7"/>
  <c r="I34" i="7"/>
  <c r="I52" i="7"/>
  <c r="J52" i="7"/>
  <c r="I32" i="7"/>
  <c r="J32" i="7"/>
  <c r="I40" i="7"/>
  <c r="J40" i="7"/>
  <c r="J35" i="7"/>
  <c r="I35" i="7"/>
  <c r="J57" i="7"/>
  <c r="J30" i="7"/>
  <c r="I30" i="7"/>
  <c r="I37" i="7"/>
  <c r="J39" i="7"/>
  <c r="I41" i="7"/>
  <c r="F38" i="9"/>
  <c r="I38" i="9"/>
  <c r="I37" i="9"/>
  <c r="N2" i="9"/>
  <c r="G65" i="9" a="1"/>
  <c r="G65" i="9" s="1"/>
  <c r="E65" i="9" a="1"/>
  <c r="E65" i="9" s="1"/>
  <c r="D65" i="9" a="1"/>
  <c r="D65" i="9" s="1"/>
  <c r="H65" i="9" a="1"/>
  <c r="H65" i="9" s="1"/>
  <c r="I52" i="9"/>
  <c r="D62" i="9" a="1"/>
  <c r="D62" i="9" s="1"/>
  <c r="D81" i="9" a="1"/>
  <c r="D81" i="9" s="1"/>
  <c r="P3" i="9" a="1"/>
  <c r="P3" i="9" s="1"/>
  <c r="D85" i="9" a="1"/>
  <c r="D85" i="9" s="1"/>
  <c r="D83" i="9" a="1"/>
  <c r="D83" i="9" s="1"/>
  <c r="G67" i="9" a="1"/>
  <c r="G67" i="9" s="1"/>
  <c r="H86" i="9" a="1"/>
  <c r="H86" i="9" s="1"/>
  <c r="I86" i="9" s="1"/>
  <c r="G88" i="9" a="1"/>
  <c r="G88" i="9" s="1"/>
  <c r="I88" i="9" s="1"/>
  <c r="D75" i="9" a="1"/>
  <c r="D75" i="9" s="1"/>
  <c r="H72" i="9" a="1"/>
  <c r="H72" i="9" s="1"/>
  <c r="H76" i="9" a="1"/>
  <c r="H76" i="9" s="1"/>
  <c r="E92" i="9" a="1"/>
  <c r="E92" i="9" s="1"/>
  <c r="L3" i="9" a="1"/>
  <c r="L3" i="9" s="1"/>
  <c r="E85" i="9" a="1"/>
  <c r="E85" i="9" s="1"/>
  <c r="D79" i="9" a="1"/>
  <c r="D79" i="9" s="1"/>
  <c r="D78" i="9" a="1"/>
  <c r="D78" i="9" s="1"/>
  <c r="G79" i="9" a="1"/>
  <c r="G79" i="9" s="1"/>
  <c r="E95" i="9" a="1"/>
  <c r="E95" i="9" s="1"/>
  <c r="F95" i="9" s="1"/>
  <c r="G82" i="9" a="1"/>
  <c r="G82" i="9" s="1"/>
  <c r="I82" i="9" s="1"/>
  <c r="E75" i="9" a="1"/>
  <c r="E75" i="9" s="1"/>
  <c r="H84" i="9" a="1"/>
  <c r="H84" i="9" s="1"/>
  <c r="D73" i="9" a="1"/>
  <c r="D73" i="9" s="1"/>
  <c r="H89" i="9" a="1"/>
  <c r="H89" i="9" s="1"/>
  <c r="I89" i="9" s="1"/>
  <c r="H62" i="9" a="1"/>
  <c r="H62" i="9" s="1"/>
  <c r="I62" i="9" s="1"/>
  <c r="F68" i="9"/>
  <c r="G71" i="9" a="1"/>
  <c r="G71" i="9" s="1"/>
  <c r="G83" i="9" a="1"/>
  <c r="G83" i="9" s="1"/>
  <c r="I83" i="9" s="1"/>
  <c r="G75" i="9" a="1"/>
  <c r="G75" i="9" s="1"/>
  <c r="I75" i="9" s="1"/>
  <c r="H67" i="9" a="1"/>
  <c r="H67" i="9" s="1"/>
  <c r="D86" i="9" a="1"/>
  <c r="D86" i="9" s="1"/>
  <c r="F86" i="9" s="1"/>
  <c r="H71" i="9" a="1"/>
  <c r="H71" i="9" s="1"/>
  <c r="D66" i="9" a="1"/>
  <c r="D66" i="9" s="1"/>
  <c r="D76" i="9" a="1"/>
  <c r="D76" i="9" s="1"/>
  <c r="H92" i="9" a="1"/>
  <c r="H92" i="9" s="1"/>
  <c r="H64" i="9" a="1"/>
  <c r="H64" i="9" s="1"/>
  <c r="E61" i="9" a="1"/>
  <c r="E61" i="9" s="1"/>
  <c r="H69" i="9" a="1"/>
  <c r="H69" i="9" s="1"/>
  <c r="E93" i="9" a="1"/>
  <c r="E93" i="9" s="1"/>
  <c r="G63" i="9" a="1"/>
  <c r="G63" i="9" s="1"/>
  <c r="E79" i="9" a="1"/>
  <c r="E79" i="9" s="1"/>
  <c r="E62" i="9" a="1"/>
  <c r="E62" i="9" s="1"/>
  <c r="E82" i="9" a="1"/>
  <c r="E82" i="9" s="1"/>
  <c r="D91" i="9" a="1"/>
  <c r="D91" i="9" s="1"/>
  <c r="H78" i="9" a="1"/>
  <c r="H78" i="9" s="1"/>
  <c r="E73" i="9" a="1"/>
  <c r="E73" i="9" s="1"/>
  <c r="D89" i="9" a="1"/>
  <c r="D89" i="9" s="1"/>
  <c r="G95" i="9" a="1"/>
  <c r="G95" i="9" s="1"/>
  <c r="F45" i="9"/>
  <c r="F39" i="9"/>
  <c r="I41" i="9"/>
  <c r="I57" i="9"/>
  <c r="E83" i="9" a="1"/>
  <c r="E83" i="9" s="1"/>
  <c r="E69" i="9" a="1"/>
  <c r="E69" i="9" s="1"/>
  <c r="F58" i="9"/>
  <c r="D67" i="9" a="1"/>
  <c r="D67" i="9" s="1"/>
  <c r="F67" i="9" s="1"/>
  <c r="E88" i="9" a="1"/>
  <c r="E88" i="9" s="1"/>
  <c r="F88" i="9" s="1"/>
  <c r="G80" i="9" a="1"/>
  <c r="G80" i="9" s="1"/>
  <c r="D92" i="9" a="1"/>
  <c r="D92" i="9" s="1"/>
  <c r="F92" i="9" s="1"/>
  <c r="E76" i="9" a="1"/>
  <c r="E76" i="9" s="1"/>
  <c r="D64" i="9" a="1"/>
  <c r="D64" i="9" s="1"/>
  <c r="G61" i="9" a="1"/>
  <c r="G61" i="9" s="1"/>
  <c r="D69" i="9" a="1"/>
  <c r="D69" i="9" s="1"/>
  <c r="H93" i="9" a="1"/>
  <c r="H93" i="9" s="1"/>
  <c r="H63" i="9" a="1"/>
  <c r="H63" i="9" s="1"/>
  <c r="H79" i="9" a="1"/>
  <c r="H79" i="9" s="1"/>
  <c r="H74" i="9" a="1"/>
  <c r="H74" i="9" s="1"/>
  <c r="H90" i="9" a="1"/>
  <c r="H90" i="9" s="1"/>
  <c r="G73" i="9" a="1"/>
  <c r="G73" i="9" s="1"/>
  <c r="I92" i="9"/>
  <c r="M4" i="9" a="1"/>
  <c r="M4" i="9" s="1"/>
  <c r="L4" i="9" a="1"/>
  <c r="L4" i="9" s="1"/>
  <c r="N4" i="9" s="1"/>
  <c r="P4" i="9" a="1"/>
  <c r="P4" i="9" s="1"/>
  <c r="O4" i="9" a="1"/>
  <c r="O4" i="9" s="1"/>
  <c r="E97" i="9" a="1"/>
  <c r="E97" i="9" s="1"/>
  <c r="G97" i="9" a="1"/>
  <c r="G97" i="9" s="1"/>
  <c r="D97" i="9" a="1"/>
  <c r="D97" i="9" s="1"/>
  <c r="F97" i="9" s="1"/>
  <c r="H97" i="9" a="1"/>
  <c r="H97" i="9" s="1"/>
  <c r="G72" i="9" a="1"/>
  <c r="G72" i="9" s="1"/>
  <c r="I72" i="9" s="1"/>
  <c r="F44" i="9"/>
  <c r="H94" i="9" a="1"/>
  <c r="H94" i="9" s="1"/>
  <c r="G91" i="9" a="1"/>
  <c r="G91" i="9" s="1"/>
  <c r="I91" i="9" s="1"/>
  <c r="E74" i="9" a="1"/>
  <c r="E74" i="9" s="1"/>
  <c r="G76" i="9" a="1"/>
  <c r="G76" i="9" s="1"/>
  <c r="I76" i="9" s="1"/>
  <c r="E64" i="9" a="1"/>
  <c r="E64" i="9" s="1"/>
  <c r="H61" i="9" a="1"/>
  <c r="H61" i="9" s="1"/>
  <c r="H77" i="9" a="1"/>
  <c r="H77" i="9" s="1"/>
  <c r="D93" i="9" a="1"/>
  <c r="D93" i="9" s="1"/>
  <c r="F93" i="9" s="1"/>
  <c r="E80" i="9" a="1"/>
  <c r="E80" i="9" s="1"/>
  <c r="D63" i="9" a="1"/>
  <c r="D63" i="9" s="1"/>
  <c r="H87" i="9" a="1"/>
  <c r="H87" i="9" s="1"/>
  <c r="D74" i="9" a="1"/>
  <c r="D74" i="9" s="1"/>
  <c r="D90" i="9" a="1"/>
  <c r="D90" i="9" s="1"/>
  <c r="H73" i="9" a="1"/>
  <c r="H73" i="9" s="1"/>
  <c r="E89" i="9" a="1"/>
  <c r="E89" i="9" s="1"/>
  <c r="O3" i="9" a="1"/>
  <c r="O3" i="9" s="1"/>
  <c r="Q3" i="9" s="1"/>
  <c r="E87" i="9" a="1"/>
  <c r="E87" i="9" s="1"/>
  <c r="E94" i="9" a="1"/>
  <c r="E94" i="9" s="1"/>
  <c r="F37" i="9"/>
  <c r="G74" i="9" a="1"/>
  <c r="G74" i="9" s="1"/>
  <c r="I74" i="9" s="1"/>
  <c r="F57" i="9"/>
  <c r="D94" i="9" a="1"/>
  <c r="D94" i="9" s="1"/>
  <c r="E91" i="9" a="1"/>
  <c r="E91" i="9" s="1"/>
  <c r="G78" i="9" a="1"/>
  <c r="G78" i="9" s="1"/>
  <c r="I78" i="9" s="1"/>
  <c r="H96" i="9" a="1"/>
  <c r="H96" i="9" s="1"/>
  <c r="I96" i="9" s="1"/>
  <c r="D84" i="9" a="1"/>
  <c r="D84" i="9" s="1"/>
  <c r="F84" i="9" s="1"/>
  <c r="H70" i="9" a="1"/>
  <c r="H70" i="9" s="1"/>
  <c r="I70" i="9" s="1"/>
  <c r="D61" i="9" a="1"/>
  <c r="D61" i="9" s="1"/>
  <c r="F61" i="9" s="1"/>
  <c r="D77" i="9" a="1"/>
  <c r="D77" i="9" s="1"/>
  <c r="F77" i="9" s="1"/>
  <c r="E66" i="9" a="1"/>
  <c r="E66" i="9" s="1"/>
  <c r="H80" i="9" a="1"/>
  <c r="H80" i="9" s="1"/>
  <c r="E63" i="9" a="1"/>
  <c r="E63" i="9" s="1"/>
  <c r="D87" i="9" a="1"/>
  <c r="D87" i="9" s="1"/>
  <c r="G90" i="9" a="1"/>
  <c r="G90" i="9" s="1"/>
  <c r="I90" i="9" s="1"/>
  <c r="G69" i="9" a="1"/>
  <c r="G69" i="9" s="1"/>
  <c r="G64" i="9" a="1"/>
  <c r="G64" i="9" s="1"/>
  <c r="E81" i="9" a="1"/>
  <c r="E81" i="9" s="1"/>
  <c r="G85" i="9" a="1"/>
  <c r="G85" i="9" s="1"/>
  <c r="D82" i="9" a="1"/>
  <c r="D82" i="9" s="1"/>
  <c r="F82" i="9" s="1"/>
  <c r="I49" i="9"/>
  <c r="G94" i="9" a="1"/>
  <c r="G94" i="9" s="1"/>
  <c r="I94" i="9" s="1"/>
  <c r="F42" i="9"/>
  <c r="G87" i="9" a="1"/>
  <c r="G87" i="9" s="1"/>
  <c r="I87" i="9" s="1"/>
  <c r="E78" i="9" a="1"/>
  <c r="E78" i="9" s="1"/>
  <c r="D96" i="9" a="1"/>
  <c r="D96" i="9" s="1"/>
  <c r="F96" i="9" s="1"/>
  <c r="G68" i="9" a="1"/>
  <c r="G68" i="9" s="1"/>
  <c r="I68" i="9" s="1"/>
  <c r="G84" i="9" a="1"/>
  <c r="G84" i="9" s="1"/>
  <c r="I84" i="9" s="1"/>
  <c r="D70" i="9" a="1"/>
  <c r="D70" i="9" s="1"/>
  <c r="F70" i="9" s="1"/>
  <c r="D72" i="9" a="1"/>
  <c r="D72" i="9" s="1"/>
  <c r="F72" i="9" s="1"/>
  <c r="M3" i="9" a="1"/>
  <c r="M3" i="9" s="1"/>
  <c r="G77" i="9" a="1"/>
  <c r="G77" i="9" s="1"/>
  <c r="G66" i="9" a="1"/>
  <c r="G66" i="9" s="1"/>
  <c r="I66" i="9" s="1"/>
  <c r="D80" i="9" a="1"/>
  <c r="D80" i="9" s="1"/>
  <c r="F80" i="9" s="1"/>
  <c r="D71" i="9" a="1"/>
  <c r="D71" i="9" s="1"/>
  <c r="F71" i="9" s="1"/>
  <c r="H95" i="9" a="1"/>
  <c r="H95" i="9" s="1"/>
  <c r="E90" i="9" a="1"/>
  <c r="E90" i="9" s="1"/>
  <c r="G93" i="9" a="1"/>
  <c r="G93" i="9" s="1"/>
  <c r="H85" i="9" a="1"/>
  <c r="H85" i="9" s="1"/>
  <c r="F69" i="9" l="1"/>
  <c r="F65" i="9"/>
  <c r="I77" i="9"/>
  <c r="I69" i="9"/>
  <c r="I71" i="9"/>
  <c r="F63" i="9"/>
  <c r="Q4" i="9"/>
  <c r="F76" i="9"/>
  <c r="I93" i="9"/>
  <c r="I73" i="9"/>
  <c r="I63" i="9"/>
  <c r="I67" i="9"/>
  <c r="I97" i="9"/>
  <c r="F89" i="9"/>
  <c r="F73" i="9"/>
  <c r="F83" i="9"/>
  <c r="F87" i="9"/>
  <c r="I80" i="9"/>
  <c r="F66" i="9"/>
  <c r="F78" i="9"/>
  <c r="I65" i="9"/>
  <c r="I85" i="9"/>
  <c r="F94" i="9"/>
  <c r="F90" i="9"/>
  <c r="I61" i="9"/>
  <c r="F91" i="9"/>
  <c r="F79" i="9"/>
  <c r="F85" i="9"/>
  <c r="F81" i="9"/>
  <c r="I64" i="9"/>
  <c r="F74" i="9"/>
  <c r="F64" i="9"/>
  <c r="I95" i="9"/>
  <c r="F75" i="9"/>
  <c r="F62" i="9"/>
  <c r="I79" i="9"/>
  <c r="N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tc={7D7C6E03-50D0-431B-AAB3-90C240958C86}</author>
  </authors>
  <commentList>
    <comment ref="F1" authorId="0" shapeId="0" xr:uid="{7D7C6E03-50D0-431B-AAB3-90C240958C8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tc={536D4F7D-09F3-4F1B-95C1-2526356A4915}</author>
  </authors>
  <commentList>
    <comment ref="F1" authorId="0" shapeId="0" xr:uid="{536D4F7D-09F3-4F1B-95C1-2526356A491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<sst xmlns="http://schemas.openxmlformats.org/spreadsheetml/2006/main" count="237" uniqueCount="120">
  <si>
    <t>Date</t>
  </si>
  <si>
    <t>NAV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</si>
  <si>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</si>
  <si>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</si>
  <si>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</si>
  <si>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</si>
  <si>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</si>
  <si>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</si>
  <si>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</si>
  <si>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</si>
  <si>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</si>
  <si>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</si>
  <si>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</si>
  <si>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</si>
  <si>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</si>
  <si>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</si>
  <si>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</si>
  <si>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</si>
  <si>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</si>
  <si>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</si>
  <si>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</si>
  <si>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</si>
  <si>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</si>
  <si>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</si>
  <si>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</si>
  <si>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</si>
  <si>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</si>
  <si>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</si>
  <si>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</si>
  <si>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</si>
  <si>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</si>
  <si>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</si>
  <si>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</si>
  <si>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</si>
  <si>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</si>
  <si>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</si>
  <si>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</si>
  <si>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</si>
  <si>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</si>
  <si>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</si>
  <si>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</si>
  <si>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</si>
  <si>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</si>
  <si>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</si>
  <si>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</si>
  <si>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</si>
  <si>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</si>
  <si>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</si>
  <si>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</si>
  <si>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</si>
  <si>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</si>
  <si>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</si>
  <si>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</si>
  <si>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</si>
  <si>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</si>
  <si>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</si>
  <si>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</si>
  <si>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</si>
  <si>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</si>
  <si>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</si>
  <si>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</si>
  <si>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</si>
  <si>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</si>
  <si>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</si>
  <si>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</si>
  <si>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</si>
  <si>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</si>
  <si>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</si>
  <si>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</si>
  <si>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</si>
  <si>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</si>
  <si>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</si>
  <si>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Beta</t>
  </si>
  <si>
    <t>Alpha</t>
  </si>
  <si>
    <t>MSCI World Index</t>
  </si>
  <si>
    <t>2020-08-31</t>
  </si>
  <si>
    <t>2021-05-31</t>
  </si>
  <si>
    <t>2024-03-29</t>
  </si>
  <si>
    <t>TB3MS</t>
  </si>
  <si>
    <t>observation_date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</si>
  <si>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</si>
  <si>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</si>
  <si>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</si>
  <si>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</si>
  <si>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</si>
  <si>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</si>
  <si>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</si>
  <si>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</si>
  <si>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</si>
  <si>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</si>
  <si>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</si>
  <si>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</si>
  <si>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</si>
  <si>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</si>
  <si>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</si>
  <si>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</si>
  <si>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</si>
  <si>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</si>
  <si>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</si>
  <si>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</si>
  <si>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</si>
  <si>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</si>
  <si>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</si>
  <si>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GSCEQBA</t>
  </si>
  <si>
    <t>MSCI-World</t>
  </si>
  <si>
    <t>Return GSCEQBA, Rp</t>
  </si>
  <si>
    <t>Return MSCI World Index</t>
  </si>
  <si>
    <t>Risk-free</t>
  </si>
  <si>
    <t>Fund Excess</t>
  </si>
  <si>
    <t>Benchmark Excess</t>
  </si>
  <si>
    <t>Fund Geo-Mittel (Up)</t>
  </si>
  <si>
    <t>Benchmark Geo-Mittel (Up)</t>
  </si>
  <si>
    <t>UC Ratio</t>
  </si>
  <si>
    <t>Fund Geo-Mittel (Down)</t>
  </si>
  <si>
    <t>Benchmark Geo-Mittel (Down)</t>
  </si>
  <si>
    <t>DC Ratio</t>
  </si>
  <si>
    <t>pre-covid</t>
  </si>
  <si>
    <t>during-covid</t>
  </si>
  <si>
    <t>post-covid</t>
  </si>
  <si>
    <t>GSCEQBA and MSCI World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</si>
</sst>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lina Khegay" id="{231AEAC0-FDE1-4E2E-9D1C-FB45B8E884C6}" userId="S::g.khegay@hm.edu::380e464f-d0ab-4c27-bc53-0f64b3b6ca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02T16:08:19.87" personId="{231AEAC0-FDE1-4E2E-9D1C-FB45B8E884C6}" id="{7D7C6E03-50D0-431B-AAB3-90C240958C86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6-01-02T16:08:19.87" personId="{231AEAC0-FDE1-4E2E-9D1C-FB45B8E884C6}" id="{536D4F7D-09F3-4F1B-95C1-2526356A4915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CCF7-81DA-4D05-B271-A530DFAD1EC7}">
  <dimension ref="A1:Q85"/>
  <sheetViews>
    <sheetView workbookViewId="0">
      <selection activeCell="J14" sqref="J14"/>
    </sheetView>
  </sheetViews>
  <sheetFormatPr baseColWidth="10" defaultRowHeight="15" x14ac:dyDescent="0.2"/>
  <cols>
    <col min="9" max="9" width="12.6640625" bestFit="1" customWidth="1"/>
    <col min="10" max="10" width="12" bestFit="1" customWidth="1"/>
  </cols>
  <sheetData>
    <row r="1" spans="1:17" ht="48" x14ac:dyDescent="0.2">
      <c r="A1" s="7" t="s">
        <v>0</v>
      </c>
      <c r="B1" s="7" t="s">
        <v>103</v>
      </c>
      <c r="C1" s="7" t="s">
        <v>104</v>
      </c>
      <c r="D1" s="8" t="s">
        <v>105</v>
      </c>
      <c r="E1" s="8" t="s">
        <v>106</v>
      </c>
      <c r="F1" s="8" t="s">
        <v>107</v>
      </c>
      <c r="G1" s="8" t="s">
        <v>108</v>
      </c>
      <c r="H1" s="8" t="s">
        <v>109</v>
      </c>
      <c r="I1" s="8" t="s">
        <v>73</v>
      </c>
      <c r="J1" s="8" t="s">
        <v>72</v>
      </c>
      <c r="K1" s="8"/>
      <c r="L1" s="8"/>
      <c r="M1" s="8"/>
      <c r="N1" s="8"/>
      <c r="O1" s="7"/>
      <c r="P1" s="7"/>
      <c r="Q1" s="7"/>
    </row>
    <row r="2" spans="1:17" x14ac:dyDescent="0.2">
      <c r="A2" t="str">
        <f>MSCI_World_Index_Monthly!A14</f>
        <v>2018-01-31</v>
      </c>
      <c r="B2">
        <f>GSCEQBA_Monthly!B14</f>
        <v>23.92</v>
      </c>
      <c r="C2">
        <f>MSCI_World_Index_Monthly!B14</f>
        <v>6241.6213879999996</v>
      </c>
      <c r="D2" s="8"/>
      <c r="E2" s="8"/>
      <c r="F2">
        <f>(1+'Risk-free rate'!B14/100)^(1/12)-1</f>
        <v>1.1674742711142994E-3</v>
      </c>
      <c r="G2" s="8"/>
      <c r="H2" s="8"/>
      <c r="I2" s="8"/>
      <c r="J2" s="8"/>
      <c r="K2" s="8"/>
      <c r="L2" s="8"/>
      <c r="M2" s="8"/>
      <c r="N2" s="8"/>
      <c r="O2" s="7"/>
      <c r="P2" s="7"/>
      <c r="Q2" s="7"/>
    </row>
    <row r="3" spans="1:17" x14ac:dyDescent="0.2">
      <c r="A3" t="str">
        <f>MSCI_World_Index_Monthly!A15</f>
        <v>2018-02-28</v>
      </c>
      <c r="B3">
        <f>GSCEQBA_Monthly!B15</f>
        <v>22.99</v>
      </c>
      <c r="C3">
        <f>MSCI_World_Index_Monthly!B15</f>
        <v>5983.0467289999997</v>
      </c>
      <c r="D3">
        <f>(GSCEQBA_Monthly!B15-GSCEQBA_Monthly!B14)/GSCEQBA_Monthly!B14</f>
        <v>-3.8879598662207492E-2</v>
      </c>
      <c r="E3">
        <f>(MSCI_World_Index_Monthly!B15-MSCI_World_Index_Monthly!B14)/MSCI_World_Index_Monthly!B14</f>
        <v>-4.1427482207929127E-2</v>
      </c>
      <c r="F3">
        <f>(1+'Risk-free rate'!B15/100)^(1/12)-1</f>
        <v>1.2990121499387719E-3</v>
      </c>
      <c r="G3">
        <f t="shared" ref="G3:H14" si="0">D3-$F3</f>
        <v>-4.0178610812146263E-2</v>
      </c>
      <c r="H3">
        <f t="shared" si="0"/>
        <v>-4.2726494357867899E-2</v>
      </c>
      <c r="I3" s="8"/>
      <c r="J3" s="8"/>
      <c r="K3" s="8"/>
      <c r="L3" s="8"/>
      <c r="M3" s="8"/>
      <c r="N3" s="8"/>
      <c r="O3" s="7"/>
      <c r="P3" s="7"/>
      <c r="Q3" s="7"/>
    </row>
    <row r="4" spans="1:17" x14ac:dyDescent="0.2">
      <c r="A4" t="str">
        <f>MSCI_World_Index_Monthly!A16</f>
        <v>2018-03-30</v>
      </c>
      <c r="B4">
        <f>GSCEQBA_Monthly!B16</f>
        <v>22.27</v>
      </c>
      <c r="C4">
        <f>MSCI_World_Index_Monthly!B16</f>
        <v>5852.6375939999998</v>
      </c>
      <c r="D4">
        <f>(GSCEQBA_Monthly!B16-GSCEQBA_Monthly!B15)/GSCEQBA_Monthly!B15</f>
        <v>-3.131796433231835E-2</v>
      </c>
      <c r="E4">
        <f>(MSCI_World_Index_Monthly!B16-MSCI_World_Index_Monthly!B15)/MSCI_World_Index_Monthly!B15</f>
        <v>-2.1796442666560341E-2</v>
      </c>
      <c r="F4">
        <f>(1+'Risk-free rate'!B16/100)^(1/12)-1</f>
        <v>1.4057468926966799E-3</v>
      </c>
      <c r="G4">
        <f t="shared" si="0"/>
        <v>-3.272371122501503E-2</v>
      </c>
      <c r="H4">
        <f t="shared" si="0"/>
        <v>-2.3202189559257021E-2</v>
      </c>
      <c r="I4" s="8"/>
      <c r="J4" s="8"/>
      <c r="K4" s="8"/>
      <c r="L4" s="8"/>
      <c r="M4" s="8"/>
      <c r="N4" s="8"/>
      <c r="O4" s="7"/>
      <c r="P4" s="7"/>
      <c r="Q4" s="7"/>
    </row>
    <row r="5" spans="1:17" x14ac:dyDescent="0.2">
      <c r="A5" t="str">
        <f>MSCI_World_Index_Monthly!A17</f>
        <v>2018-04-30</v>
      </c>
      <c r="B5">
        <f>GSCEQBA_Monthly!B17</f>
        <v>22.97</v>
      </c>
      <c r="C5">
        <f>MSCI_World_Index_Monthly!B17</f>
        <v>5919.891267</v>
      </c>
      <c r="D5">
        <f>(GSCEQBA_Monthly!B17-GSCEQBA_Monthly!B16)/GSCEQBA_Monthly!B16</f>
        <v>3.1432420296362791E-2</v>
      </c>
      <c r="E5">
        <f>(MSCI_World_Index_Monthly!B17-MSCI_World_Index_Monthly!B16)/MSCI_World_Index_Monthly!B16</f>
        <v>1.1491173324818062E-2</v>
      </c>
      <c r="F5">
        <f>(1+'Risk-free rate'!B17/100)^(1/12)-1</f>
        <v>1.4549669057570824E-3</v>
      </c>
      <c r="G5">
        <f t="shared" si="0"/>
        <v>2.9977453390605709E-2</v>
      </c>
      <c r="H5">
        <f t="shared" si="0"/>
        <v>1.0036206419060979E-2</v>
      </c>
      <c r="I5" s="8"/>
      <c r="J5" s="8"/>
      <c r="K5" s="8"/>
      <c r="L5" s="8"/>
      <c r="M5" s="8"/>
      <c r="N5" s="8"/>
      <c r="O5" s="7"/>
      <c r="P5" s="7"/>
      <c r="Q5" s="7"/>
    </row>
    <row r="6" spans="1:17" x14ac:dyDescent="0.2">
      <c r="A6" t="str">
        <f>MSCI_World_Index_Monthly!A18</f>
        <v>2018-05-31</v>
      </c>
      <c r="B6">
        <f>GSCEQBA_Monthly!B18</f>
        <v>23.26</v>
      </c>
      <c r="C6">
        <f>MSCI_World_Index_Monthly!B18</f>
        <v>5956.9878559999997</v>
      </c>
      <c r="D6">
        <f>(GSCEQBA_Monthly!B18-GSCEQBA_Monthly!B17)/GSCEQBA_Monthly!B17</f>
        <v>1.2625163256421537E-2</v>
      </c>
      <c r="E6">
        <f>(MSCI_World_Index_Monthly!B18-MSCI_World_Index_Monthly!B17)/MSCI_World_Index_Monthly!B17</f>
        <v>6.2664308053750895E-3</v>
      </c>
      <c r="F6">
        <f>(1+'Risk-free rate'!B18/100)^(1/12)-1</f>
        <v>1.5369411743291206E-3</v>
      </c>
      <c r="G6">
        <f t="shared" si="0"/>
        <v>1.1088222082092416E-2</v>
      </c>
      <c r="H6">
        <f t="shared" si="0"/>
        <v>4.7294896310459689E-3</v>
      </c>
      <c r="I6" s="8"/>
      <c r="J6" s="8"/>
      <c r="K6" s="8"/>
      <c r="L6" s="8"/>
      <c r="M6" s="8"/>
      <c r="N6" s="8"/>
      <c r="O6" s="7"/>
      <c r="P6" s="7"/>
      <c r="Q6" s="7"/>
    </row>
    <row r="7" spans="1:17" x14ac:dyDescent="0.2">
      <c r="A7" t="str">
        <f>MSCI_World_Index_Monthly!A19</f>
        <v>2018-06-29</v>
      </c>
      <c r="B7">
        <f>GSCEQBA_Monthly!B19</f>
        <v>23</v>
      </c>
      <c r="C7">
        <f>MSCI_World_Index_Monthly!B19</f>
        <v>5954.146307</v>
      </c>
      <c r="D7">
        <f>(GSCEQBA_Monthly!B19-GSCEQBA_Monthly!B18)/GSCEQBA_Monthly!B18</f>
        <v>-1.1177987962166876E-2</v>
      </c>
      <c r="E7">
        <f>(MSCI_World_Index_Monthly!B19-MSCI_World_Index_Monthly!B18)/MSCI_World_Index_Monthly!B18</f>
        <v>-4.7701104462344887E-4</v>
      </c>
      <c r="F7">
        <f>(1+'Risk-free rate'!B19/100)^(1/12)-1</f>
        <v>1.5697102274137009E-3</v>
      </c>
      <c r="G7">
        <f t="shared" si="0"/>
        <v>-1.2747698189580577E-2</v>
      </c>
      <c r="H7">
        <f t="shared" si="0"/>
        <v>-2.0467212720371498E-3</v>
      </c>
      <c r="I7" s="8"/>
      <c r="J7" s="8"/>
      <c r="K7" s="8"/>
      <c r="L7" s="8"/>
      <c r="M7" s="8"/>
      <c r="N7" s="8"/>
      <c r="O7" s="7"/>
      <c r="P7" s="7"/>
      <c r="Q7" s="7"/>
    </row>
    <row r="8" spans="1:17" x14ac:dyDescent="0.2">
      <c r="A8" t="str">
        <f>MSCI_World_Index_Monthly!A20</f>
        <v>2018-07-31</v>
      </c>
      <c r="B8">
        <f>GSCEQBA_Monthly!B20</f>
        <v>23.57</v>
      </c>
      <c r="C8">
        <f>MSCI_World_Index_Monthly!B20</f>
        <v>6140.1154040000001</v>
      </c>
      <c r="D8">
        <f>(GSCEQBA_Monthly!B20-GSCEQBA_Monthly!B19)/GSCEQBA_Monthly!B19</f>
        <v>2.4782608695652186E-2</v>
      </c>
      <c r="E8">
        <f>(MSCI_World_Index_Monthly!B20-MSCI_World_Index_Monthly!B19)/MSCI_World_Index_Monthly!B19</f>
        <v>3.1233545064447834E-2</v>
      </c>
      <c r="F8">
        <f>(1+'Risk-free rate'!B20/100)^(1/12)-1</f>
        <v>1.6188417051281601E-3</v>
      </c>
      <c r="G8">
        <f t="shared" si="0"/>
        <v>2.3163766990524026E-2</v>
      </c>
      <c r="H8">
        <f t="shared" si="0"/>
        <v>2.9614703359319674E-2</v>
      </c>
      <c r="I8" s="8"/>
      <c r="J8" s="8"/>
      <c r="K8" s="8"/>
      <c r="L8" s="8"/>
      <c r="M8" s="8"/>
      <c r="N8" s="8"/>
      <c r="O8" s="7"/>
      <c r="P8" s="7"/>
      <c r="Q8" s="7"/>
    </row>
    <row r="9" spans="1:17" x14ac:dyDescent="0.2">
      <c r="A9" t="str">
        <f>MSCI_World_Index_Monthly!A21</f>
        <v>2018-08-31</v>
      </c>
      <c r="B9">
        <f>GSCEQBA_Monthly!B21</f>
        <v>24.02</v>
      </c>
      <c r="C9">
        <f>MSCI_World_Index_Monthly!B21</f>
        <v>6216.0861050000003</v>
      </c>
      <c r="D9">
        <f>(GSCEQBA_Monthly!B21-GSCEQBA_Monthly!B20)/GSCEQBA_Monthly!B20</f>
        <v>1.9092066185829412E-2</v>
      </c>
      <c r="E9">
        <f>(MSCI_World_Index_Monthly!B21-MSCI_World_Index_Monthly!B20)/MSCI_World_Index_Monthly!B20</f>
        <v>1.2372845785684875E-2</v>
      </c>
      <c r="F9">
        <f>(1+'Risk-free rate'!B21/100)^(1/12)-1</f>
        <v>1.6761282769228725E-3</v>
      </c>
      <c r="G9">
        <f t="shared" si="0"/>
        <v>1.741593790890654E-2</v>
      </c>
      <c r="H9">
        <f t="shared" si="0"/>
        <v>1.0696717508762003E-2</v>
      </c>
      <c r="I9" s="8"/>
      <c r="J9" s="8"/>
      <c r="K9" s="8"/>
      <c r="L9" s="8"/>
      <c r="M9" s="8"/>
      <c r="N9" s="8"/>
      <c r="O9" s="7"/>
      <c r="P9" s="7"/>
      <c r="Q9" s="7"/>
    </row>
    <row r="10" spans="1:17" x14ac:dyDescent="0.2">
      <c r="A10" t="str">
        <f>MSCI_World_Index_Monthly!A22</f>
        <v>2018-09-28</v>
      </c>
      <c r="B10">
        <f>GSCEQBA_Monthly!B22</f>
        <v>23.94</v>
      </c>
      <c r="C10">
        <f>MSCI_World_Index_Monthly!B22</f>
        <v>6250.6981239999996</v>
      </c>
      <c r="D10">
        <f>(GSCEQBA_Monthly!B22-GSCEQBA_Monthly!B21)/GSCEQBA_Monthly!B21</f>
        <v>-3.3305578684428932E-3</v>
      </c>
      <c r="E10">
        <f>(MSCI_World_Index_Monthly!B22-MSCI_World_Index_Monthly!B21)/MSCI_World_Index_Monthly!B21</f>
        <v>5.5681369941382487E-3</v>
      </c>
      <c r="F10">
        <f>(1+'Risk-free rate'!B22/100)^(1/12)-1</f>
        <v>1.7579037712718293E-3</v>
      </c>
      <c r="G10">
        <f t="shared" si="0"/>
        <v>-5.0884616397147229E-3</v>
      </c>
      <c r="H10">
        <f t="shared" si="0"/>
        <v>3.8102332228664194E-3</v>
      </c>
      <c r="I10" s="8"/>
      <c r="J10" s="8"/>
      <c r="K10" s="8"/>
      <c r="L10" s="8"/>
      <c r="M10" s="8"/>
      <c r="N10" s="8"/>
      <c r="O10" s="7"/>
      <c r="P10" s="7"/>
      <c r="Q10" s="7"/>
    </row>
    <row r="11" spans="1:17" x14ac:dyDescent="0.2">
      <c r="A11" t="str">
        <f>MSCI_World_Index_Monthly!A23</f>
        <v>2018-10-31</v>
      </c>
      <c r="B11">
        <f>GSCEQBA_Monthly!B23</f>
        <v>21.94</v>
      </c>
      <c r="C11">
        <f>MSCI_World_Index_Monthly!B23</f>
        <v>5791.7225600000002</v>
      </c>
      <c r="D11">
        <f>(GSCEQBA_Monthly!B23-GSCEQBA_Monthly!B22)/GSCEQBA_Monthly!B22</f>
        <v>-8.3542188805346695E-2</v>
      </c>
      <c r="E11">
        <f>(MSCI_World_Index_Monthly!B23-MSCI_World_Index_Monthly!B22)/MSCI_World_Index_Monthly!B22</f>
        <v>-7.3427888356618939E-2</v>
      </c>
      <c r="F11">
        <f>(1+'Risk-free rate'!B23/100)^(1/12)-1</f>
        <v>1.855937535336194E-3</v>
      </c>
      <c r="G11">
        <f t="shared" si="0"/>
        <v>-8.5398126340682889E-2</v>
      </c>
      <c r="H11">
        <f t="shared" si="0"/>
        <v>-7.5283825891955133E-2</v>
      </c>
      <c r="I11" s="8"/>
      <c r="J11" s="8"/>
      <c r="K11" s="8"/>
      <c r="L11" s="8"/>
      <c r="M11" s="8"/>
      <c r="N11" s="8"/>
      <c r="O11" s="7"/>
      <c r="P11" s="7"/>
      <c r="Q11" s="7"/>
    </row>
    <row r="12" spans="1:17" x14ac:dyDescent="0.2">
      <c r="A12" t="str">
        <f>MSCI_World_Index_Monthly!A24</f>
        <v>2018-11-30</v>
      </c>
      <c r="B12">
        <f>GSCEQBA_Monthly!B24</f>
        <v>21.75</v>
      </c>
      <c r="C12">
        <f>MSCI_World_Index_Monthly!B24</f>
        <v>5857.5160020000003</v>
      </c>
      <c r="D12">
        <f>(GSCEQBA_Monthly!B24-GSCEQBA_Monthly!B23)/GSCEQBA_Monthly!B23</f>
        <v>-8.6599817684594928E-3</v>
      </c>
      <c r="E12">
        <f>(MSCI_World_Index_Monthly!B24-MSCI_World_Index_Monthly!B23)/MSCI_World_Index_Monthly!B23</f>
        <v>1.135990913211149E-2</v>
      </c>
      <c r="F12">
        <f>(1+'Risk-free rate'!B24/100)^(1/12)-1</f>
        <v>1.921234803683225E-3</v>
      </c>
      <c r="G12">
        <f t="shared" si="0"/>
        <v>-1.0581216572142718E-2</v>
      </c>
      <c r="H12">
        <f t="shared" si="0"/>
        <v>9.4386743284282648E-3</v>
      </c>
      <c r="I12" s="8"/>
      <c r="J12" s="8"/>
      <c r="K12" s="8"/>
      <c r="L12" s="8"/>
      <c r="M12" s="8"/>
      <c r="N12" s="8"/>
      <c r="O12" s="7"/>
      <c r="P12" s="7"/>
      <c r="Q12" s="7"/>
    </row>
    <row r="13" spans="1:17" x14ac:dyDescent="0.2">
      <c r="A13" t="str">
        <f>MSCI_World_Index_Monthly!A25</f>
        <v>2018-12-31</v>
      </c>
      <c r="B13">
        <f>GSCEQBA_Monthly!B25</f>
        <v>19.920000000000002</v>
      </c>
      <c r="C13">
        <f>MSCI_World_Index_Monthly!B25</f>
        <v>5412.122265</v>
      </c>
      <c r="D13">
        <f>(GSCEQBA_Monthly!B25-GSCEQBA_Monthly!B24)/GSCEQBA_Monthly!B24</f>
        <v>-8.413793103448268E-2</v>
      </c>
      <c r="E13">
        <f>(MSCI_World_Index_Monthly!B25-MSCI_World_Index_Monthly!B24)/MSCI_World_Index_Monthly!B24</f>
        <v>-7.6037988944106058E-2</v>
      </c>
      <c r="F13">
        <f>(1+'Risk-free rate'!B25/100)^(1/12)-1</f>
        <v>1.9538658918776264E-3</v>
      </c>
      <c r="G13">
        <f t="shared" si="0"/>
        <v>-8.6091796926360306E-2</v>
      </c>
      <c r="H13">
        <f t="shared" si="0"/>
        <v>-7.7991854835983684E-2</v>
      </c>
      <c r="I13" s="8"/>
      <c r="J13" s="8"/>
      <c r="K13" s="8"/>
      <c r="L13" s="8"/>
      <c r="M13" s="8"/>
      <c r="N13" s="8"/>
      <c r="O13" s="7"/>
      <c r="P13" s="7"/>
      <c r="Q13" s="7"/>
    </row>
    <row r="14" spans="1:17" x14ac:dyDescent="0.2">
      <c r="A14" t="str">
        <f>MSCI_World_Index_Monthly!A26</f>
        <v>2019-01-31</v>
      </c>
      <c r="B14">
        <f>GSCEQBA_Monthly!B26</f>
        <v>21.75</v>
      </c>
      <c r="C14">
        <f>MSCI_World_Index_Monthly!B26</f>
        <v>5833.2166969999998</v>
      </c>
      <c r="D14">
        <f>(GSCEQBA_Monthly!B26-GSCEQBA_Monthly!B25)/GSCEQBA_Monthly!B25</f>
        <v>9.1867469879517979E-2</v>
      </c>
      <c r="E14">
        <f>(MSCI_World_Index_Monthly!B26-MSCI_World_Index_Monthly!B25)/MSCI_World_Index_Monthly!B25</f>
        <v>7.7805786968857371E-2</v>
      </c>
      <c r="F14">
        <f>(1+'Risk-free rate'!B26/100)^(1/12)-1</f>
        <v>1.9538658918776264E-3</v>
      </c>
      <c r="G14">
        <f t="shared" si="0"/>
        <v>8.9913603987640353E-2</v>
      </c>
      <c r="H14">
        <f t="shared" si="0"/>
        <v>7.5851921076979745E-2</v>
      </c>
      <c r="I14">
        <f>((1+INDEX(LINEST(G3:G14,H3:H14,TRUE,TRUE),1,2))^12)-1</f>
        <v>-1.5361339202012547E-2</v>
      </c>
      <c r="J14">
        <f>INDEX(LINEST(G3:G14, H3:H14, TRUE, TRUE), 1, 1)</f>
        <v>1.1129697194646169</v>
      </c>
    </row>
    <row r="15" spans="1:17" x14ac:dyDescent="0.2">
      <c r="A15" t="str">
        <f>MSCI_World_Index_Monthly!A27</f>
        <v>2019-02-28</v>
      </c>
      <c r="B15">
        <f>GSCEQBA_Monthly!B27</f>
        <v>22.36</v>
      </c>
      <c r="C15">
        <f>MSCI_World_Index_Monthly!B27</f>
        <v>6008.6205250000003</v>
      </c>
      <c r="D15">
        <f>(GSCEQBA_Monthly!B27-GSCEQBA_Monthly!B26)/GSCEQBA_Monthly!B26</f>
        <v>2.8045977011494225E-2</v>
      </c>
      <c r="E15">
        <f>(MSCI_World_Index_Monthly!B27-MSCI_World_Index_Monthly!B26)/MSCI_World_Index_Monthly!B26</f>
        <v>3.0069828897357768E-2</v>
      </c>
      <c r="F15">
        <f>(1+'Risk-free rate'!B27/100)^(1/12)-1</f>
        <v>1.970177053312705E-3</v>
      </c>
      <c r="G15">
        <f t="shared" ref="G15:G55" si="1">D15-$F15</f>
        <v>2.607579995818152E-2</v>
      </c>
      <c r="H15">
        <f t="shared" ref="H15:H55" si="2">E15-$F15</f>
        <v>2.8099651844045063E-2</v>
      </c>
      <c r="I15">
        <f t="shared" ref="I15:I25" si="3">((1+INDEX(LINEST(G4:G15,H4:H15,TRUE,TRUE),1,2))^12)-1</f>
        <v>-2.7608789747331053E-2</v>
      </c>
      <c r="J15">
        <f t="shared" ref="J15:J25" si="4">INDEX(LINEST(G4:G15, H4:H15, TRUE, TRUE), 1, 1)</f>
        <v>1.1256269869629527</v>
      </c>
    </row>
    <row r="16" spans="1:17" x14ac:dyDescent="0.2">
      <c r="A16" t="str">
        <f>MSCI_World_Index_Monthly!A28</f>
        <v>2019-03-29</v>
      </c>
      <c r="B16">
        <f>GSCEQBA_Monthly!B28</f>
        <v>22.32</v>
      </c>
      <c r="C16">
        <f>MSCI_World_Index_Monthly!B28</f>
        <v>6087.5405780000001</v>
      </c>
      <c r="D16">
        <f>(GSCEQBA_Monthly!B28-GSCEQBA_Monthly!B27)/GSCEQBA_Monthly!B27</f>
        <v>-1.7889087656529135E-3</v>
      </c>
      <c r="E16">
        <f>(MSCI_World_Index_Monthly!B28-MSCI_World_Index_Monthly!B27)/MSCI_World_Index_Monthly!B27</f>
        <v>1.3134471160499825E-2</v>
      </c>
      <c r="F16">
        <f>(1+'Risk-free rate'!B28/100)^(1/12)-1</f>
        <v>1.9783315388433032E-3</v>
      </c>
      <c r="G16">
        <f t="shared" si="1"/>
        <v>-3.7672403044962167E-3</v>
      </c>
      <c r="H16">
        <f t="shared" si="2"/>
        <v>1.1156139621656522E-2</v>
      </c>
      <c r="I16">
        <f t="shared" si="3"/>
        <v>-3.6715868857407297E-2</v>
      </c>
      <c r="J16">
        <f t="shared" si="4"/>
        <v>1.1137452061492152</v>
      </c>
    </row>
    <row r="17" spans="1:10" x14ac:dyDescent="0.2">
      <c r="A17" t="str">
        <f>MSCI_World_Index_Monthly!A29</f>
        <v>2019-04-30</v>
      </c>
      <c r="B17">
        <f>GSCEQBA_Monthly!B29</f>
        <v>23.04</v>
      </c>
      <c r="C17">
        <f>MSCI_World_Index_Monthly!B29</f>
        <v>6303.4005770000003</v>
      </c>
      <c r="D17">
        <f>(GSCEQBA_Monthly!B29-GSCEQBA_Monthly!B28)/GSCEQBA_Monthly!B28</f>
        <v>3.2258064516128983E-2</v>
      </c>
      <c r="E17">
        <f>(MSCI_World_Index_Monthly!B29-MSCI_World_Index_Monthly!B28)/MSCI_World_Index_Monthly!B28</f>
        <v>3.5459311726003945E-2</v>
      </c>
      <c r="F17">
        <f>(1+'Risk-free rate'!B29/100)^(1/12)-1</f>
        <v>1.9620218377029985E-3</v>
      </c>
      <c r="G17">
        <f t="shared" si="1"/>
        <v>3.0296042678425984E-2</v>
      </c>
      <c r="H17">
        <f t="shared" si="2"/>
        <v>3.3497289888300946E-2</v>
      </c>
      <c r="I17">
        <f t="shared" si="3"/>
        <v>-6.079245695135671E-2</v>
      </c>
      <c r="J17">
        <f t="shared" si="4"/>
        <v>1.102023466806155</v>
      </c>
    </row>
    <row r="18" spans="1:10" x14ac:dyDescent="0.2">
      <c r="A18" t="str">
        <f>MSCI_World_Index_Monthly!A30</f>
        <v>2019-05-31</v>
      </c>
      <c r="B18">
        <f>GSCEQBA_Monthly!B30</f>
        <v>21.37</v>
      </c>
      <c r="C18">
        <f>MSCI_World_Index_Monthly!B30</f>
        <v>5939.6889540000002</v>
      </c>
      <c r="D18">
        <f>(GSCEQBA_Monthly!B30-GSCEQBA_Monthly!B29)/GSCEQBA_Monthly!B29</f>
        <v>-7.2482638888888812E-2</v>
      </c>
      <c r="E18">
        <f>(MSCI_World_Index_Monthly!B30-MSCI_World_Index_Monthly!B29)/MSCI_World_Index_Monthly!B29</f>
        <v>-5.7700858220421508E-2</v>
      </c>
      <c r="F18">
        <f>(1+'Risk-free rate'!B30/100)^(1/12)-1</f>
        <v>1.937551809032545E-3</v>
      </c>
      <c r="G18">
        <f t="shared" si="1"/>
        <v>-7.4420190697921357E-2</v>
      </c>
      <c r="H18">
        <f t="shared" si="2"/>
        <v>-5.9638410029454053E-2</v>
      </c>
      <c r="I18">
        <f t="shared" si="3"/>
        <v>-7.4390774566658102E-2</v>
      </c>
      <c r="J18">
        <f t="shared" si="4"/>
        <v>1.1078051377853491</v>
      </c>
    </row>
    <row r="19" spans="1:10" x14ac:dyDescent="0.2">
      <c r="A19" t="str">
        <f>MSCI_World_Index_Monthly!A31</f>
        <v>2019-06-28</v>
      </c>
      <c r="B19">
        <f>GSCEQBA_Monthly!B31</f>
        <v>22.62</v>
      </c>
      <c r="C19">
        <f>MSCI_World_Index_Monthly!B31</f>
        <v>6331.0841520000004</v>
      </c>
      <c r="D19">
        <f>(GSCEQBA_Monthly!B31-GSCEQBA_Monthly!B30)/GSCEQBA_Monthly!B30</f>
        <v>5.8493214787084698E-2</v>
      </c>
      <c r="E19">
        <f>(MSCI_World_Index_Monthly!B31-MSCI_World_Index_Monthly!B30)/MSCI_World_Index_Monthly!B30</f>
        <v>6.5894898037787072E-2</v>
      </c>
      <c r="F19">
        <f>(1+'Risk-free rate'!B31/100)^(1/12)-1</f>
        <v>1.7905934192179451E-3</v>
      </c>
      <c r="G19">
        <f t="shared" si="1"/>
        <v>5.6702621367866753E-2</v>
      </c>
      <c r="H19">
        <f t="shared" si="2"/>
        <v>6.4104304618569127E-2</v>
      </c>
      <c r="I19">
        <f t="shared" si="3"/>
        <v>-7.7076675591712052E-2</v>
      </c>
      <c r="J19">
        <f t="shared" si="4"/>
        <v>1.0900909068440463</v>
      </c>
    </row>
    <row r="20" spans="1:10" x14ac:dyDescent="0.2">
      <c r="A20" t="str">
        <f>MSCI_World_Index_Monthly!A32</f>
        <v>2019-07-31</v>
      </c>
      <c r="B20">
        <f>GSCEQBA_Monthly!B32</f>
        <v>23.02</v>
      </c>
      <c r="C20">
        <f>MSCI_World_Index_Monthly!B32</f>
        <v>6362.4442049999998</v>
      </c>
      <c r="D20">
        <f>(GSCEQBA_Monthly!B32-GSCEQBA_Monthly!B31)/GSCEQBA_Monthly!B31</f>
        <v>1.7683465959327963E-2</v>
      </c>
      <c r="E20">
        <f>(MSCI_World_Index_Monthly!B32-MSCI_World_Index_Monthly!B31)/MSCI_World_Index_Monthly!B31</f>
        <v>4.9533464169944303E-3</v>
      </c>
      <c r="F20">
        <f>(1+'Risk-free rate'!B32/100)^(1/12)-1</f>
        <v>1.73337883251512E-3</v>
      </c>
      <c r="G20">
        <f t="shared" si="1"/>
        <v>1.5950087126812843E-2</v>
      </c>
      <c r="H20">
        <f t="shared" si="2"/>
        <v>3.2199675844793102E-3</v>
      </c>
      <c r="I20">
        <f t="shared" si="3"/>
        <v>-5.6925609728022741E-2</v>
      </c>
      <c r="J20">
        <f t="shared" si="4"/>
        <v>1.0932266514044828</v>
      </c>
    </row>
    <row r="21" spans="1:10" x14ac:dyDescent="0.2">
      <c r="A21" t="str">
        <f>MSCI_World_Index_Monthly!A33</f>
        <v>2019-08-30</v>
      </c>
      <c r="B21">
        <f>GSCEQBA_Monthly!B33</f>
        <v>22.27</v>
      </c>
      <c r="C21">
        <f>MSCI_World_Index_Monthly!B33</f>
        <v>6232.3033569999998</v>
      </c>
      <c r="D21">
        <f>(GSCEQBA_Monthly!B33-GSCEQBA_Monthly!B32)/GSCEQBA_Monthly!B32</f>
        <v>-3.2580364900086881E-2</v>
      </c>
      <c r="E21">
        <f>(MSCI_World_Index_Monthly!B33-MSCI_World_Index_Monthly!B32)/MSCI_World_Index_Monthly!B32</f>
        <v>-2.0454536622533732E-2</v>
      </c>
      <c r="F21">
        <f>(1+'Risk-free rate'!B33/100)^(1/12)-1</f>
        <v>1.6106549662961989E-3</v>
      </c>
      <c r="G21">
        <f t="shared" si="1"/>
        <v>-3.4191019866383079E-2</v>
      </c>
      <c r="H21">
        <f t="shared" si="2"/>
        <v>-2.2065191588829931E-2</v>
      </c>
      <c r="I21">
        <f t="shared" si="3"/>
        <v>-7.1783257077642437E-2</v>
      </c>
      <c r="J21">
        <f t="shared" si="4"/>
        <v>1.0930002153596372</v>
      </c>
    </row>
    <row r="22" spans="1:10" x14ac:dyDescent="0.2">
      <c r="A22" t="str">
        <f>MSCI_World_Index_Monthly!A34</f>
        <v>2019-09-30</v>
      </c>
      <c r="B22">
        <f>GSCEQBA_Monthly!B34</f>
        <v>22.55</v>
      </c>
      <c r="C22">
        <f>MSCI_World_Index_Monthly!B34</f>
        <v>6364.9328020000003</v>
      </c>
      <c r="D22">
        <f>(GSCEQBA_Monthly!B34-GSCEQBA_Monthly!B33)/GSCEQBA_Monthly!B33</f>
        <v>1.2572968118545179E-2</v>
      </c>
      <c r="E22">
        <f>(MSCI_World_Index_Monthly!B34-MSCI_World_Index_Monthly!B33)/MSCI_World_Index_Monthly!B33</f>
        <v>2.1280967469440287E-2</v>
      </c>
      <c r="F22">
        <f>(1+'Risk-free rate'!B34/100)^(1/12)-1</f>
        <v>1.5615190697231274E-3</v>
      </c>
      <c r="G22">
        <f t="shared" si="1"/>
        <v>1.1011449048822052E-2</v>
      </c>
      <c r="H22">
        <f t="shared" si="2"/>
        <v>1.9719448399717159E-2</v>
      </c>
      <c r="I22">
        <f t="shared" si="3"/>
        <v>-7.296187353866268E-2</v>
      </c>
      <c r="J22">
        <f t="shared" si="4"/>
        <v>1.09040593299829</v>
      </c>
    </row>
    <row r="23" spans="1:10" x14ac:dyDescent="0.2">
      <c r="A23" t="str">
        <f>MSCI_World_Index_Monthly!A35</f>
        <v>2019-10-31</v>
      </c>
      <c r="B23">
        <f>GSCEQBA_Monthly!B35</f>
        <v>23.07</v>
      </c>
      <c r="C23">
        <f>MSCI_World_Index_Monthly!B35</f>
        <v>6526.9043300000003</v>
      </c>
      <c r="D23">
        <f>(GSCEQBA_Monthly!B35-GSCEQBA_Monthly!B34)/GSCEQBA_Monthly!B34</f>
        <v>2.3059866962305966E-2</v>
      </c>
      <c r="E23">
        <f>(MSCI_World_Index_Monthly!B35-MSCI_World_Index_Monthly!B34)/MSCI_World_Index_Monthly!B34</f>
        <v>2.5447484370786297E-2</v>
      </c>
      <c r="F23">
        <f>(1+'Risk-free rate'!B35/100)^(1/12)-1</f>
        <v>1.364709877352599E-3</v>
      </c>
      <c r="G23">
        <f t="shared" si="1"/>
        <v>2.1695157084953367E-2</v>
      </c>
      <c r="H23">
        <f t="shared" si="2"/>
        <v>2.4082774493433698E-2</v>
      </c>
      <c r="I23">
        <f t="shared" si="3"/>
        <v>-7.541549738537201E-2</v>
      </c>
      <c r="J23">
        <f t="shared" si="4"/>
        <v>1.1029807644103662</v>
      </c>
    </row>
    <row r="24" spans="1:10" x14ac:dyDescent="0.2">
      <c r="A24" t="str">
        <f>MSCI_World_Index_Monthly!A36</f>
        <v>2019-11-29</v>
      </c>
      <c r="B24">
        <f>GSCEQBA_Monthly!B36</f>
        <v>23.78</v>
      </c>
      <c r="C24">
        <f>MSCI_World_Index_Monthly!B36</f>
        <v>6708.6796709999999</v>
      </c>
      <c r="D24">
        <f>(GSCEQBA_Monthly!B36-GSCEQBA_Monthly!B35)/GSCEQBA_Monthly!B35</f>
        <v>3.0775899436497653E-2</v>
      </c>
      <c r="E24">
        <f>(MSCI_World_Index_Monthly!B36-MSCI_World_Index_Monthly!B35)/MSCI_World_Index_Monthly!B35</f>
        <v>2.7850161701389542E-2</v>
      </c>
      <c r="F24">
        <f>(1+'Risk-free rate'!B36/100)^(1/12)-1</f>
        <v>1.2743632726075482E-3</v>
      </c>
      <c r="G24">
        <f t="shared" si="1"/>
        <v>2.9501536163890105E-2</v>
      </c>
      <c r="H24">
        <f t="shared" si="2"/>
        <v>2.6575798428781994E-2</v>
      </c>
      <c r="I24">
        <f t="shared" si="3"/>
        <v>-5.6000003836665924E-2</v>
      </c>
      <c r="J24">
        <f t="shared" si="4"/>
        <v>1.1070608288405746</v>
      </c>
    </row>
    <row r="25" spans="1:10" x14ac:dyDescent="0.2">
      <c r="A25" t="str">
        <f>MSCI_World_Index_Monthly!A37</f>
        <v>2019-12-31</v>
      </c>
      <c r="B25">
        <f>GSCEQBA_Monthly!B37</f>
        <v>24.22</v>
      </c>
      <c r="C25">
        <f>MSCI_World_Index_Monthly!B37</f>
        <v>6909.6599249999999</v>
      </c>
      <c r="D25">
        <f>(GSCEQBA_Monthly!B37-GSCEQBA_Monthly!B36)/GSCEQBA_Monthly!B36</f>
        <v>1.8502943650126061E-2</v>
      </c>
      <c r="E25">
        <f>(MSCI_World_Index_Monthly!B37-MSCI_World_Index_Monthly!B36)/MSCI_World_Index_Monthly!B36</f>
        <v>2.9958242732737575E-2</v>
      </c>
      <c r="F25">
        <f>(1+'Risk-free rate'!B37/100)^(1/12)-1</f>
        <v>1.2743632726075482E-3</v>
      </c>
      <c r="G25">
        <f t="shared" si="1"/>
        <v>1.7228580377518513E-2</v>
      </c>
      <c r="H25">
        <f t="shared" si="2"/>
        <v>2.8683879460130027E-2</v>
      </c>
      <c r="I25">
        <f t="shared" si="3"/>
        <v>-7.6194212362741376E-2</v>
      </c>
      <c r="J25">
        <f t="shared" si="4"/>
        <v>1.1358886421842425</v>
      </c>
    </row>
    <row r="26" spans="1:10" x14ac:dyDescent="0.2">
      <c r="A26" t="str">
        <f>MSCI_World_Index_Monthly!A38</f>
        <v>2020-01-31</v>
      </c>
      <c r="B26">
        <f>GSCEQBA_Monthly!B38</f>
        <v>24.24</v>
      </c>
      <c r="C26">
        <f>MSCI_World_Index_Monthly!B38</f>
        <v>6867.6031700000003</v>
      </c>
      <c r="D26">
        <f>(GSCEQBA_Monthly!B38-GSCEQBA_Monthly!B37)/GSCEQBA_Monthly!B37</f>
        <v>8.2576383154416076E-4</v>
      </c>
      <c r="E26">
        <f>(MSCI_World_Index_Monthly!B38-MSCI_World_Index_Monthly!B37)/MSCI_World_Index_Monthly!B37</f>
        <v>-6.0866606253417912E-3</v>
      </c>
      <c r="F26">
        <f>(1+'Risk-free rate'!B38/100)^(1/12)-1</f>
        <v>1.2579269787644787E-3</v>
      </c>
      <c r="G26">
        <f t="shared" si="1"/>
        <v>-4.3216314722031792E-4</v>
      </c>
      <c r="H26">
        <f t="shared" si="2"/>
        <v>-7.3445876041062699E-3</v>
      </c>
      <c r="I26">
        <f>((1+INDEX(LINEST(G15:G26,H15:H26,TRUE,TRUE),1,2))^12)-1</f>
        <v>-6.0104607807454302E-2</v>
      </c>
      <c r="J26">
        <f>INDEX(LINEST(G15:G26, H15:H26, TRUE, TRUE), 1, 1)</f>
        <v>1.0492132350389254</v>
      </c>
    </row>
    <row r="27" spans="1:10" x14ac:dyDescent="0.2">
      <c r="A27" t="str">
        <f>MSCI_World_Index_Monthly!A39</f>
        <v>2020-02-28</v>
      </c>
      <c r="B27">
        <f>GSCEQBA_Monthly!B39</f>
        <v>21.61</v>
      </c>
      <c r="C27">
        <f>MSCI_World_Index_Monthly!B39</f>
        <v>6287.1173120000003</v>
      </c>
      <c r="D27">
        <f>(GSCEQBA_Monthly!B39-GSCEQBA_Monthly!B38)/GSCEQBA_Monthly!B38</f>
        <v>-0.10849834983498347</v>
      </c>
      <c r="E27">
        <f>(MSCI_World_Index_Monthly!B39-MSCI_World_Index_Monthly!B38)/MSCI_World_Index_Monthly!B38</f>
        <v>-8.4525247547172999E-2</v>
      </c>
      <c r="F27">
        <f>(1+'Risk-free rate'!B39/100)^(1/12)-1</f>
        <v>1.2579269787644787E-3</v>
      </c>
      <c r="G27">
        <f t="shared" si="1"/>
        <v>-0.10975627681374794</v>
      </c>
      <c r="H27">
        <f t="shared" si="2"/>
        <v>-8.5783174525937478E-2</v>
      </c>
      <c r="I27">
        <f t="shared" ref="I27:I85" si="5">((1+INDEX(LINEST(G16:G27,H16:H27,TRUE,TRUE),1,2))^12)-1</f>
        <v>-7.7625470813579733E-2</v>
      </c>
      <c r="J27">
        <f t="shared" ref="J27:J85" si="6">INDEX(LINEST(G16:G27, H16:H27, TRUE, TRUE), 1, 1)</f>
        <v>1.1144166349164375</v>
      </c>
    </row>
    <row r="28" spans="1:10" x14ac:dyDescent="0.2">
      <c r="A28" t="str">
        <f>MSCI_World_Index_Monthly!A40</f>
        <v>2020-03-31</v>
      </c>
      <c r="B28">
        <f>GSCEQBA_Monthly!B40</f>
        <v>18.559999999999999</v>
      </c>
      <c r="C28">
        <f>MSCI_World_Index_Monthly!B40</f>
        <v>5455.0630090000004</v>
      </c>
      <c r="D28">
        <f>(GSCEQBA_Monthly!B40-GSCEQBA_Monthly!B39)/GSCEQBA_Monthly!B39</f>
        <v>-0.1411383618695049</v>
      </c>
      <c r="E28">
        <f>(MSCI_World_Index_Monthly!B40-MSCI_World_Index_Monthly!B39)/MSCI_World_Index_Monthly!B39</f>
        <v>-0.13234273542373498</v>
      </c>
      <c r="F28">
        <f>(1+'Risk-free rate'!B40/100)^(1/12)-1</f>
        <v>2.4134604527370485E-4</v>
      </c>
      <c r="G28">
        <f t="shared" si="1"/>
        <v>-0.14137970791477861</v>
      </c>
      <c r="H28">
        <f t="shared" si="2"/>
        <v>-0.13258408146900869</v>
      </c>
      <c r="I28">
        <f t="shared" si="5"/>
        <v>-6.0497351328801963E-2</v>
      </c>
      <c r="J28">
        <f t="shared" si="6"/>
        <v>1.0745754369582226</v>
      </c>
    </row>
    <row r="29" spans="1:10" x14ac:dyDescent="0.2">
      <c r="A29" t="str">
        <f>MSCI_World_Index_Monthly!A41</f>
        <v>2020-04-30</v>
      </c>
      <c r="B29">
        <f>GSCEQBA_Monthly!B41</f>
        <v>20.76</v>
      </c>
      <c r="C29">
        <f>MSCI_World_Index_Monthly!B41</f>
        <v>6050.9972959999996</v>
      </c>
      <c r="D29">
        <f>(GSCEQBA_Monthly!B41-GSCEQBA_Monthly!B40)/GSCEQBA_Monthly!B40</f>
        <v>0.11853448275862086</v>
      </c>
      <c r="E29">
        <f>(MSCI_World_Index_Monthly!B41-MSCI_World_Index_Monthly!B40)/MSCI_World_Index_Monthly!B40</f>
        <v>0.10924425364414687</v>
      </c>
      <c r="F29">
        <f>(1+'Risk-free rate'!B41/100)^(1/12)-1</f>
        <v>1.1659187244639213E-4</v>
      </c>
      <c r="G29">
        <f t="shared" si="1"/>
        <v>0.11841789088617447</v>
      </c>
      <c r="H29">
        <f t="shared" si="2"/>
        <v>0.10912766177170048</v>
      </c>
      <c r="I29">
        <f t="shared" si="5"/>
        <v>-5.3542054967420705E-2</v>
      </c>
      <c r="J29">
        <f t="shared" si="6"/>
        <v>1.0898909260696694</v>
      </c>
    </row>
    <row r="30" spans="1:10" x14ac:dyDescent="0.2">
      <c r="A30" t="str">
        <f>MSCI_World_Index_Monthly!A42</f>
        <v>2020-05-29</v>
      </c>
      <c r="B30">
        <f>GSCEQBA_Monthly!B42</f>
        <v>21.86</v>
      </c>
      <c r="C30">
        <f>MSCI_World_Index_Monthly!B42</f>
        <v>6343.3098609999997</v>
      </c>
      <c r="D30">
        <f>(GSCEQBA_Monthly!B42-GSCEQBA_Monthly!B41)/GSCEQBA_Monthly!B41</f>
        <v>5.2986512524084671E-2</v>
      </c>
      <c r="E30">
        <f>(MSCI_World_Index_Monthly!B42-MSCI_World_Index_Monthly!B41)/MSCI_World_Index_Monthly!B41</f>
        <v>4.8308163216868871E-2</v>
      </c>
      <c r="F30">
        <f>(1+'Risk-free rate'!B42/100)^(1/12)-1</f>
        <v>1.0826883828274347E-4</v>
      </c>
      <c r="G30">
        <f t="shared" si="1"/>
        <v>5.2878243685801928E-2</v>
      </c>
      <c r="H30">
        <f t="shared" si="2"/>
        <v>4.8199894378586128E-2</v>
      </c>
      <c r="I30">
        <f t="shared" si="5"/>
        <v>-4.4033633675444883E-2</v>
      </c>
      <c r="J30">
        <f t="shared" si="6"/>
        <v>1.0874130861425657</v>
      </c>
    </row>
    <row r="31" spans="1:10" x14ac:dyDescent="0.2">
      <c r="A31" t="str">
        <f>MSCI_World_Index_Monthly!A43</f>
        <v>2020-06-30</v>
      </c>
      <c r="B31">
        <f>GSCEQBA_Monthly!B43</f>
        <v>22.49</v>
      </c>
      <c r="C31">
        <f>MSCI_World_Index_Monthly!B43</f>
        <v>6511.0970690000004</v>
      </c>
      <c r="D31">
        <f>(GSCEQBA_Monthly!B43-GSCEQBA_Monthly!B42)/GSCEQBA_Monthly!B42</f>
        <v>2.8819762122598309E-2</v>
      </c>
      <c r="E31">
        <f>(MSCI_World_Index_Monthly!B43-MSCI_World_Index_Monthly!B42)/MSCI_World_Index_Monthly!B42</f>
        <v>2.6451050268187531E-2</v>
      </c>
      <c r="F31">
        <f>(1+'Risk-free rate'!B43/100)^(1/12)-1</f>
        <v>1.3323565538980731E-4</v>
      </c>
      <c r="G31">
        <f t="shared" si="1"/>
        <v>2.8686526467208501E-2</v>
      </c>
      <c r="H31">
        <f t="shared" si="2"/>
        <v>2.6317814612797724E-2</v>
      </c>
      <c r="I31">
        <f t="shared" si="5"/>
        <v>-3.1977889610327881E-2</v>
      </c>
      <c r="J31">
        <f t="shared" si="6"/>
        <v>1.1026594289698852</v>
      </c>
    </row>
    <row r="32" spans="1:10" x14ac:dyDescent="0.2">
      <c r="A32" t="str">
        <f>MSCI_World_Index_Monthly!A44</f>
        <v>2020-07-31</v>
      </c>
      <c r="B32">
        <f>GSCEQBA_Monthly!B44</f>
        <v>24.01</v>
      </c>
      <c r="C32">
        <f>MSCI_World_Index_Monthly!B44</f>
        <v>6822.5967840000003</v>
      </c>
      <c r="D32">
        <f>(GSCEQBA_Monthly!B44-GSCEQBA_Monthly!B43)/GSCEQBA_Monthly!B43</f>
        <v>6.7585593597154436E-2</v>
      </c>
      <c r="E32">
        <f>(MSCI_World_Index_Monthly!B44-MSCI_World_Index_Monthly!B43)/MSCI_World_Index_Monthly!B43</f>
        <v>4.7841356333494386E-2</v>
      </c>
      <c r="F32">
        <f>(1+'Risk-free rate'!B44/100)^(1/12)-1</f>
        <v>1.0826883828274347E-4</v>
      </c>
      <c r="G32">
        <f t="shared" si="1"/>
        <v>6.7477324758871693E-2</v>
      </c>
      <c r="H32">
        <f t="shared" si="2"/>
        <v>4.7733087495211643E-2</v>
      </c>
      <c r="I32">
        <f t="shared" si="5"/>
        <v>-3.0993629815763923E-2</v>
      </c>
      <c r="J32">
        <f t="shared" si="6"/>
        <v>1.1199690944447558</v>
      </c>
    </row>
    <row r="33" spans="1:10" x14ac:dyDescent="0.2">
      <c r="A33" t="str">
        <f>MSCI_World_Index_Monthly!A45</f>
        <v>2020-08-31</v>
      </c>
      <c r="B33">
        <f>GSCEQBA_Monthly!B45</f>
        <v>25.28</v>
      </c>
      <c r="C33">
        <f>MSCI_World_Index_Monthly!B45</f>
        <v>7278.4442790000003</v>
      </c>
      <c r="D33">
        <f>(GSCEQBA_Monthly!B45-GSCEQBA_Monthly!B44)/GSCEQBA_Monthly!B44</f>
        <v>5.2894627238650543E-2</v>
      </c>
      <c r="E33">
        <f>(MSCI_World_Index_Monthly!B45-MSCI_World_Index_Monthly!B44)/MSCI_World_Index_Monthly!B44</f>
        <v>6.6814368404275307E-2</v>
      </c>
      <c r="F33">
        <f>(1+'Risk-free rate'!B45/100)^(1/12)-1</f>
        <v>8.3295163273211514E-5</v>
      </c>
      <c r="G33">
        <f t="shared" si="1"/>
        <v>5.2811332075377332E-2</v>
      </c>
      <c r="H33">
        <f t="shared" si="2"/>
        <v>6.6731073241002095E-2</v>
      </c>
      <c r="I33">
        <f t="shared" si="5"/>
        <v>-3.8557899281547625E-2</v>
      </c>
      <c r="J33">
        <f t="shared" si="6"/>
        <v>1.0929483473239374</v>
      </c>
    </row>
    <row r="34" spans="1:10" x14ac:dyDescent="0.2">
      <c r="A34" t="str">
        <f>MSCI_World_Index_Monthly!A46</f>
        <v>2020-09-30</v>
      </c>
      <c r="B34">
        <f>GSCEQBA_Monthly!B46</f>
        <v>24.88</v>
      </c>
      <c r="C34">
        <f>MSCI_World_Index_Monthly!B46</f>
        <v>7027.3442759999998</v>
      </c>
      <c r="D34">
        <f>(GSCEQBA_Monthly!B46-GSCEQBA_Monthly!B45)/GSCEQBA_Monthly!B45</f>
        <v>-1.5822784810126667E-2</v>
      </c>
      <c r="E34">
        <f>(MSCI_World_Index_Monthly!B46-MSCI_World_Index_Monthly!B45)/MSCI_World_Index_Monthly!B45</f>
        <v>-3.4499131047067602E-2</v>
      </c>
      <c r="F34">
        <f>(1+'Risk-free rate'!B46/100)^(1/12)-1</f>
        <v>9.1620483841925449E-5</v>
      </c>
      <c r="G34">
        <f t="shared" si="1"/>
        <v>-1.5914405293968592E-2</v>
      </c>
      <c r="H34">
        <f t="shared" si="2"/>
        <v>-3.4590751530909528E-2</v>
      </c>
      <c r="I34">
        <f t="shared" si="5"/>
        <v>-4.3106884117204425E-3</v>
      </c>
      <c r="J34">
        <f t="shared" si="6"/>
        <v>1.0715657023471419</v>
      </c>
    </row>
    <row r="35" spans="1:10" x14ac:dyDescent="0.2">
      <c r="A35" t="str">
        <f>MSCI_World_Index_Monthly!A47</f>
        <v>2020-10-30</v>
      </c>
      <c r="B35">
        <f>GSCEQBA_Monthly!B47</f>
        <v>23.89</v>
      </c>
      <c r="C35">
        <f>MSCI_World_Index_Monthly!B47</f>
        <v>6811.780377</v>
      </c>
      <c r="D35">
        <f>(GSCEQBA_Monthly!B47-GSCEQBA_Monthly!B46)/GSCEQBA_Monthly!B46</f>
        <v>-3.9790996784565852E-2</v>
      </c>
      <c r="E35">
        <f>(MSCI_World_Index_Monthly!B47-MSCI_World_Index_Monthly!B46)/MSCI_World_Index_Monthly!B46</f>
        <v>-3.0675016127529167E-2</v>
      </c>
      <c r="F35">
        <f>(1+'Risk-free rate'!B47/100)^(1/12)-1</f>
        <v>8.3295163273211514E-5</v>
      </c>
      <c r="G35">
        <f t="shared" si="1"/>
        <v>-3.9874291947839063E-2</v>
      </c>
      <c r="H35">
        <f t="shared" si="2"/>
        <v>-3.0758311290802379E-2</v>
      </c>
      <c r="I35">
        <f t="shared" si="5"/>
        <v>-7.4790880773168977E-3</v>
      </c>
      <c r="J35">
        <f t="shared" si="6"/>
        <v>1.0776964711647299</v>
      </c>
    </row>
    <row r="36" spans="1:10" x14ac:dyDescent="0.2">
      <c r="A36" t="str">
        <f>MSCI_World_Index_Monthly!A48</f>
        <v>2020-11-30</v>
      </c>
      <c r="B36">
        <f>GSCEQBA_Monthly!B48</f>
        <v>26.55</v>
      </c>
      <c r="C36">
        <f>MSCI_World_Index_Monthly!B48</f>
        <v>7682.7449470000001</v>
      </c>
      <c r="D36">
        <f>(GSCEQBA_Monthly!B48-GSCEQBA_Monthly!B47)/GSCEQBA_Monthly!B47</f>
        <v>0.11134365843449143</v>
      </c>
      <c r="E36">
        <f>(MSCI_World_Index_Monthly!B48-MSCI_World_Index_Monthly!B47)/MSCI_World_Index_Monthly!B47</f>
        <v>0.12786151663679807</v>
      </c>
      <c r="F36">
        <f>(1+'Risk-free rate'!B48/100)^(1/12)-1</f>
        <v>7.4969080277487166E-5</v>
      </c>
      <c r="G36">
        <f t="shared" si="1"/>
        <v>0.11126868935421394</v>
      </c>
      <c r="H36">
        <f t="shared" si="2"/>
        <v>0.12778654755652058</v>
      </c>
      <c r="I36">
        <f t="shared" si="5"/>
        <v>-2.6861076737813461E-2</v>
      </c>
      <c r="J36">
        <f t="shared" si="6"/>
        <v>1.0311294081754965</v>
      </c>
    </row>
    <row r="37" spans="1:10" x14ac:dyDescent="0.2">
      <c r="A37" t="str">
        <f>MSCI_World_Index_Monthly!A49</f>
        <v>2020-12-31</v>
      </c>
      <c r="B37">
        <f>GSCEQBA_Monthly!B49</f>
        <v>27.39</v>
      </c>
      <c r="C37">
        <f>MSCI_World_Index_Monthly!B49</f>
        <v>8008.4680799999996</v>
      </c>
      <c r="D37">
        <f>(GSCEQBA_Monthly!B49-GSCEQBA_Monthly!B48)/GSCEQBA_Monthly!B48</f>
        <v>3.1638418079096037E-2</v>
      </c>
      <c r="E37">
        <f>(MSCI_World_Index_Monthly!B49-MSCI_World_Index_Monthly!B48)/MSCI_World_Index_Monthly!B48</f>
        <v>4.239671305594879E-2</v>
      </c>
      <c r="F37">
        <f>(1+'Risk-free rate'!B49/100)^(1/12)-1</f>
        <v>7.4969080277487166E-5</v>
      </c>
      <c r="G37">
        <f t="shared" si="1"/>
        <v>3.156344899881855E-2</v>
      </c>
      <c r="H37">
        <f t="shared" si="2"/>
        <v>4.2321743975671303E-2</v>
      </c>
      <c r="I37">
        <f t="shared" si="5"/>
        <v>-2.6245822289137966E-2</v>
      </c>
      <c r="J37">
        <f t="shared" si="6"/>
        <v>1.0291077208024639</v>
      </c>
    </row>
    <row r="38" spans="1:10" x14ac:dyDescent="0.2">
      <c r="A38" t="str">
        <f>MSCI_World_Index_Monthly!A50</f>
        <v>2021-01-29</v>
      </c>
      <c r="B38">
        <f>GSCEQBA_Monthly!B50</f>
        <v>27.78</v>
      </c>
      <c r="C38">
        <f>MSCI_World_Index_Monthly!B50</f>
        <v>7928.8745250000002</v>
      </c>
      <c r="D38">
        <f>(GSCEQBA_Monthly!B50-GSCEQBA_Monthly!B49)/GSCEQBA_Monthly!B49</f>
        <v>1.4238773274917873E-2</v>
      </c>
      <c r="E38">
        <f>(MSCI_World_Index_Monthly!B50-MSCI_World_Index_Monthly!B49)/MSCI_World_Index_Monthly!B49</f>
        <v>-9.9386741889841528E-3</v>
      </c>
      <c r="F38">
        <f>(1+'Risk-free rate'!B50/100)^(1/12)-1</f>
        <v>6.6642234708869097E-5</v>
      </c>
      <c r="G38">
        <f t="shared" si="1"/>
        <v>1.4172131040209004E-2</v>
      </c>
      <c r="H38">
        <f t="shared" si="2"/>
        <v>-1.0005316423693022E-2</v>
      </c>
      <c r="I38">
        <f t="shared" si="5"/>
        <v>-7.9747372465858168E-3</v>
      </c>
      <c r="J38">
        <f t="shared" si="6"/>
        <v>1.0221136779282614</v>
      </c>
    </row>
    <row r="39" spans="1:10" x14ac:dyDescent="0.2">
      <c r="A39" t="str">
        <f>MSCI_World_Index_Monthly!A51</f>
        <v>2021-02-26</v>
      </c>
      <c r="B39">
        <f>GSCEQBA_Monthly!B51</f>
        <v>28.32</v>
      </c>
      <c r="C39">
        <f>MSCI_World_Index_Monthly!B51</f>
        <v>8132.0469270000003</v>
      </c>
      <c r="D39">
        <f>(GSCEQBA_Monthly!B51-GSCEQBA_Monthly!B50)/GSCEQBA_Monthly!B50</f>
        <v>1.9438444924406016E-2</v>
      </c>
      <c r="E39">
        <f>(MSCI_World_Index_Monthly!B51-MSCI_World_Index_Monthly!B50)/MSCI_World_Index_Monthly!B50</f>
        <v>2.5624368421948276E-2</v>
      </c>
      <c r="F39">
        <f>(1+'Risk-free rate'!B51/100)^(1/12)-1</f>
        <v>3.3327223783574667E-5</v>
      </c>
      <c r="G39">
        <f t="shared" si="1"/>
        <v>1.9405117700622442E-2</v>
      </c>
      <c r="H39">
        <f t="shared" si="2"/>
        <v>2.5591041198164702E-2</v>
      </c>
      <c r="I39">
        <f t="shared" si="5"/>
        <v>2.0112866891611514E-2</v>
      </c>
      <c r="J39">
        <f t="shared" si="6"/>
        <v>0.97800433273782994</v>
      </c>
    </row>
    <row r="40" spans="1:10" x14ac:dyDescent="0.2">
      <c r="A40" t="str">
        <f>MSCI_World_Index_Monthly!A52</f>
        <v>2021-03-31</v>
      </c>
      <c r="B40">
        <f>GSCEQBA_Monthly!B52</f>
        <v>29.04</v>
      </c>
      <c r="C40">
        <f>MSCI_World_Index_Monthly!B52</f>
        <v>8402.6172839999999</v>
      </c>
      <c r="D40">
        <f>(GSCEQBA_Monthly!B52-GSCEQBA_Monthly!B51)/GSCEQBA_Monthly!B51</f>
        <v>2.5423728813559282E-2</v>
      </c>
      <c r="E40">
        <f>(MSCI_World_Index_Monthly!B52-MSCI_World_Index_Monthly!B51)/MSCI_World_Index_Monthly!B51</f>
        <v>3.327210964580795E-2</v>
      </c>
      <c r="F40">
        <f>(1+'Risk-free rate'!B52/100)^(1/12)-1</f>
        <v>2.4996563158685703E-5</v>
      </c>
      <c r="G40">
        <f t="shared" si="1"/>
        <v>2.5398732250400596E-2</v>
      </c>
      <c r="H40">
        <f t="shared" si="2"/>
        <v>3.3247113082649264E-2</v>
      </c>
      <c r="I40">
        <f t="shared" si="5"/>
        <v>6.4083028657208496E-2</v>
      </c>
      <c r="J40">
        <f t="shared" si="6"/>
        <v>0.8944318294226995</v>
      </c>
    </row>
    <row r="41" spans="1:10" x14ac:dyDescent="0.2">
      <c r="A41" t="str">
        <f>MSCI_World_Index_Monthly!A53</f>
        <v>2021-04-30</v>
      </c>
      <c r="B41">
        <f>GSCEQBA_Monthly!B53</f>
        <v>30.65</v>
      </c>
      <c r="C41">
        <f>MSCI_World_Index_Monthly!B53</f>
        <v>8793.6760520000007</v>
      </c>
      <c r="D41">
        <f>(GSCEQBA_Monthly!B53-GSCEQBA_Monthly!B52)/GSCEQBA_Monthly!B52</f>
        <v>5.5440771349862243E-2</v>
      </c>
      <c r="E41">
        <f>(MSCI_World_Index_Monthly!B53-MSCI_World_Index_Monthly!B52)/MSCI_World_Index_Monthly!B52</f>
        <v>4.6540114202826138E-2</v>
      </c>
      <c r="F41">
        <f>(1+'Risk-free rate'!B53/100)^(1/12)-1</f>
        <v>1.6665139084048874E-5</v>
      </c>
      <c r="G41">
        <f t="shared" si="1"/>
        <v>5.5424106210778194E-2</v>
      </c>
      <c r="H41">
        <f t="shared" si="2"/>
        <v>4.6523449063742089E-2</v>
      </c>
      <c r="I41">
        <f t="shared" si="5"/>
        <v>7.7454624266266592E-2</v>
      </c>
      <c r="J41">
        <f t="shared" si="6"/>
        <v>0.84416695089230642</v>
      </c>
    </row>
    <row r="42" spans="1:10" x14ac:dyDescent="0.2">
      <c r="A42" t="str">
        <f>MSCI_World_Index_Monthly!A54</f>
        <v>2021-05-31</v>
      </c>
      <c r="B42">
        <f>GSCEQBA_Monthly!B54</f>
        <v>30.89</v>
      </c>
      <c r="C42">
        <f>MSCI_World_Index_Monthly!B54</f>
        <v>8920.3528370000004</v>
      </c>
      <c r="D42">
        <f>(GSCEQBA_Monthly!B54-GSCEQBA_Monthly!B53)/GSCEQBA_Monthly!B53</f>
        <v>7.8303425774878307E-3</v>
      </c>
      <c r="E42">
        <f>(MSCI_World_Index_Monthly!B54-MSCI_World_Index_Monthly!B53)/MSCI_World_Index_Monthly!B53</f>
        <v>1.4405441393441911E-2</v>
      </c>
      <c r="F42">
        <f>(1+'Risk-free rate'!B54/100)^(1/12)-1</f>
        <v>1.6665139084048874E-5</v>
      </c>
      <c r="G42">
        <f t="shared" si="1"/>
        <v>7.8136774384037818E-3</v>
      </c>
      <c r="H42">
        <f t="shared" si="2"/>
        <v>1.4388776254357862E-2</v>
      </c>
      <c r="I42">
        <f t="shared" si="5"/>
        <v>5.901747413858871E-2</v>
      </c>
      <c r="J42">
        <f t="shared" si="6"/>
        <v>0.84651062795598053</v>
      </c>
    </row>
    <row r="43" spans="1:10" x14ac:dyDescent="0.2">
      <c r="A43" t="str">
        <f>MSCI_World_Index_Monthly!A55</f>
        <v>2021-06-30</v>
      </c>
      <c r="B43">
        <f>GSCEQBA_Monthly!B55</f>
        <v>31.25</v>
      </c>
      <c r="C43">
        <f>MSCI_World_Index_Monthly!B55</f>
        <v>9053.3092159999997</v>
      </c>
      <c r="D43">
        <f>(GSCEQBA_Monthly!B55-GSCEQBA_Monthly!B54)/GSCEQBA_Monthly!B54</f>
        <v>1.165425704111361E-2</v>
      </c>
      <c r="E43">
        <f>(MSCI_World_Index_Monthly!B55-MSCI_World_Index_Monthly!B54)/MSCI_World_Index_Monthly!B54</f>
        <v>1.4904834083302223E-2</v>
      </c>
      <c r="F43">
        <f>(1+'Risk-free rate'!B55/100)^(1/12)-1</f>
        <v>3.3327223783574667E-5</v>
      </c>
      <c r="G43">
        <f t="shared" si="1"/>
        <v>1.1620929817330036E-2</v>
      </c>
      <c r="H43">
        <f t="shared" si="2"/>
        <v>1.4871506859518649E-2</v>
      </c>
      <c r="I43">
        <f t="shared" si="5"/>
        <v>4.9884439573929962E-2</v>
      </c>
      <c r="J43">
        <f t="shared" si="6"/>
        <v>0.85036020522969669</v>
      </c>
    </row>
    <row r="44" spans="1:10" x14ac:dyDescent="0.2">
      <c r="A44" t="str">
        <f>MSCI_World_Index_Monthly!A56</f>
        <v>2021-07-30</v>
      </c>
      <c r="B44">
        <f>GSCEQBA_Monthly!B56</f>
        <v>32.049999999999997</v>
      </c>
      <c r="C44">
        <f>MSCI_World_Index_Monthly!B56</f>
        <v>9215.4796239999996</v>
      </c>
      <c r="D44">
        <f>(GSCEQBA_Monthly!B56-GSCEQBA_Monthly!B55)/GSCEQBA_Monthly!B55</f>
        <v>2.5599999999999908E-2</v>
      </c>
      <c r="E44">
        <f>(MSCI_World_Index_Monthly!B56-MSCI_World_Index_Monthly!B55)/MSCI_World_Index_Monthly!B55</f>
        <v>1.7912832107114449E-2</v>
      </c>
      <c r="F44">
        <f>(1+'Risk-free rate'!B56/100)^(1/12)-1</f>
        <v>4.1657121104599071E-5</v>
      </c>
      <c r="G44">
        <f t="shared" si="1"/>
        <v>2.5558342878895308E-2</v>
      </c>
      <c r="H44">
        <f t="shared" si="2"/>
        <v>1.787117498600985E-2</v>
      </c>
      <c r="I44">
        <f t="shared" si="5"/>
        <v>4.1041439146280778E-2</v>
      </c>
      <c r="J44">
        <f t="shared" si="6"/>
        <v>0.82476700005657588</v>
      </c>
    </row>
    <row r="45" spans="1:10" x14ac:dyDescent="0.2">
      <c r="A45" t="str">
        <f>MSCI_World_Index_Monthly!A57</f>
        <v>2021-08-31</v>
      </c>
      <c r="B45">
        <f>GSCEQBA_Monthly!B57</f>
        <v>32.93</v>
      </c>
      <c r="C45">
        <f>MSCI_World_Index_Monthly!B57</f>
        <v>9444.8377830000009</v>
      </c>
      <c r="D45">
        <f>(GSCEQBA_Monthly!B57-GSCEQBA_Monthly!B56)/GSCEQBA_Monthly!B56</f>
        <v>2.745709828393144E-2</v>
      </c>
      <c r="E45">
        <f>(MSCI_World_Index_Monthly!B57-MSCI_World_Index_Monthly!B56)/MSCI_World_Index_Monthly!B56</f>
        <v>2.4888358322954853E-2</v>
      </c>
      <c r="F45">
        <f>(1+'Risk-free rate'!B57/100)^(1/12)-1</f>
        <v>4.1657121104599071E-5</v>
      </c>
      <c r="G45">
        <f t="shared" si="1"/>
        <v>2.7415441162826841E-2</v>
      </c>
      <c r="H45">
        <f t="shared" si="2"/>
        <v>2.4846701201850254E-2</v>
      </c>
      <c r="I45">
        <f t="shared" si="5"/>
        <v>4.6872197130245707E-2</v>
      </c>
      <c r="J45">
        <f t="shared" si="6"/>
        <v>0.83779059476769213</v>
      </c>
    </row>
    <row r="46" spans="1:10" x14ac:dyDescent="0.2">
      <c r="A46" t="str">
        <f>MSCI_World_Index_Monthly!A58</f>
        <v>2021-09-30</v>
      </c>
      <c r="B46">
        <f>GSCEQBA_Monthly!B58</f>
        <v>31.62</v>
      </c>
      <c r="C46">
        <f>MSCI_World_Index_Monthly!B58</f>
        <v>9052.6830699999991</v>
      </c>
      <c r="D46">
        <f>(GSCEQBA_Monthly!B58-GSCEQBA_Monthly!B57)/GSCEQBA_Monthly!B57</f>
        <v>-3.9781354388095921E-2</v>
      </c>
      <c r="E46">
        <f>(MSCI_World_Index_Monthly!B58-MSCI_World_Index_Monthly!B57)/MSCI_World_Index_Monthly!B57</f>
        <v>-4.1520534498310897E-2</v>
      </c>
      <c r="F46">
        <f>(1+'Risk-free rate'!B58/100)^(1/12)-1</f>
        <v>3.3327223783574667E-5</v>
      </c>
      <c r="G46">
        <f t="shared" si="1"/>
        <v>-3.9814681611879496E-2</v>
      </c>
      <c r="H46">
        <f t="shared" si="2"/>
        <v>-4.1553861722094472E-2</v>
      </c>
      <c r="I46">
        <f t="shared" si="5"/>
        <v>1.3753169667378717E-2</v>
      </c>
      <c r="J46">
        <f t="shared" si="6"/>
        <v>0.89120020266194055</v>
      </c>
    </row>
    <row r="47" spans="1:10" x14ac:dyDescent="0.2">
      <c r="A47" t="str">
        <f>MSCI_World_Index_Monthly!A59</f>
        <v>2021-10-29</v>
      </c>
      <c r="B47">
        <f>GSCEQBA_Monthly!B59</f>
        <v>32.49</v>
      </c>
      <c r="C47">
        <f>MSCI_World_Index_Monthly!B59</f>
        <v>9565.4316469999994</v>
      </c>
      <c r="D47">
        <f>(GSCEQBA_Monthly!B59-GSCEQBA_Monthly!B58)/GSCEQBA_Monthly!B58</f>
        <v>2.7514231499051266E-2</v>
      </c>
      <c r="E47">
        <f>(MSCI_World_Index_Monthly!B59-MSCI_World_Index_Monthly!B58)/MSCI_World_Index_Monthly!B58</f>
        <v>5.664050901099317E-2</v>
      </c>
      <c r="F47">
        <f>(1+'Risk-free rate'!B59/100)^(1/12)-1</f>
        <v>4.1657121104599071E-5</v>
      </c>
      <c r="G47">
        <f t="shared" si="1"/>
        <v>2.7472574377946667E-2</v>
      </c>
      <c r="H47">
        <f t="shared" si="2"/>
        <v>5.6598851889888571E-2</v>
      </c>
      <c r="I47">
        <f t="shared" si="5"/>
        <v>3.236246997496961E-2</v>
      </c>
      <c r="J47">
        <f t="shared" si="6"/>
        <v>0.80969164720767817</v>
      </c>
    </row>
    <row r="48" spans="1:10" x14ac:dyDescent="0.2">
      <c r="A48" t="str">
        <f>MSCI_World_Index_Monthly!A60</f>
        <v>2021-11-30</v>
      </c>
      <c r="B48">
        <f>GSCEQBA_Monthly!B60</f>
        <v>32.25</v>
      </c>
      <c r="C48">
        <f>MSCI_World_Index_Monthly!B60</f>
        <v>9355.8247090000004</v>
      </c>
      <c r="D48">
        <f>(GSCEQBA_Monthly!B60-GSCEQBA_Monthly!B59)/GSCEQBA_Monthly!B59</f>
        <v>-7.3868882733149266E-3</v>
      </c>
      <c r="E48">
        <f>(MSCI_World_Index_Monthly!B60-MSCI_World_Index_Monthly!B59)/MSCI_World_Index_Monthly!B59</f>
        <v>-2.1912961770600065E-2</v>
      </c>
      <c r="F48">
        <f>(1+'Risk-free rate'!B60/100)^(1/12)-1</f>
        <v>4.1657121104599071E-5</v>
      </c>
      <c r="G48">
        <f t="shared" si="1"/>
        <v>-7.4285453944195256E-3</v>
      </c>
      <c r="H48">
        <f t="shared" si="2"/>
        <v>-2.1954618891704664E-2</v>
      </c>
      <c r="I48">
        <f t="shared" si="5"/>
        <v>5.4999792115951518E-2</v>
      </c>
      <c r="J48">
        <f t="shared" si="6"/>
        <v>0.71488800963654808</v>
      </c>
    </row>
    <row r="49" spans="1:10" x14ac:dyDescent="0.2">
      <c r="A49" t="str">
        <f>MSCI_World_Index_Monthly!A61</f>
        <v>2021-12-31</v>
      </c>
      <c r="B49">
        <f>GSCEQBA_Monthly!B61</f>
        <v>33.450000000000003</v>
      </c>
      <c r="C49">
        <f>MSCI_World_Index_Monthly!B61</f>
        <v>9755.6944120000007</v>
      </c>
      <c r="D49">
        <f>(GSCEQBA_Monthly!B61-GSCEQBA_Monthly!B60)/GSCEQBA_Monthly!B60</f>
        <v>3.7209302325581485E-2</v>
      </c>
      <c r="E49">
        <f>(MSCI_World_Index_Monthly!B61-MSCI_World_Index_Monthly!B60)/MSCI_World_Index_Monthly!B60</f>
        <v>4.2740187576979567E-2</v>
      </c>
      <c r="F49">
        <f>(1+'Risk-free rate'!B61/100)^(1/12)-1</f>
        <v>4.99862552685304E-5</v>
      </c>
      <c r="G49">
        <f t="shared" si="1"/>
        <v>3.7159316070312955E-2</v>
      </c>
      <c r="H49">
        <f t="shared" si="2"/>
        <v>4.2690201321711037E-2</v>
      </c>
      <c r="I49">
        <f t="shared" si="5"/>
        <v>5.7439691422679351E-2</v>
      </c>
      <c r="J49">
        <f t="shared" si="6"/>
        <v>0.72971644147761716</v>
      </c>
    </row>
    <row r="50" spans="1:10" x14ac:dyDescent="0.2">
      <c r="A50" t="str">
        <f>MSCI_World_Index_Monthly!A62</f>
        <v>2022-01-31</v>
      </c>
      <c r="B50">
        <f>GSCEQBA_Monthly!B62</f>
        <v>30.89</v>
      </c>
      <c r="C50">
        <f>MSCI_World_Index_Monthly!B62</f>
        <v>9239.5117740000005</v>
      </c>
      <c r="D50">
        <f>(GSCEQBA_Monthly!B62-GSCEQBA_Monthly!B61)/GSCEQBA_Monthly!B61</f>
        <v>-7.6532137518684665E-2</v>
      </c>
      <c r="E50">
        <f>(MSCI_World_Index_Monthly!B62-MSCI_World_Index_Monthly!B61)/MSCI_World_Index_Monthly!B61</f>
        <v>-5.2910906820233042E-2</v>
      </c>
      <c r="F50">
        <f>(1+'Risk-free rate'!B62/100)^(1/12)-1</f>
        <v>1.2491414476678564E-4</v>
      </c>
      <c r="G50">
        <f t="shared" si="1"/>
        <v>-7.665705166345145E-2</v>
      </c>
      <c r="H50">
        <f t="shared" si="2"/>
        <v>-5.3035820964999827E-2</v>
      </c>
      <c r="I50">
        <f t="shared" si="5"/>
        <v>-4.1693490799114774E-2</v>
      </c>
      <c r="J50">
        <f t="shared" si="6"/>
        <v>0.97373617594969253</v>
      </c>
    </row>
    <row r="51" spans="1:10" x14ac:dyDescent="0.2">
      <c r="A51" t="str">
        <f>MSCI_World_Index_Monthly!A63</f>
        <v>2022-02-28</v>
      </c>
      <c r="B51">
        <f>GSCEQBA_Monthly!B63</f>
        <v>30.36</v>
      </c>
      <c r="C51">
        <f>MSCI_World_Index_Monthly!B63</f>
        <v>9005.8332809999993</v>
      </c>
      <c r="D51">
        <f>(GSCEQBA_Monthly!B63-GSCEQBA_Monthly!B62)/GSCEQBA_Monthly!B62</f>
        <v>-1.7157656199417323E-2</v>
      </c>
      <c r="E51">
        <f>(MSCI_World_Index_Monthly!B63-MSCI_World_Index_Monthly!B62)/MSCI_World_Index_Monthly!B62</f>
        <v>-2.5291216539987844E-2</v>
      </c>
      <c r="F51">
        <f>(1+'Risk-free rate'!B63/100)^(1/12)-1</f>
        <v>2.7458493733023559E-4</v>
      </c>
      <c r="G51">
        <f t="shared" si="1"/>
        <v>-1.7432241136747559E-2</v>
      </c>
      <c r="H51">
        <f t="shared" si="2"/>
        <v>-2.556580147731808E-2</v>
      </c>
      <c r="I51">
        <f t="shared" si="5"/>
        <v>-2.6559919685189559E-2</v>
      </c>
      <c r="J51">
        <f t="shared" si="6"/>
        <v>0.94943218053258138</v>
      </c>
    </row>
    <row r="52" spans="1:10" x14ac:dyDescent="0.2">
      <c r="A52" t="str">
        <f>MSCI_World_Index_Monthly!A64</f>
        <v>2022-03-31</v>
      </c>
      <c r="B52">
        <f>GSCEQBA_Monthly!B64</f>
        <v>31.61</v>
      </c>
      <c r="C52">
        <f>MSCI_World_Index_Monthly!B64</f>
        <v>9252.9836140000007</v>
      </c>
      <c r="D52">
        <f>(GSCEQBA_Monthly!B64-GSCEQBA_Monthly!B63)/GSCEQBA_Monthly!B63</f>
        <v>4.1172595520421608E-2</v>
      </c>
      <c r="E52">
        <f>(MSCI_World_Index_Monthly!B64-MSCI_World_Index_Monthly!B63)/MSCI_World_Index_Monthly!B63</f>
        <v>2.744336090713841E-2</v>
      </c>
      <c r="F52">
        <f>(1+'Risk-free rate'!B64/100)^(1/12)-1</f>
        <v>3.6592929423662213E-4</v>
      </c>
      <c r="G52">
        <f t="shared" si="1"/>
        <v>4.0806666226184986E-2</v>
      </c>
      <c r="H52">
        <f t="shared" si="2"/>
        <v>2.7077431612901787E-2</v>
      </c>
      <c r="I52">
        <f t="shared" si="5"/>
        <v>-8.6382351677092295E-3</v>
      </c>
      <c r="J52">
        <f t="shared" si="6"/>
        <v>0.97910789984825064</v>
      </c>
    </row>
    <row r="53" spans="1:10" x14ac:dyDescent="0.2">
      <c r="A53" t="str">
        <f>MSCI_World_Index_Monthly!A65</f>
        <v>2022-04-29</v>
      </c>
      <c r="B53">
        <f>GSCEQBA_Monthly!B65</f>
        <v>29.45</v>
      </c>
      <c r="C53">
        <f>MSCI_World_Index_Monthly!B65</f>
        <v>8484.3073420000001</v>
      </c>
      <c r="D53">
        <f>(GSCEQBA_Monthly!B65-GSCEQBA_Monthly!B64)/GSCEQBA_Monthly!B64</f>
        <v>-6.8332806074027211E-2</v>
      </c>
      <c r="E53">
        <f>(MSCI_World_Index_Monthly!B65-MSCI_World_Index_Monthly!B64)/MSCI_World_Index_Monthly!B64</f>
        <v>-8.3073341969067557E-2</v>
      </c>
      <c r="F53">
        <f>(1+'Risk-free rate'!B65/100)^(1/12)-1</f>
        <v>6.3113787510671315E-4</v>
      </c>
      <c r="G53">
        <f t="shared" si="1"/>
        <v>-6.8963943949133924E-2</v>
      </c>
      <c r="H53">
        <f t="shared" si="2"/>
        <v>-8.370447984417427E-2</v>
      </c>
      <c r="I53">
        <f t="shared" si="5"/>
        <v>-7.7986706132744388E-3</v>
      </c>
      <c r="J53">
        <f t="shared" si="6"/>
        <v>0.89635547401198212</v>
      </c>
    </row>
    <row r="54" spans="1:10" x14ac:dyDescent="0.2">
      <c r="A54" t="str">
        <f>MSCI_World_Index_Monthly!A66</f>
        <v>2022-05-31</v>
      </c>
      <c r="B54">
        <f>GSCEQBA_Monthly!B66</f>
        <v>28.58</v>
      </c>
      <c r="C54">
        <f>MSCI_World_Index_Monthly!B66</f>
        <v>8490.7329769999997</v>
      </c>
      <c r="D54">
        <f>(GSCEQBA_Monthly!B66-GSCEQBA_Monthly!B65)/GSCEQBA_Monthly!B65</f>
        <v>-2.9541595925297148E-2</v>
      </c>
      <c r="E54">
        <f>(MSCI_World_Index_Monthly!B66-MSCI_World_Index_Monthly!B65)/MSCI_World_Index_Monthly!B65</f>
        <v>7.5735528440732931E-4</v>
      </c>
      <c r="F54">
        <f>(1+'Risk-free rate'!B66/100)^(1/12)-1</f>
        <v>8.1302127632687515E-4</v>
      </c>
      <c r="G54">
        <f t="shared" si="1"/>
        <v>-3.0354617201624023E-2</v>
      </c>
      <c r="H54">
        <f t="shared" si="2"/>
        <v>-5.5665991919545839E-5</v>
      </c>
      <c r="I54">
        <f t="shared" si="5"/>
        <v>-3.2599029793967671E-2</v>
      </c>
      <c r="J54">
        <f t="shared" si="6"/>
        <v>0.89518963774087257</v>
      </c>
    </row>
    <row r="55" spans="1:10" x14ac:dyDescent="0.2">
      <c r="A55" t="str">
        <f>MSCI_World_Index_Monthly!A67</f>
        <v>2022-06-30</v>
      </c>
      <c r="B55">
        <f>GSCEQBA_Monthly!B67</f>
        <v>25.49</v>
      </c>
      <c r="C55">
        <f>MSCI_World_Index_Monthly!B67</f>
        <v>7755.2487279999996</v>
      </c>
      <c r="D55">
        <f>(GSCEQBA_Monthly!B67-GSCEQBA_Monthly!B66)/GSCEQBA_Monthly!B66</f>
        <v>-0.10811756473058083</v>
      </c>
      <c r="E55">
        <f>(MSCI_World_Index_Monthly!B67-MSCI_World_Index_Monthly!B66)/MSCI_World_Index_Monthly!B66</f>
        <v>-8.6621997298973602E-2</v>
      </c>
      <c r="F55">
        <f>(1+'Risk-free rate'!B67/100)^(1/12)-1</f>
        <v>1.2332669717645128E-3</v>
      </c>
      <c r="G55">
        <f t="shared" si="1"/>
        <v>-0.10935083170234534</v>
      </c>
      <c r="H55">
        <f t="shared" si="2"/>
        <v>-8.7855264270738115E-2</v>
      </c>
      <c r="I55">
        <f t="shared" si="5"/>
        <v>-4.9048115068760945E-2</v>
      </c>
      <c r="J55">
        <f t="shared" si="6"/>
        <v>0.97761250493739105</v>
      </c>
    </row>
    <row r="56" spans="1:10" x14ac:dyDescent="0.2">
      <c r="A56" t="str">
        <f>MSCI_World_Index_Monthly!A68</f>
        <v>2022-07-29</v>
      </c>
      <c r="B56">
        <f>GSCEQBA_Monthly!B68</f>
        <v>27.37</v>
      </c>
      <c r="C56">
        <f>MSCI_World_Index_Monthly!B68</f>
        <v>8370.9868600000009</v>
      </c>
      <c r="D56">
        <f>(GSCEQBA_Monthly!B68-GSCEQBA_Monthly!B67)/GSCEQBA_Monthly!B67</f>
        <v>7.375441349548853E-2</v>
      </c>
      <c r="E56">
        <f>(MSCI_World_Index_Monthly!B68-MSCI_World_Index_Monthly!B67)/MSCI_World_Index_Monthly!B67</f>
        <v>7.9396309982541852E-2</v>
      </c>
      <c r="F56">
        <f>(1+'Risk-free rate'!B68/100)^(1/12)-1</f>
        <v>1.8396059010297172E-3</v>
      </c>
      <c r="G56">
        <f t="shared" ref="G56:H85" si="7">D56-$F56</f>
        <v>7.1914807594458813E-2</v>
      </c>
      <c r="H56">
        <f t="shared" si="7"/>
        <v>7.7556704081512134E-2</v>
      </c>
      <c r="I56">
        <f t="shared" si="5"/>
        <v>-6.1142101636513457E-2</v>
      </c>
      <c r="J56">
        <f t="shared" si="6"/>
        <v>0.96882965089841566</v>
      </c>
    </row>
    <row r="57" spans="1:10" x14ac:dyDescent="0.2">
      <c r="A57" t="str">
        <f>MSCI_World_Index_Monthly!A69</f>
        <v>2022-08-31</v>
      </c>
      <c r="B57">
        <f>GSCEQBA_Monthly!B69</f>
        <v>26.83</v>
      </c>
      <c r="C57">
        <f>MSCI_World_Index_Monthly!B69</f>
        <v>8021.0142690000002</v>
      </c>
      <c r="D57">
        <f>(GSCEQBA_Monthly!B69-GSCEQBA_Monthly!B68)/GSCEQBA_Monthly!B68</f>
        <v>-1.9729630982828011E-2</v>
      </c>
      <c r="E57">
        <f>(MSCI_World_Index_Monthly!B69-MSCI_World_Index_Monthly!B68)/MSCI_World_Index_Monthly!B68</f>
        <v>-4.1807805561410311E-2</v>
      </c>
      <c r="F57">
        <f>(1+'Risk-free rate'!B69/100)^(1/12)-1</f>
        <v>2.1656835180154932E-3</v>
      </c>
      <c r="G57">
        <f t="shared" si="7"/>
        <v>-2.1895314500843505E-2</v>
      </c>
      <c r="H57">
        <f t="shared" si="7"/>
        <v>-4.3973489079425804E-2</v>
      </c>
      <c r="I57">
        <f t="shared" si="5"/>
        <v>-4.980353688801531E-2</v>
      </c>
      <c r="J57">
        <f t="shared" si="6"/>
        <v>0.93360546190079607</v>
      </c>
    </row>
    <row r="58" spans="1:10" x14ac:dyDescent="0.2">
      <c r="A58" t="str">
        <f>MSCI_World_Index_Monthly!A70</f>
        <v>2022-09-30</v>
      </c>
      <c r="B58">
        <f>GSCEQBA_Monthly!B70</f>
        <v>24.45</v>
      </c>
      <c r="C58">
        <f>MSCI_World_Index_Monthly!B70</f>
        <v>7275.3815860000004</v>
      </c>
      <c r="D58">
        <f>(GSCEQBA_Monthly!B70-GSCEQBA_Monthly!B69)/GSCEQBA_Monthly!B69</f>
        <v>-8.8706671636228071E-2</v>
      </c>
      <c r="E58">
        <f>(MSCI_World_Index_Monthly!B70-MSCI_World_Index_Monthly!B69)/MSCI_World_Index_Monthly!B69</f>
        <v>-9.2959899832338752E-2</v>
      </c>
      <c r="F58">
        <f>(1+'Risk-free rate'!B70/100)^(1/12)-1</f>
        <v>2.5716462189622202E-3</v>
      </c>
      <c r="G58">
        <f t="shared" si="7"/>
        <v>-9.1278317855190291E-2</v>
      </c>
      <c r="H58">
        <f t="shared" si="7"/>
        <v>-9.5531546051300972E-2</v>
      </c>
      <c r="I58">
        <f t="shared" si="5"/>
        <v>-5.1296993415862469E-2</v>
      </c>
      <c r="J58">
        <f t="shared" si="6"/>
        <v>0.93121604019262705</v>
      </c>
    </row>
    <row r="59" spans="1:10" x14ac:dyDescent="0.2">
      <c r="A59" t="str">
        <f>MSCI_World_Index_Monthly!A71</f>
        <v>2022-10-31</v>
      </c>
      <c r="B59">
        <f>GSCEQBA_Monthly!B71</f>
        <v>25.96</v>
      </c>
      <c r="C59">
        <f>MSCI_World_Index_Monthly!B71</f>
        <v>7797.8480239999999</v>
      </c>
      <c r="D59">
        <f>(GSCEQBA_Monthly!B71-GSCEQBA_Monthly!B70)/GSCEQBA_Monthly!B70</f>
        <v>6.1758691206544036E-2</v>
      </c>
      <c r="E59">
        <f>(MSCI_World_Index_Monthly!B71-MSCI_World_Index_Monthly!B70)/MSCI_World_Index_Monthly!B70</f>
        <v>7.1812925799710686E-2</v>
      </c>
      <c r="F59">
        <f>(1+'Risk-free rate'!B71/100)^(1/12)-1</f>
        <v>3.0483680766628662E-3</v>
      </c>
      <c r="G59">
        <f t="shared" si="7"/>
        <v>5.871032312988117E-2</v>
      </c>
      <c r="H59">
        <f t="shared" si="7"/>
        <v>6.876455772304782E-2</v>
      </c>
      <c r="I59">
        <f t="shared" si="5"/>
        <v>-2.5270109402593777E-2</v>
      </c>
      <c r="J59">
        <f t="shared" si="6"/>
        <v>0.96735150651529489</v>
      </c>
    </row>
    <row r="60" spans="1:10" x14ac:dyDescent="0.2">
      <c r="A60" t="str">
        <f>MSCI_World_Index_Monthly!A72</f>
        <v>2022-11-30</v>
      </c>
      <c r="B60">
        <f>GSCEQBA_Monthly!B72</f>
        <v>27.1</v>
      </c>
      <c r="C60">
        <f>MSCI_World_Index_Monthly!B72</f>
        <v>8340.0357280000007</v>
      </c>
      <c r="D60">
        <f>(GSCEQBA_Monthly!B72-GSCEQBA_Monthly!B71)/GSCEQBA_Monthly!B71</f>
        <v>4.3913713405238849E-2</v>
      </c>
      <c r="E60">
        <f>(MSCI_World_Index_Monthly!B72-MSCI_World_Index_Monthly!B71)/MSCI_World_Index_Monthly!B71</f>
        <v>6.9530427155193406E-2</v>
      </c>
      <c r="F60">
        <f>(1+'Risk-free rate'!B72/100)^(1/12)-1</f>
        <v>3.3942459274463044E-3</v>
      </c>
      <c r="G60">
        <f t="shared" si="7"/>
        <v>4.0519467477792545E-2</v>
      </c>
      <c r="H60">
        <f t="shared" si="7"/>
        <v>6.6136181227747101E-2</v>
      </c>
      <c r="I60">
        <f t="shared" si="5"/>
        <v>-6.4129572401231183E-2</v>
      </c>
      <c r="J60">
        <f t="shared" si="6"/>
        <v>0.93701403939834804</v>
      </c>
    </row>
    <row r="61" spans="1:10" x14ac:dyDescent="0.2">
      <c r="A61" t="str">
        <f>MSCI_World_Index_Monthly!A73</f>
        <v>2022-12-30</v>
      </c>
      <c r="B61">
        <f>GSCEQBA_Monthly!B73</f>
        <v>26.38</v>
      </c>
      <c r="C61">
        <f>MSCI_World_Index_Monthly!B73</f>
        <v>7985.8569200000002</v>
      </c>
      <c r="D61">
        <f>(GSCEQBA_Monthly!B73-GSCEQBA_Monthly!B72)/GSCEQBA_Monthly!B72</f>
        <v>-2.6568265682656914E-2</v>
      </c>
      <c r="E61">
        <f>(MSCI_World_Index_Monthly!B73-MSCI_World_Index_Monthly!B72)/MSCI_World_Index_Monthly!B72</f>
        <v>-4.2467301046555009E-2</v>
      </c>
      <c r="F61">
        <f>(1+'Risk-free rate'!B73/100)^(1/12)-1</f>
        <v>3.474495003497502E-3</v>
      </c>
      <c r="G61">
        <f t="shared" si="7"/>
        <v>-3.0042760686154416E-2</v>
      </c>
      <c r="H61">
        <f t="shared" si="7"/>
        <v>-4.5941796050052511E-2</v>
      </c>
      <c r="I61">
        <f t="shared" si="5"/>
        <v>-5.2104320990956854E-2</v>
      </c>
      <c r="J61">
        <f t="shared" si="6"/>
        <v>0.92098633981470657</v>
      </c>
    </row>
    <row r="62" spans="1:10" x14ac:dyDescent="0.2">
      <c r="A62" t="str">
        <f>MSCI_World_Index_Monthly!A74</f>
        <v>2023-01-31</v>
      </c>
      <c r="B62">
        <f>GSCEQBA_Monthly!B74</f>
        <v>28.26</v>
      </c>
      <c r="C62">
        <f>MSCI_World_Index_Monthly!B74</f>
        <v>8550.9047050000008</v>
      </c>
      <c r="D62">
        <f>(GSCEQBA_Monthly!B74-GSCEQBA_Monthly!B73)/GSCEQBA_Monthly!B73</f>
        <v>7.1266110689916701E-2</v>
      </c>
      <c r="E62">
        <f>(MSCI_World_Index_Monthly!B74-MSCI_World_Index_Monthly!B73)/MSCI_World_Index_Monthly!B73</f>
        <v>7.0756061705147685E-2</v>
      </c>
      <c r="F62">
        <f>(1+'Risk-free rate'!B74/100)^(1/12)-1</f>
        <v>3.7068189305531352E-3</v>
      </c>
      <c r="G62">
        <f t="shared" si="7"/>
        <v>6.7559291759363566E-2</v>
      </c>
      <c r="H62">
        <f t="shared" si="7"/>
        <v>6.704924277459455E-2</v>
      </c>
      <c r="I62">
        <f t="shared" si="5"/>
        <v>-2.0115496255432741E-2</v>
      </c>
      <c r="J62">
        <f t="shared" si="6"/>
        <v>0.91399935582635616</v>
      </c>
    </row>
    <row r="63" spans="1:10" x14ac:dyDescent="0.2">
      <c r="A63" t="str">
        <f>MSCI_World_Index_Monthly!A75</f>
        <v>2023-02-28</v>
      </c>
      <c r="B63">
        <f>GSCEQBA_Monthly!B75</f>
        <v>28.02</v>
      </c>
      <c r="C63">
        <f>MSCI_World_Index_Monthly!B75</f>
        <v>8345.3537199999992</v>
      </c>
      <c r="D63">
        <f>(GSCEQBA_Monthly!B75-GSCEQBA_Monthly!B74)/GSCEQBA_Monthly!B74</f>
        <v>-8.4925690021232115E-3</v>
      </c>
      <c r="E63">
        <f>(MSCI_World_Index_Monthly!B75-MSCI_World_Index_Monthly!B74)/MSCI_World_Index_Monthly!B74</f>
        <v>-2.4038507279798022E-2</v>
      </c>
      <c r="F63">
        <f>(1+'Risk-free rate'!B75/100)^(1/12)-1</f>
        <v>3.7947872834442897E-3</v>
      </c>
      <c r="G63">
        <f t="shared" si="7"/>
        <v>-1.2287356285567501E-2</v>
      </c>
      <c r="H63">
        <f t="shared" si="7"/>
        <v>-2.7833294563242312E-2</v>
      </c>
      <c r="I63">
        <f t="shared" si="5"/>
        <v>-1.3280668686479591E-2</v>
      </c>
      <c r="J63">
        <f t="shared" si="6"/>
        <v>0.91047240670971241</v>
      </c>
    </row>
    <row r="64" spans="1:10" x14ac:dyDescent="0.2">
      <c r="A64" t="str">
        <f>MSCI_World_Index_Monthly!A76</f>
        <v>2023-03-31</v>
      </c>
      <c r="B64">
        <f>GSCEQBA_Monthly!B76</f>
        <v>28.28</v>
      </c>
      <c r="C64">
        <f>MSCI_World_Index_Monthly!B76</f>
        <v>8603.2225639999997</v>
      </c>
      <c r="D64">
        <f>(GSCEQBA_Monthly!B76-GSCEQBA_Monthly!B75)/GSCEQBA_Monthly!B75</f>
        <v>9.2790863668808562E-3</v>
      </c>
      <c r="E64">
        <f>(MSCI_World_Index_Monthly!B76-MSCI_World_Index_Monthly!B75)/MSCI_World_Index_Monthly!B75</f>
        <v>3.0899690133206308E-2</v>
      </c>
      <c r="F64">
        <f>(1+'Risk-free rate'!B76/100)^(1/12)-1</f>
        <v>3.8267547616503972E-3</v>
      </c>
      <c r="G64">
        <f t="shared" si="7"/>
        <v>5.452331605230459E-3</v>
      </c>
      <c r="H64">
        <f t="shared" si="7"/>
        <v>2.707293537155591E-2</v>
      </c>
      <c r="I64">
        <f t="shared" si="5"/>
        <v>-4.9471741347438036E-2</v>
      </c>
      <c r="J64">
        <f t="shared" si="6"/>
        <v>0.88598395956176856</v>
      </c>
    </row>
    <row r="65" spans="1:10" x14ac:dyDescent="0.2">
      <c r="A65" t="str">
        <f>MSCI_World_Index_Monthly!A77</f>
        <v>2023-04-28</v>
      </c>
      <c r="B65">
        <f>GSCEQBA_Monthly!B77</f>
        <v>28.56</v>
      </c>
      <c r="C65">
        <f>MSCI_World_Index_Monthly!B77</f>
        <v>8754.0334980000007</v>
      </c>
      <c r="D65">
        <f>(GSCEQBA_Monthly!B77-GSCEQBA_Monthly!B76)/GSCEQBA_Monthly!B76</f>
        <v>9.9009900990098144E-3</v>
      </c>
      <c r="E65">
        <f>(MSCI_World_Index_Monthly!B77-MSCI_World_Index_Monthly!B76)/MSCI_World_Index_Monthly!B76</f>
        <v>1.7529586486703962E-2</v>
      </c>
      <c r="F65">
        <f>(1+'Risk-free rate'!B77/100)^(1/12)-1</f>
        <v>4.0103507726252374E-3</v>
      </c>
      <c r="G65">
        <f t="shared" si="7"/>
        <v>5.8906393263845769E-3</v>
      </c>
      <c r="H65">
        <f t="shared" si="7"/>
        <v>1.3519235714078724E-2</v>
      </c>
      <c r="I65">
        <f t="shared" si="5"/>
        <v>-6.0517926374924924E-2</v>
      </c>
      <c r="J65">
        <f t="shared" si="6"/>
        <v>0.9045000527819691</v>
      </c>
    </row>
    <row r="66" spans="1:10" x14ac:dyDescent="0.2">
      <c r="A66" t="str">
        <f>MSCI_World_Index_Monthly!A78</f>
        <v>2023-05-31</v>
      </c>
      <c r="B66">
        <f>GSCEQBA_Monthly!B78</f>
        <v>28.62</v>
      </c>
      <c r="C66">
        <f>MSCI_World_Index_Monthly!B78</f>
        <v>8666.6383229999992</v>
      </c>
      <c r="D66">
        <f>(GSCEQBA_Monthly!B78-GSCEQBA_Monthly!B77)/GSCEQBA_Monthly!B77</f>
        <v>2.1008403361345335E-3</v>
      </c>
      <c r="E66">
        <f>(MSCI_World_Index_Monthly!B78-MSCI_World_Index_Monthly!B77)/MSCI_World_Index_Monthly!B77</f>
        <v>-9.9834179318560191E-3</v>
      </c>
      <c r="F66">
        <f>(1+'Risk-free rate'!B78/100)^(1/12)-1</f>
        <v>4.1856194553282489E-3</v>
      </c>
      <c r="G66">
        <f t="shared" si="7"/>
        <v>-2.0847791191937154E-3</v>
      </c>
      <c r="H66">
        <f t="shared" si="7"/>
        <v>-1.4169037387184268E-2</v>
      </c>
      <c r="I66">
        <f t="shared" si="5"/>
        <v>-2.0996722438091697E-2</v>
      </c>
      <c r="J66">
        <f t="shared" si="6"/>
        <v>0.89875925177774885</v>
      </c>
    </row>
    <row r="67" spans="1:10" x14ac:dyDescent="0.2">
      <c r="A67" t="str">
        <f>MSCI_World_Index_Monthly!A79</f>
        <v>2023-06-30</v>
      </c>
      <c r="B67">
        <f>GSCEQBA_Monthly!B79</f>
        <v>30.44</v>
      </c>
      <c r="C67">
        <f>MSCI_World_Index_Monthly!B79</f>
        <v>9190.7774420000005</v>
      </c>
      <c r="D67">
        <f>(GSCEQBA_Monthly!B79-GSCEQBA_Monthly!B78)/GSCEQBA_Monthly!B78</f>
        <v>6.3591893780573033E-2</v>
      </c>
      <c r="E67">
        <f>(MSCI_World_Index_Monthly!B79-MSCI_World_Index_Monthly!B78)/MSCI_World_Index_Monthly!B78</f>
        <v>6.0477788441801274E-2</v>
      </c>
      <c r="F67">
        <f>(1+'Risk-free rate'!B79/100)^(1/12)-1</f>
        <v>4.2015362976310922E-3</v>
      </c>
      <c r="G67">
        <f t="shared" si="7"/>
        <v>5.9390357482941941E-2</v>
      </c>
      <c r="H67">
        <f t="shared" si="7"/>
        <v>5.6276252144170182E-2</v>
      </c>
      <c r="I67">
        <f t="shared" si="5"/>
        <v>2.8315663854230788E-2</v>
      </c>
      <c r="J67">
        <f t="shared" si="6"/>
        <v>0.83191678057385376</v>
      </c>
    </row>
    <row r="68" spans="1:10" x14ac:dyDescent="0.2">
      <c r="A68" t="str">
        <f>MSCI_World_Index_Monthly!A80</f>
        <v>2023-07-31</v>
      </c>
      <c r="B68">
        <f>GSCEQBA_Monthly!B80</f>
        <v>31.36</v>
      </c>
      <c r="C68">
        <f>MSCI_World_Index_Monthly!B80</f>
        <v>9499.5210160000006</v>
      </c>
      <c r="D68">
        <f>(GSCEQBA_Monthly!B80-GSCEQBA_Monthly!B79)/GSCEQBA_Monthly!B79</f>
        <v>3.0223390275952632E-2</v>
      </c>
      <c r="E68">
        <f>(MSCI_World_Index_Monthly!B80-MSCI_World_Index_Monthly!B79)/MSCI_World_Index_Monthly!B79</f>
        <v>3.3592759257677615E-2</v>
      </c>
      <c r="F68">
        <f>(1+'Risk-free rate'!B80/100)^(1/12)-1</f>
        <v>4.2731277661580691E-3</v>
      </c>
      <c r="G68">
        <f t="shared" si="7"/>
        <v>2.5950262509794562E-2</v>
      </c>
      <c r="H68">
        <f t="shared" si="7"/>
        <v>2.9319631491519546E-2</v>
      </c>
      <c r="I68">
        <f t="shared" si="5"/>
        <v>2.3528047069409475E-2</v>
      </c>
      <c r="J68">
        <f t="shared" si="6"/>
        <v>0.82040909356967162</v>
      </c>
    </row>
    <row r="69" spans="1:10" x14ac:dyDescent="0.2">
      <c r="A69" t="str">
        <f>MSCI_World_Index_Monthly!A81</f>
        <v>2023-08-31</v>
      </c>
      <c r="B69">
        <f>GSCEQBA_Monthly!B81</f>
        <v>30.59</v>
      </c>
      <c r="C69">
        <f>MSCI_World_Index_Monthly!B81</f>
        <v>9272.6180789999999</v>
      </c>
      <c r="D69">
        <f>(GSCEQBA_Monthly!B81-GSCEQBA_Monthly!B80)/GSCEQBA_Monthly!B80</f>
        <v>-2.4553571428571414E-2</v>
      </c>
      <c r="E69">
        <f>(MSCI_World_Index_Monthly!B81-MSCI_World_Index_Monthly!B80)/MSCI_World_Index_Monthly!B80</f>
        <v>-2.3885723987328324E-2</v>
      </c>
      <c r="F69">
        <f>(1+'Risk-free rate'!B81/100)^(1/12)-1</f>
        <v>4.3128765598297036E-3</v>
      </c>
      <c r="G69">
        <f t="shared" si="7"/>
        <v>-2.8866447988401118E-2</v>
      </c>
      <c r="H69">
        <f t="shared" si="7"/>
        <v>-2.8198600547158028E-2</v>
      </c>
      <c r="I69">
        <f t="shared" si="5"/>
        <v>-2.6414641205874112E-4</v>
      </c>
      <c r="J69">
        <f t="shared" si="6"/>
        <v>0.85157123709785376</v>
      </c>
    </row>
    <row r="70" spans="1:10" x14ac:dyDescent="0.2">
      <c r="A70" t="str">
        <f>MSCI_World_Index_Monthly!A82</f>
        <v>2023-09-29</v>
      </c>
      <c r="B70">
        <f>GSCEQBA_Monthly!B82</f>
        <v>29.7</v>
      </c>
      <c r="C70">
        <f>MSCI_World_Index_Monthly!B82</f>
        <v>8872.6123389999993</v>
      </c>
      <c r="D70">
        <f>(GSCEQBA_Monthly!B82-GSCEQBA_Monthly!B81)/GSCEQBA_Monthly!B81</f>
        <v>-2.9094475318731629E-2</v>
      </c>
      <c r="E70">
        <f>(MSCI_World_Index_Monthly!B82-MSCI_World_Index_Monthly!B81)/MSCI_World_Index_Monthly!B81</f>
        <v>-4.3138381910272625E-2</v>
      </c>
      <c r="F70">
        <f>(1+'Risk-free rate'!B82/100)^(1/12)-1</f>
        <v>4.3287712331259165E-3</v>
      </c>
      <c r="G70">
        <f t="shared" si="7"/>
        <v>-3.3423246551857549E-2</v>
      </c>
      <c r="H70">
        <f t="shared" si="7"/>
        <v>-4.7467153143398541E-2</v>
      </c>
      <c r="I70">
        <f t="shared" si="5"/>
        <v>2.8108691652838802E-2</v>
      </c>
      <c r="J70">
        <f t="shared" si="6"/>
        <v>0.78415239565999006</v>
      </c>
    </row>
    <row r="71" spans="1:10" x14ac:dyDescent="0.2">
      <c r="A71" t="str">
        <f>MSCI_World_Index_Monthly!A83</f>
        <v>2023-10-31</v>
      </c>
      <c r="B71">
        <f>GSCEQBA_Monthly!B83</f>
        <v>28.48</v>
      </c>
      <c r="C71">
        <f>MSCI_World_Index_Monthly!B83</f>
        <v>8615.1660620000002</v>
      </c>
      <c r="D71">
        <f>(GSCEQBA_Monthly!B83-GSCEQBA_Monthly!B82)/GSCEQBA_Monthly!B82</f>
        <v>-4.1077441077441039E-2</v>
      </c>
      <c r="E71">
        <f>(MSCI_World_Index_Monthly!B83-MSCI_World_Index_Monthly!B82)/MSCI_World_Index_Monthly!B82</f>
        <v>-2.9015837406575453E-2</v>
      </c>
      <c r="F71">
        <f>(1+'Risk-free rate'!B83/100)^(1/12)-1</f>
        <v>4.3446631398347257E-3</v>
      </c>
      <c r="G71">
        <f t="shared" si="7"/>
        <v>-4.5422104217275765E-2</v>
      </c>
      <c r="H71">
        <f t="shared" si="7"/>
        <v>-3.3360500546410182E-2</v>
      </c>
      <c r="I71">
        <f t="shared" si="5"/>
        <v>1.6731674970416055E-3</v>
      </c>
      <c r="J71">
        <f t="shared" si="6"/>
        <v>0.81668654946779506</v>
      </c>
    </row>
    <row r="72" spans="1:10" x14ac:dyDescent="0.2">
      <c r="A72" t="str">
        <f>MSCI_World_Index_Monthly!A84</f>
        <v>2023-11-30</v>
      </c>
      <c r="B72">
        <f>GSCEQBA_Monthly!B84</f>
        <v>30.98</v>
      </c>
      <c r="C72">
        <f>MSCI_World_Index_Monthly!B84</f>
        <v>9422.8557509999991</v>
      </c>
      <c r="D72">
        <f>(GSCEQBA_Monthly!B84-GSCEQBA_Monthly!B83)/GSCEQBA_Monthly!B83</f>
        <v>8.7780898876404487E-2</v>
      </c>
      <c r="E72">
        <f>(MSCI_World_Index_Monthly!B84-MSCI_World_Index_Monthly!B83)/MSCI_World_Index_Monthly!B83</f>
        <v>9.3752074328848717E-2</v>
      </c>
      <c r="F72">
        <f>(1+'Risk-free rate'!B84/100)^(1/12)-1</f>
        <v>4.2890293603305985E-3</v>
      </c>
      <c r="G72">
        <f t="shared" si="7"/>
        <v>8.3491869516073888E-2</v>
      </c>
      <c r="H72">
        <f t="shared" si="7"/>
        <v>8.9463044968518118E-2</v>
      </c>
      <c r="I72">
        <f t="shared" si="5"/>
        <v>1.9893154119329459E-2</v>
      </c>
      <c r="J72">
        <f t="shared" si="6"/>
        <v>0.88526823566854729</v>
      </c>
    </row>
    <row r="73" spans="1:10" x14ac:dyDescent="0.2">
      <c r="A73" t="str">
        <f>MSCI_World_Index_Monthly!A85</f>
        <v>2023-12-29</v>
      </c>
      <c r="B73">
        <f>GSCEQBA_Monthly!B85</f>
        <v>32.619999999999997</v>
      </c>
      <c r="C73">
        <f>MSCI_World_Index_Monthly!B85</f>
        <v>9885.4637610000009</v>
      </c>
      <c r="D73">
        <f>(GSCEQBA_Monthly!B85-GSCEQBA_Monthly!B84)/GSCEQBA_Monthly!B84</f>
        <v>5.293737895416388E-2</v>
      </c>
      <c r="E73">
        <f>(MSCI_World_Index_Monthly!B85-MSCI_World_Index_Monthly!B84)/MSCI_World_Index_Monthly!B84</f>
        <v>4.909424724568319E-2</v>
      </c>
      <c r="F73">
        <f>(1+'Risk-free rate'!B85/100)^(1/12)-1</f>
        <v>4.2651759303415915E-3</v>
      </c>
      <c r="G73">
        <f t="shared" si="7"/>
        <v>4.8672203023822289E-2</v>
      </c>
      <c r="H73">
        <f t="shared" si="7"/>
        <v>4.4829071315341598E-2</v>
      </c>
      <c r="I73">
        <f t="shared" si="5"/>
        <v>1.1988914386267702E-2</v>
      </c>
      <c r="J73">
        <f t="shared" si="6"/>
        <v>0.92010607981875081</v>
      </c>
    </row>
    <row r="74" spans="1:10" x14ac:dyDescent="0.2">
      <c r="A74" t="str">
        <f>MSCI_World_Index_Monthly!A86</f>
        <v>2024-01-31</v>
      </c>
      <c r="B74">
        <f>GSCEQBA_Monthly!B86</f>
        <v>33.43</v>
      </c>
      <c r="C74">
        <f>MSCI_World_Index_Monthly!B86</f>
        <v>10004.094090000001</v>
      </c>
      <c r="D74">
        <f>(GSCEQBA_Monthly!B86-GSCEQBA_Monthly!B85)/GSCEQBA_Monthly!B85</f>
        <v>2.4831391784181554E-2</v>
      </c>
      <c r="E74">
        <f>(MSCI_World_Index_Monthly!B86-MSCI_World_Index_Monthly!B85)/MSCI_World_Index_Monthly!B85</f>
        <v>1.2000481906374327E-2</v>
      </c>
      <c r="F74">
        <f>(1+'Risk-free rate'!B86/100)^(1/12)-1</f>
        <v>4.2492701806178257E-3</v>
      </c>
      <c r="G74">
        <f t="shared" si="7"/>
        <v>2.0582121603563729E-2</v>
      </c>
      <c r="H74">
        <f t="shared" si="7"/>
        <v>7.7512117257565009E-3</v>
      </c>
      <c r="I74">
        <f t="shared" si="5"/>
        <v>2.1593744821189587E-2</v>
      </c>
      <c r="J74">
        <f t="shared" si="6"/>
        <v>0.90409890035375362</v>
      </c>
    </row>
    <row r="75" spans="1:10" x14ac:dyDescent="0.2">
      <c r="A75" t="str">
        <f>MSCI_World_Index_Monthly!A87</f>
        <v>2024-02-29</v>
      </c>
      <c r="B75">
        <f>GSCEQBA_Monthly!B87</f>
        <v>35.03</v>
      </c>
      <c r="C75">
        <f>MSCI_World_Index_Monthly!B87</f>
        <v>10428.244322</v>
      </c>
      <c r="D75">
        <f>(GSCEQBA_Monthly!B87-GSCEQBA_Monthly!B86)/GSCEQBA_Monthly!B86</f>
        <v>4.7861202512713176E-2</v>
      </c>
      <c r="E75">
        <f>(MSCI_World_Index_Monthly!B87-MSCI_World_Index_Monthly!B86)/MSCI_World_Index_Monthly!B86</f>
        <v>4.239766521428228E-2</v>
      </c>
      <c r="F75">
        <f>(1+'Risk-free rate'!B87/100)^(1/12)-1</f>
        <v>4.2651759303415915E-3</v>
      </c>
      <c r="G75">
        <f t="shared" si="7"/>
        <v>4.3596026582371585E-2</v>
      </c>
      <c r="H75">
        <f t="shared" si="7"/>
        <v>3.8132489283940689E-2</v>
      </c>
      <c r="I75">
        <f t="shared" si="5"/>
        <v>1.1122621842100333E-2</v>
      </c>
      <c r="J75">
        <f t="shared" si="6"/>
        <v>0.93991509644692561</v>
      </c>
    </row>
    <row r="76" spans="1:10" x14ac:dyDescent="0.2">
      <c r="A76" t="str">
        <f>MSCI_World_Index_Monthly!A88</f>
        <v>2024-03-29</v>
      </c>
      <c r="B76">
        <f>GSCEQBA_Monthly!B88</f>
        <v>36.340000000000003</v>
      </c>
      <c r="C76">
        <f>MSCI_World_Index_Monthly!B88</f>
        <v>10763.354051</v>
      </c>
      <c r="D76">
        <f>(GSCEQBA_Monthly!B88-GSCEQBA_Monthly!B87)/GSCEQBA_Monthly!B87</f>
        <v>3.7396517270910715E-2</v>
      </c>
      <c r="E76">
        <f>(MSCI_World_Index_Monthly!B88-MSCI_World_Index_Monthly!B87)/MSCI_World_Index_Monthly!B87</f>
        <v>3.2134817583150961E-2</v>
      </c>
      <c r="F76">
        <f>(1+'Risk-free rate'!B88/100)^(1/12)-1</f>
        <v>4.2651759303415915E-3</v>
      </c>
      <c r="G76">
        <f t="shared" si="7"/>
        <v>3.3131341340569123E-2</v>
      </c>
      <c r="H76">
        <f t="shared" si="7"/>
        <v>2.786964165280937E-2</v>
      </c>
      <c r="I76">
        <f t="shared" si="5"/>
        <v>3.5283691874564038E-2</v>
      </c>
      <c r="J76">
        <f t="shared" si="6"/>
        <v>0.95769485241541363</v>
      </c>
    </row>
    <row r="77" spans="1:10" x14ac:dyDescent="0.2">
      <c r="A77" t="str">
        <f>MSCI_World_Index_Monthly!A89</f>
        <v>2024-04-30</v>
      </c>
      <c r="B77">
        <f>GSCEQBA_Monthly!B89</f>
        <v>35.15</v>
      </c>
      <c r="C77">
        <f>MSCI_World_Index_Monthly!B89</f>
        <v>10363.552441</v>
      </c>
      <c r="D77">
        <f>(GSCEQBA_Monthly!B89-GSCEQBA_Monthly!B88)/GSCEQBA_Monthly!B88</f>
        <v>-3.2746285085305575E-2</v>
      </c>
      <c r="E77">
        <f>(MSCI_World_Index_Monthly!B89-MSCI_World_Index_Monthly!B88)/MSCI_World_Index_Monthly!B88</f>
        <v>-3.7144704903845076E-2</v>
      </c>
      <c r="F77">
        <f>(1+'Risk-free rate'!B89/100)^(1/12)-1</f>
        <v>4.2651759303415915E-3</v>
      </c>
      <c r="G77">
        <f t="shared" si="7"/>
        <v>-3.7011461015647167E-2</v>
      </c>
      <c r="H77">
        <f t="shared" si="7"/>
        <v>-4.1409880834186667E-2</v>
      </c>
      <c r="I77">
        <f t="shared" si="5"/>
        <v>4.5086438776351656E-2</v>
      </c>
      <c r="J77">
        <f t="shared" si="6"/>
        <v>0.95961785668467403</v>
      </c>
    </row>
    <row r="78" spans="1:10" x14ac:dyDescent="0.2">
      <c r="A78" t="str">
        <f>MSCI_World_Index_Monthly!A90</f>
        <v>2024-05-31</v>
      </c>
      <c r="B78">
        <f>GSCEQBA_Monthly!B90</f>
        <v>36.42</v>
      </c>
      <c r="C78">
        <f>MSCI_World_Index_Monthly!B90</f>
        <v>10826.305639</v>
      </c>
      <c r="D78">
        <f>(GSCEQBA_Monthly!B90-GSCEQBA_Monthly!B89)/GSCEQBA_Monthly!B89</f>
        <v>3.6130867709815169E-2</v>
      </c>
      <c r="E78">
        <f>(MSCI_World_Index_Monthly!B90-MSCI_World_Index_Monthly!B89)/MSCI_World_Index_Monthly!B89</f>
        <v>4.4651985951194587E-2</v>
      </c>
      <c r="F78">
        <f>(1+'Risk-free rate'!B90/100)^(1/12)-1</f>
        <v>4.2731277661580691E-3</v>
      </c>
      <c r="G78">
        <f t="shared" si="7"/>
        <v>3.18577399436571E-2</v>
      </c>
      <c r="H78">
        <f t="shared" si="7"/>
        <v>4.0378858185036517E-2</v>
      </c>
      <c r="I78">
        <f t="shared" si="5"/>
        <v>2.6392511405629371E-2</v>
      </c>
      <c r="J78">
        <f t="shared" si="6"/>
        <v>0.95798144113092187</v>
      </c>
    </row>
    <row r="79" spans="1:10" x14ac:dyDescent="0.2">
      <c r="A79" t="str">
        <f>MSCI_World_Index_Monthly!A91</f>
        <v>2024-06-28</v>
      </c>
      <c r="B79">
        <f>GSCEQBA_Monthly!B91</f>
        <v>37.67</v>
      </c>
      <c r="C79">
        <f>MSCI_World_Index_Monthly!B91</f>
        <v>11046.598228999999</v>
      </c>
      <c r="D79">
        <f>(GSCEQBA_Monthly!B91-GSCEQBA_Monthly!B90)/GSCEQBA_Monthly!B90</f>
        <v>3.4321801208127403E-2</v>
      </c>
      <c r="E79">
        <f>(MSCI_World_Index_Monthly!B91-MSCI_World_Index_Monthly!B90)/MSCI_World_Index_Monthly!B90</f>
        <v>2.0347900506931096E-2</v>
      </c>
      <c r="F79">
        <f>(1+'Risk-free rate'!B91/100)^(1/12)-1</f>
        <v>4.2651759303415915E-3</v>
      </c>
      <c r="G79">
        <f t="shared" si="7"/>
        <v>3.0056625277785812E-2</v>
      </c>
      <c r="H79">
        <f t="shared" si="7"/>
        <v>1.6082724576589505E-2</v>
      </c>
      <c r="I79">
        <f t="shared" si="5"/>
        <v>3.6556593495157275E-2</v>
      </c>
      <c r="J79">
        <f t="shared" si="6"/>
        <v>0.95303995007322195</v>
      </c>
    </row>
    <row r="80" spans="1:10" x14ac:dyDescent="0.2">
      <c r="A80" t="str">
        <f>MSCI_World_Index_Monthly!A92</f>
        <v>2024-07-31</v>
      </c>
      <c r="B80">
        <f>GSCEQBA_Monthly!B92</f>
        <v>37.659999999999997</v>
      </c>
      <c r="C80">
        <f>MSCI_World_Index_Monthly!B92</f>
        <v>11241.266073999999</v>
      </c>
      <c r="D80">
        <f>(GSCEQBA_Monthly!B92-GSCEQBA_Monthly!B91)/GSCEQBA_Monthly!B91</f>
        <v>-2.6546323334231792E-4</v>
      </c>
      <c r="E80">
        <f>(MSCI_World_Index_Monthly!B92-MSCI_World_Index_Monthly!B91)/MSCI_World_Index_Monthly!B91</f>
        <v>1.7622424656393281E-2</v>
      </c>
      <c r="F80">
        <f>(1+'Risk-free rate'!B92/100)^(1/12)-1</f>
        <v>4.2333616592649115E-3</v>
      </c>
      <c r="G80">
        <f t="shared" si="7"/>
        <v>-4.4988248926072297E-3</v>
      </c>
      <c r="H80">
        <f t="shared" si="7"/>
        <v>1.338906299712837E-2</v>
      </c>
      <c r="I80">
        <f t="shared" si="5"/>
        <v>2.0632844338336565E-2</v>
      </c>
      <c r="J80">
        <f t="shared" si="6"/>
        <v>0.95501029597959963</v>
      </c>
    </row>
    <row r="81" spans="1:10" x14ac:dyDescent="0.2">
      <c r="A81" t="str">
        <f>MSCI_World_Index_Monthly!A93</f>
        <v>2024-08-30</v>
      </c>
      <c r="B81">
        <f>GSCEQBA_Monthly!B93</f>
        <v>38.67</v>
      </c>
      <c r="C81">
        <f>MSCI_World_Index_Monthly!B93</f>
        <v>11538.378269999999</v>
      </c>
      <c r="D81">
        <f>(GSCEQBA_Monthly!B93-GSCEQBA_Monthly!B92)/GSCEQBA_Monthly!B92</f>
        <v>2.6818906001062272E-2</v>
      </c>
      <c r="E81">
        <f>(MSCI_World_Index_Monthly!B93-MSCI_World_Index_Monthly!B92)/MSCI_World_Index_Monthly!B92</f>
        <v>2.6430492263428661E-2</v>
      </c>
      <c r="F81">
        <f>(1+'Risk-free rate'!B93/100)^(1/12)-1</f>
        <v>4.1139593013970188E-3</v>
      </c>
      <c r="G81">
        <f t="shared" si="7"/>
        <v>2.2704946699665253E-2</v>
      </c>
      <c r="H81">
        <f t="shared" si="7"/>
        <v>2.2316532962031642E-2</v>
      </c>
      <c r="I81">
        <f t="shared" si="5"/>
        <v>2.5701144061099024E-2</v>
      </c>
      <c r="J81">
        <f t="shared" si="6"/>
        <v>0.94582872494501702</v>
      </c>
    </row>
    <row r="82" spans="1:10" x14ac:dyDescent="0.2">
      <c r="A82" t="str">
        <f>MSCI_World_Index_Monthly!A94</f>
        <v>2024-09-30</v>
      </c>
      <c r="B82">
        <f>GSCEQBA_Monthly!B94</f>
        <v>38.99</v>
      </c>
      <c r="C82">
        <f>MSCI_World_Index_Monthly!B94</f>
        <v>11749.691392999999</v>
      </c>
      <c r="D82">
        <f>(GSCEQBA_Monthly!B94-GSCEQBA_Monthly!B93)/GSCEQBA_Monthly!B93</f>
        <v>8.2751486940781036E-3</v>
      </c>
      <c r="E82">
        <f>(MSCI_World_Index_Monthly!B94-MSCI_World_Index_Monthly!B93)/MSCI_World_Index_Monthly!B93</f>
        <v>1.8313936157685003E-2</v>
      </c>
      <c r="F82">
        <f>(1+'Risk-free rate'!B94/100)^(1/12)-1</f>
        <v>3.8507230235700352E-3</v>
      </c>
      <c r="G82">
        <f t="shared" si="7"/>
        <v>4.4244256705080684E-3</v>
      </c>
      <c r="H82">
        <f t="shared" si="7"/>
        <v>1.4463213134114968E-2</v>
      </c>
      <c r="I82">
        <f t="shared" si="5"/>
        <v>-7.9937210521452418E-3</v>
      </c>
      <c r="J82">
        <f t="shared" si="6"/>
        <v>0.99876034056053709</v>
      </c>
    </row>
    <row r="83" spans="1:10" x14ac:dyDescent="0.2">
      <c r="A83" t="str">
        <f>MSCI_World_Index_Monthly!A95</f>
        <v>2024-10-31</v>
      </c>
      <c r="B83">
        <f>GSCEQBA_Monthly!B95</f>
        <v>38.35</v>
      </c>
      <c r="C83">
        <f>MSCI_World_Index_Monthly!B95</f>
        <v>11516.613707</v>
      </c>
      <c r="D83">
        <f>(GSCEQBA_Monthly!B95-GSCEQBA_Monthly!B94)/GSCEQBA_Monthly!B94</f>
        <v>-1.6414465247499371E-2</v>
      </c>
      <c r="E83">
        <f>(MSCI_World_Index_Monthly!B95-MSCI_World_Index_Monthly!B94)/MSCI_World_Index_Monthly!B94</f>
        <v>-1.9836919813813764E-2</v>
      </c>
      <c r="F83">
        <f>(1+'Risk-free rate'!B95/100)^(1/12)-1</f>
        <v>3.6828128357737633E-3</v>
      </c>
      <c r="G83">
        <f t="shared" si="7"/>
        <v>-2.0097278083273135E-2</v>
      </c>
      <c r="H83">
        <f t="shared" si="7"/>
        <v>-2.3519732649587528E-2</v>
      </c>
      <c r="I83">
        <f t="shared" si="5"/>
        <v>2.4170838604135936E-2</v>
      </c>
      <c r="J83">
        <f t="shared" si="6"/>
        <v>0.93295742052254593</v>
      </c>
    </row>
    <row r="84" spans="1:10" x14ac:dyDescent="0.2">
      <c r="A84" t="str">
        <f>MSCI_World_Index_Monthly!A96</f>
        <v>2024-11-29</v>
      </c>
      <c r="B84">
        <f>GSCEQBA_Monthly!B96</f>
        <v>40.17</v>
      </c>
      <c r="C84">
        <f>MSCI_World_Index_Monthly!B96</f>
        <v>12045.071732</v>
      </c>
      <c r="D84">
        <f>(GSCEQBA_Monthly!B96-GSCEQBA_Monthly!B95)/GSCEQBA_Monthly!B95</f>
        <v>4.7457627118644076E-2</v>
      </c>
      <c r="E84">
        <f>(MSCI_World_Index_Monthly!B96-MSCI_World_Index_Monthly!B95)/MSCI_World_Index_Monthly!B95</f>
        <v>4.5886580764517078E-2</v>
      </c>
      <c r="F84">
        <f>(1+'Risk-free rate'!B96/100)^(1/12)-1</f>
        <v>3.6107566318024364E-3</v>
      </c>
      <c r="G84">
        <f t="shared" si="7"/>
        <v>4.384687048684164E-2</v>
      </c>
      <c r="H84">
        <f t="shared" si="7"/>
        <v>4.2275824132714641E-2</v>
      </c>
      <c r="I84">
        <f t="shared" si="5"/>
        <v>2.3171523115105064E-2</v>
      </c>
      <c r="J84">
        <f t="shared" si="6"/>
        <v>0.95940295502969175</v>
      </c>
    </row>
    <row r="85" spans="1:10" x14ac:dyDescent="0.2">
      <c r="A85" t="str">
        <f>MSCI_World_Index_Monthly!A97</f>
        <v>2024-12-31</v>
      </c>
      <c r="B85">
        <f>GSCEQBA_Monthly!B97</f>
        <v>39.49</v>
      </c>
      <c r="C85">
        <f>MSCI_World_Index_Monthly!B97</f>
        <v>11731.170265000001</v>
      </c>
      <c r="D85">
        <f>(GSCEQBA_Monthly!B97-GSCEQBA_Monthly!B96)/GSCEQBA_Monthly!B96</f>
        <v>-1.692805576300721E-2</v>
      </c>
      <c r="E85">
        <f>(MSCI_World_Index_Monthly!B97-MSCI_World_Index_Monthly!B96)/MSCI_World_Index_Monthly!B96</f>
        <v>-2.6060572654462599E-2</v>
      </c>
      <c r="F85">
        <f>(1+'Risk-free rate'!B97/100)^(1/12)-1</f>
        <v>3.4905363507502507E-3</v>
      </c>
      <c r="G85">
        <f t="shared" si="7"/>
        <v>-2.0418592113757461E-2</v>
      </c>
      <c r="H85">
        <f t="shared" si="7"/>
        <v>-2.955110900521285E-2</v>
      </c>
      <c r="I85">
        <f t="shared" si="5"/>
        <v>3.1138926216212504E-2</v>
      </c>
      <c r="J85">
        <f t="shared" si="6"/>
        <v>0.91646006814488679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1875-9DFE-4339-9C7A-F22CFA846502}">
  <dimension ref="A1:Q97"/>
  <sheetViews>
    <sheetView tabSelected="1" workbookViewId="0">
      <selection activeCell="E21" sqref="E21"/>
    </sheetView>
  </sheetViews>
  <sheetFormatPr baseColWidth="10" defaultRowHeight="15" x14ac:dyDescent="0.2"/>
  <cols>
    <col min="2" max="3" width="12" bestFit="1" customWidth="1"/>
    <col min="12" max="12" width="12" bestFit="1" customWidth="1"/>
    <col min="14" max="14" width="13.5" bestFit="1" customWidth="1"/>
    <col min="15" max="15" width="12.6640625" bestFit="1" customWidth="1"/>
  </cols>
  <sheetData>
    <row r="1" spans="1:17" ht="48" x14ac:dyDescent="0.2">
      <c r="A1" s="8" t="s">
        <v>0</v>
      </c>
      <c r="B1" s="8" t="s">
        <v>105</v>
      </c>
      <c r="C1" s="8" t="s">
        <v>106</v>
      </c>
      <c r="D1" s="8" t="s">
        <v>110</v>
      </c>
      <c r="E1" s="8" t="s">
        <v>111</v>
      </c>
      <c r="F1" s="8" t="s">
        <v>112</v>
      </c>
      <c r="G1" s="8" t="s">
        <v>113</v>
      </c>
      <c r="H1" s="8" t="s">
        <v>114</v>
      </c>
      <c r="I1" s="8" t="s">
        <v>115</v>
      </c>
      <c r="L1" s="8" t="s">
        <v>110</v>
      </c>
      <c r="M1" s="8" t="s">
        <v>111</v>
      </c>
      <c r="N1" s="8" t="s">
        <v>112</v>
      </c>
      <c r="O1" s="8" t="s">
        <v>113</v>
      </c>
      <c r="P1" s="8" t="s">
        <v>114</v>
      </c>
      <c r="Q1" s="8" t="s">
        <v>115</v>
      </c>
    </row>
    <row r="2" spans="1:17" x14ac:dyDescent="0.2">
      <c r="A2" s="9" t="str">
        <f>MSCI_World_Index_Monthly!A2</f>
        <v>2017-01-31</v>
      </c>
      <c r="B2" s="9"/>
      <c r="C2" s="9"/>
      <c r="K2" t="s">
        <v>116</v>
      </c>
      <c r="L2" cm="1">
        <f t="array" ref="L2">GEOMEAN(IF(C14:C38 &gt; 0, 1 + B14:B38)) - 1</f>
        <v>2.5998388748788681E-2</v>
      </c>
      <c r="M2" cm="1">
        <f t="array" ref="M2">GEOMEAN(IF(C14:C38 &gt; 0, 1 + C14:C38)) - 1</f>
        <v>2.7029760141178638E-2</v>
      </c>
      <c r="N2" s="10">
        <f>(L2/M2)*100</f>
        <v>96.184311710488657</v>
      </c>
      <c r="O2" cm="1">
        <f t="array" ref="O2">GEOMEAN(IF(C14:C38&lt;0,1+B14:B38))-1</f>
        <v>-4.4645854620740888E-2</v>
      </c>
      <c r="P2" cm="1">
        <f t="array" ref="P2">GEOMEAN(IF(C3:C38&lt;0,1+C3:C38))-1</f>
        <v>-3.7573037293611833E-2</v>
      </c>
      <c r="Q2">
        <f>(O2/P2)*100</f>
        <v>118.82418307537669</v>
      </c>
    </row>
    <row r="3" spans="1:17" x14ac:dyDescent="0.2">
      <c r="A3" s="9" t="str">
        <f>MSCI_World_Index_Monthly!A3</f>
        <v>2017-02-28</v>
      </c>
      <c r="B3" s="9">
        <f>(GSCEQBA_Monthly!B3-GSCEQBA_Monthly!B2)/GSCEQBA_Monthly!B2</f>
        <v>2.7404621171413304E-2</v>
      </c>
      <c r="C3" s="9">
        <f>(MSCI_World_Index_Monthly!B3-MSCI_World_Index_Monthly!B2)/MSCI_World_Index_Monthly!B2</f>
        <v>2.7743430597190269E-2</v>
      </c>
      <c r="K3" t="s">
        <v>117</v>
      </c>
      <c r="L3" cm="1">
        <f t="array" ref="L3">GEOMEAN(IF(C26:C61 &gt; 0, 1 + B26:B61)) - 1</f>
        <v>3.8543002217841016E-2</v>
      </c>
      <c r="M3" cm="1">
        <f t="array" ref="M3">GEOMEAN(IF(C26:C61 &gt; 0, 1 + C26:C61)) - 1</f>
        <v>4.1071049402482851E-2</v>
      </c>
      <c r="N3" s="10">
        <f>(L3/M3)*100</f>
        <v>93.844697855494758</v>
      </c>
      <c r="O3" cm="1">
        <f t="array" ref="O3">GEOMEAN(IF(C26:C61&lt;0,1+B26:B61))-1</f>
        <v>-4.5431671204904212E-2</v>
      </c>
      <c r="P3" cm="1">
        <f t="array" ref="P3">GEOMEAN(IF(C26:C61&lt;0,1+C26:C61))-1</f>
        <v>-4.4699295595831301E-2</v>
      </c>
      <c r="Q3">
        <f>(O3/P3)*100</f>
        <v>101.63845000085688</v>
      </c>
    </row>
    <row r="4" spans="1:17" x14ac:dyDescent="0.2">
      <c r="A4" s="9" t="str">
        <f>MSCI_World_Index_Monthly!A4</f>
        <v>2017-03-31</v>
      </c>
      <c r="B4" s="9">
        <f>(GSCEQBA_Monthly!B4-GSCEQBA_Monthly!B3)/GSCEQBA_Monthly!B3</f>
        <v>6.7991631799162655E-3</v>
      </c>
      <c r="C4" s="9">
        <f>(MSCI_World_Index_Monthly!B4-MSCI_World_Index_Monthly!B3)/MSCI_World_Index_Monthly!B3</f>
        <v>1.0651903076426059E-2</v>
      </c>
      <c r="K4" t="s">
        <v>118</v>
      </c>
      <c r="L4" cm="1">
        <f t="array" ref="L4">GEOMEAN(IF(C62:C97 &gt; 0, 1 + B62:B97)) - 1</f>
        <v>3.6732185791634286E-2</v>
      </c>
      <c r="M4" cm="1">
        <f t="array" ref="M4">GEOMEAN(IF(C62:C97 &gt; 0, 1 + C62:C97)) - 1</f>
        <v>4.0897942389156006E-2</v>
      </c>
      <c r="N4" s="10">
        <f>(L4/M4)*100</f>
        <v>89.814263617755358</v>
      </c>
      <c r="O4" cm="1">
        <f t="array" ref="O4">GEOMEAN(IF(C62:C97&lt;0,1+B62:B97))-1</f>
        <v>-3.8669208103824126E-2</v>
      </c>
      <c r="P4" cm="1">
        <f t="array" ref="P4">GEOMEAN(IF(C62:C97&lt;0,1+C62:C97))-1</f>
        <v>-4.2877630259952171E-2</v>
      </c>
      <c r="Q4">
        <f>(O4/P4)*100</f>
        <v>90.185040239831721</v>
      </c>
    </row>
    <row r="5" spans="1:17" x14ac:dyDescent="0.2">
      <c r="A5" s="9" t="str">
        <f>MSCI_World_Index_Monthly!A5</f>
        <v>2017-04-28</v>
      </c>
      <c r="B5" s="9">
        <f>(GSCEQBA_Monthly!B5-GSCEQBA_Monthly!B4)/GSCEQBA_Monthly!B4</f>
        <v>1.9220779220779274E-2</v>
      </c>
      <c r="C5" s="9">
        <f>(MSCI_World_Index_Monthly!B5-MSCI_World_Index_Monthly!B4)/MSCI_World_Index_Monthly!B4</f>
        <v>1.4806875750122643E-2</v>
      </c>
    </row>
    <row r="6" spans="1:17" x14ac:dyDescent="0.2">
      <c r="A6" s="9" t="str">
        <f>MSCI_World_Index_Monthly!A6</f>
        <v>2017-05-31</v>
      </c>
      <c r="B6" s="9">
        <f>(GSCEQBA_Monthly!B6-GSCEQBA_Monthly!B5)/GSCEQBA_Monthly!B5</f>
        <v>1.5290519877675877E-2</v>
      </c>
      <c r="C6" s="9">
        <f>(MSCI_World_Index_Monthly!B6-MSCI_World_Index_Monthly!B5)/MSCI_World_Index_Monthly!B5</f>
        <v>2.1154490808233728E-2</v>
      </c>
      <c r="L6" t="s">
        <v>119</v>
      </c>
    </row>
    <row r="7" spans="1:17" x14ac:dyDescent="0.2">
      <c r="A7" s="9" t="str">
        <f>MSCI_World_Index_Monthly!A7</f>
        <v>2017-06-30</v>
      </c>
      <c r="B7" s="9">
        <f>(GSCEQBA_Monthly!B7-GSCEQBA_Monthly!B6)/GSCEQBA_Monthly!B6</f>
        <v>1.2048192771084258E-2</v>
      </c>
      <c r="C7" s="9">
        <f>(MSCI_World_Index_Monthly!B7-MSCI_World_Index_Monthly!B6)/MSCI_World_Index_Monthly!B6</f>
        <v>3.8475012685521707E-3</v>
      </c>
    </row>
    <row r="8" spans="1:17" x14ac:dyDescent="0.2">
      <c r="A8" s="9" t="str">
        <f>MSCI_World_Index_Monthly!A8</f>
        <v>2017-07-31</v>
      </c>
      <c r="B8" s="9">
        <f>(GSCEQBA_Monthly!B8-GSCEQBA_Monthly!B7)/GSCEQBA_Monthly!B7</f>
        <v>2.6289682539682595E-2</v>
      </c>
      <c r="C8" s="9">
        <f>(MSCI_World_Index_Monthly!B8-MSCI_World_Index_Monthly!B7)/MSCI_World_Index_Monthly!B7</f>
        <v>2.3932433509939937E-2</v>
      </c>
    </row>
    <row r="9" spans="1:17" x14ac:dyDescent="0.2">
      <c r="A9" s="9" t="str">
        <f>MSCI_World_Index_Monthly!A9</f>
        <v>2017-08-31</v>
      </c>
      <c r="B9" s="9">
        <f>(GSCEQBA_Monthly!B9-GSCEQBA_Monthly!B8)/GSCEQBA_Monthly!B8</f>
        <v>-2.8999516674723183E-3</v>
      </c>
      <c r="C9" s="9">
        <f>(MSCI_World_Index_Monthly!B9-MSCI_World_Index_Monthly!B8)/MSCI_World_Index_Monthly!B8</f>
        <v>1.4081715699145127E-3</v>
      </c>
    </row>
    <row r="10" spans="1:17" x14ac:dyDescent="0.2">
      <c r="A10" s="9" t="str">
        <f>MSCI_World_Index_Monthly!A10</f>
        <v>2017-09-29</v>
      </c>
      <c r="B10" s="9">
        <f>(GSCEQBA_Monthly!B10-GSCEQBA_Monthly!B9)/GSCEQBA_Monthly!B9</f>
        <v>3.5870092098885219E-2</v>
      </c>
      <c r="C10" s="9">
        <f>(MSCI_World_Index_Monthly!B10-MSCI_World_Index_Monthly!B9)/MSCI_World_Index_Monthly!B9</f>
        <v>2.2444233722036692E-2</v>
      </c>
    </row>
    <row r="11" spans="1:17" x14ac:dyDescent="0.2">
      <c r="A11" s="9" t="str">
        <f>MSCI_World_Index_Monthly!A11</f>
        <v>2017-10-31</v>
      </c>
      <c r="B11" s="9">
        <f>(GSCEQBA_Monthly!B11-GSCEQBA_Monthly!B10)/GSCEQBA_Monthly!B10</f>
        <v>2.0589611605053706E-2</v>
      </c>
      <c r="C11" s="9">
        <f>(MSCI_World_Index_Monthly!B11-MSCI_World_Index_Monthly!B10)/MSCI_World_Index_Monthly!B10</f>
        <v>1.8898471384909171E-2</v>
      </c>
    </row>
    <row r="12" spans="1:17" x14ac:dyDescent="0.2">
      <c r="A12" s="9" t="str">
        <f>MSCI_World_Index_Monthly!A12</f>
        <v>2017-11-30</v>
      </c>
      <c r="B12" s="9">
        <f>(GSCEQBA_Monthly!B12-GSCEQBA_Monthly!B11)/GSCEQBA_Monthly!B11</f>
        <v>1.4672168729940408E-2</v>
      </c>
      <c r="C12" s="9">
        <f>(MSCI_World_Index_Monthly!B12-MSCI_World_Index_Monthly!B11)/MSCI_World_Index_Monthly!B11</f>
        <v>2.1667536276872026E-2</v>
      </c>
    </row>
    <row r="13" spans="1:17" x14ac:dyDescent="0.2">
      <c r="A13" s="9" t="str">
        <f>MSCI_World_Index_Monthly!A13</f>
        <v>2017-12-29</v>
      </c>
      <c r="B13" s="9">
        <f>(GSCEQBA_Monthly!B13-GSCEQBA_Monthly!B12)/GSCEQBA_Monthly!B12</f>
        <v>2.0334387708992287E-2</v>
      </c>
      <c r="C13" s="9">
        <f>(MSCI_World_Index_Monthly!B13-MSCI_World_Index_Monthly!B12)/MSCI_World_Index_Monthly!B12</f>
        <v>1.352348744743799E-2</v>
      </c>
    </row>
    <row r="14" spans="1:17" x14ac:dyDescent="0.2">
      <c r="A14" t="str">
        <f>MSCI_World_Index_Monthly!A14</f>
        <v>2018-01-31</v>
      </c>
      <c r="B14">
        <f>(GSCEQBA_Monthly!B14-GSCEQBA_Monthly!B13)/GSCEQBA_Monthly!B13</f>
        <v>5.9344552701505911E-2</v>
      </c>
      <c r="C14">
        <f>(MSCI_World_Index_Monthly!B14-MSCI_World_Index_Monthly!B13)/MSCI_World_Index_Monthly!B13</f>
        <v>5.2800205091038235E-2</v>
      </c>
    </row>
    <row r="15" spans="1:17" x14ac:dyDescent="0.2">
      <c r="A15" t="str">
        <f>MSCI_World_Index_Monthly!A15</f>
        <v>2018-02-28</v>
      </c>
      <c r="B15">
        <f>(GSCEQBA_Monthly!B15-GSCEQBA_Monthly!B14)/GSCEQBA_Monthly!B14</f>
        <v>-3.8879598662207492E-2</v>
      </c>
      <c r="C15">
        <f>(MSCI_World_Index_Monthly!B15-MSCI_World_Index_Monthly!B14)/MSCI_World_Index_Monthly!B14</f>
        <v>-4.1427482207929127E-2</v>
      </c>
    </row>
    <row r="16" spans="1:17" x14ac:dyDescent="0.2">
      <c r="A16" t="str">
        <f>MSCI_World_Index_Monthly!A16</f>
        <v>2018-03-30</v>
      </c>
      <c r="B16">
        <f>(GSCEQBA_Monthly!B16-GSCEQBA_Monthly!B15)/GSCEQBA_Monthly!B15</f>
        <v>-3.131796433231835E-2</v>
      </c>
      <c r="C16">
        <f>(MSCI_World_Index_Monthly!B16-MSCI_World_Index_Monthly!B15)/MSCI_World_Index_Monthly!B15</f>
        <v>-2.1796442666560341E-2</v>
      </c>
    </row>
    <row r="17" spans="1:3" x14ac:dyDescent="0.2">
      <c r="A17" t="str">
        <f>MSCI_World_Index_Monthly!A17</f>
        <v>2018-04-30</v>
      </c>
      <c r="B17">
        <f>(GSCEQBA_Monthly!B17-GSCEQBA_Monthly!B16)/GSCEQBA_Monthly!B16</f>
        <v>3.1432420296362791E-2</v>
      </c>
      <c r="C17">
        <f>(MSCI_World_Index_Monthly!B17-MSCI_World_Index_Monthly!B16)/MSCI_World_Index_Monthly!B16</f>
        <v>1.1491173324818062E-2</v>
      </c>
    </row>
    <row r="18" spans="1:3" x14ac:dyDescent="0.2">
      <c r="A18" t="str">
        <f>MSCI_World_Index_Monthly!A18</f>
        <v>2018-05-31</v>
      </c>
      <c r="B18">
        <f>(GSCEQBA_Monthly!B18-GSCEQBA_Monthly!B17)/GSCEQBA_Monthly!B17</f>
        <v>1.2625163256421537E-2</v>
      </c>
      <c r="C18">
        <f>(MSCI_World_Index_Monthly!B18-MSCI_World_Index_Monthly!B17)/MSCI_World_Index_Monthly!B17</f>
        <v>6.2664308053750895E-3</v>
      </c>
    </row>
    <row r="19" spans="1:3" x14ac:dyDescent="0.2">
      <c r="A19" t="str">
        <f>MSCI_World_Index_Monthly!A19</f>
        <v>2018-06-29</v>
      </c>
      <c r="B19">
        <f>(GSCEQBA_Monthly!B19-GSCEQBA_Monthly!B18)/GSCEQBA_Monthly!B18</f>
        <v>-1.1177987962166876E-2</v>
      </c>
      <c r="C19">
        <f>(MSCI_World_Index_Monthly!B19-MSCI_World_Index_Monthly!B18)/MSCI_World_Index_Monthly!B18</f>
        <v>-4.7701104462344887E-4</v>
      </c>
    </row>
    <row r="20" spans="1:3" x14ac:dyDescent="0.2">
      <c r="A20" t="str">
        <f>MSCI_World_Index_Monthly!A20</f>
        <v>2018-07-31</v>
      </c>
      <c r="B20">
        <f>(GSCEQBA_Monthly!B20-GSCEQBA_Monthly!B19)/GSCEQBA_Monthly!B19</f>
        <v>2.4782608695652186E-2</v>
      </c>
      <c r="C20">
        <f>(MSCI_World_Index_Monthly!B20-MSCI_World_Index_Monthly!B19)/MSCI_World_Index_Monthly!B19</f>
        <v>3.1233545064447834E-2</v>
      </c>
    </row>
    <row r="21" spans="1:3" x14ac:dyDescent="0.2">
      <c r="A21" t="str">
        <f>MSCI_World_Index_Monthly!A21</f>
        <v>2018-08-31</v>
      </c>
      <c r="B21">
        <f>(GSCEQBA_Monthly!B21-GSCEQBA_Monthly!B20)/GSCEQBA_Monthly!B20</f>
        <v>1.9092066185829412E-2</v>
      </c>
      <c r="C21">
        <f>(MSCI_World_Index_Monthly!B21-MSCI_World_Index_Monthly!B20)/MSCI_World_Index_Monthly!B20</f>
        <v>1.2372845785684875E-2</v>
      </c>
    </row>
    <row r="22" spans="1:3" x14ac:dyDescent="0.2">
      <c r="A22" t="str">
        <f>MSCI_World_Index_Monthly!A22</f>
        <v>2018-09-28</v>
      </c>
      <c r="B22">
        <f>(GSCEQBA_Monthly!B22-GSCEQBA_Monthly!B21)/GSCEQBA_Monthly!B21</f>
        <v>-3.3305578684428932E-3</v>
      </c>
      <c r="C22">
        <f>(MSCI_World_Index_Monthly!B22-MSCI_World_Index_Monthly!B21)/MSCI_World_Index_Monthly!B21</f>
        <v>5.5681369941382487E-3</v>
      </c>
    </row>
    <row r="23" spans="1:3" x14ac:dyDescent="0.2">
      <c r="A23" t="str">
        <f>MSCI_World_Index_Monthly!A23</f>
        <v>2018-10-31</v>
      </c>
      <c r="B23">
        <f>(GSCEQBA_Monthly!B23-GSCEQBA_Monthly!B22)/GSCEQBA_Monthly!B22</f>
        <v>-8.3542188805346695E-2</v>
      </c>
      <c r="C23">
        <f>(MSCI_World_Index_Monthly!B23-MSCI_World_Index_Monthly!B22)/MSCI_World_Index_Monthly!B22</f>
        <v>-7.3427888356618939E-2</v>
      </c>
    </row>
    <row r="24" spans="1:3" x14ac:dyDescent="0.2">
      <c r="A24" t="str">
        <f>MSCI_World_Index_Monthly!A24</f>
        <v>2018-11-30</v>
      </c>
      <c r="B24">
        <f>(GSCEQBA_Monthly!B24-GSCEQBA_Monthly!B23)/GSCEQBA_Monthly!B23</f>
        <v>-8.6599817684594928E-3</v>
      </c>
      <c r="C24">
        <f>(MSCI_World_Index_Monthly!B24-MSCI_World_Index_Monthly!B23)/MSCI_World_Index_Monthly!B23</f>
        <v>1.135990913211149E-2</v>
      </c>
    </row>
    <row r="25" spans="1:3" x14ac:dyDescent="0.2">
      <c r="A25" t="str">
        <f>MSCI_World_Index_Monthly!A25</f>
        <v>2018-12-31</v>
      </c>
      <c r="B25">
        <f>(GSCEQBA_Monthly!B25-GSCEQBA_Monthly!B24)/GSCEQBA_Monthly!B24</f>
        <v>-8.413793103448268E-2</v>
      </c>
      <c r="C25">
        <f>(MSCI_World_Index_Monthly!B25-MSCI_World_Index_Monthly!B24)/MSCI_World_Index_Monthly!B24</f>
        <v>-7.6037988944106058E-2</v>
      </c>
    </row>
    <row r="26" spans="1:3" x14ac:dyDescent="0.2">
      <c r="A26" t="str">
        <f>MSCI_World_Index_Monthly!A26</f>
        <v>2019-01-31</v>
      </c>
      <c r="B26">
        <f>(GSCEQBA_Monthly!B26-GSCEQBA_Monthly!B25)/GSCEQBA_Monthly!B25</f>
        <v>9.1867469879517979E-2</v>
      </c>
      <c r="C26">
        <f>(MSCI_World_Index_Monthly!B26-MSCI_World_Index_Monthly!B25)/MSCI_World_Index_Monthly!B25</f>
        <v>7.7805786968857371E-2</v>
      </c>
    </row>
    <row r="27" spans="1:3" x14ac:dyDescent="0.2">
      <c r="A27" t="str">
        <f>MSCI_World_Index_Monthly!A27</f>
        <v>2019-02-28</v>
      </c>
      <c r="B27">
        <f>(GSCEQBA_Monthly!B27-GSCEQBA_Monthly!B26)/GSCEQBA_Monthly!B26</f>
        <v>2.8045977011494225E-2</v>
      </c>
      <c r="C27">
        <f>(MSCI_World_Index_Monthly!B27-MSCI_World_Index_Monthly!B26)/MSCI_World_Index_Monthly!B26</f>
        <v>3.0069828897357768E-2</v>
      </c>
    </row>
    <row r="28" spans="1:3" x14ac:dyDescent="0.2">
      <c r="A28" t="str">
        <f>MSCI_World_Index_Monthly!A28</f>
        <v>2019-03-29</v>
      </c>
      <c r="B28">
        <f>(GSCEQBA_Monthly!B28-GSCEQBA_Monthly!B27)/GSCEQBA_Monthly!B27</f>
        <v>-1.7889087656529135E-3</v>
      </c>
      <c r="C28">
        <f>(MSCI_World_Index_Monthly!B28-MSCI_World_Index_Monthly!B27)/MSCI_World_Index_Monthly!B27</f>
        <v>1.3134471160499825E-2</v>
      </c>
    </row>
    <row r="29" spans="1:3" x14ac:dyDescent="0.2">
      <c r="A29" t="str">
        <f>MSCI_World_Index_Monthly!A29</f>
        <v>2019-04-30</v>
      </c>
      <c r="B29">
        <f>(GSCEQBA_Monthly!B29-GSCEQBA_Monthly!B28)/GSCEQBA_Monthly!B28</f>
        <v>3.2258064516128983E-2</v>
      </c>
      <c r="C29">
        <f>(MSCI_World_Index_Monthly!B29-MSCI_World_Index_Monthly!B28)/MSCI_World_Index_Monthly!B28</f>
        <v>3.5459311726003945E-2</v>
      </c>
    </row>
    <row r="30" spans="1:3" x14ac:dyDescent="0.2">
      <c r="A30" t="str">
        <f>MSCI_World_Index_Monthly!A30</f>
        <v>2019-05-31</v>
      </c>
      <c r="B30">
        <f>(GSCEQBA_Monthly!B30-GSCEQBA_Monthly!B29)/GSCEQBA_Monthly!B29</f>
        <v>-7.2482638888888812E-2</v>
      </c>
      <c r="C30">
        <f>(MSCI_World_Index_Monthly!B30-MSCI_World_Index_Monthly!B29)/MSCI_World_Index_Monthly!B29</f>
        <v>-5.7700858220421508E-2</v>
      </c>
    </row>
    <row r="31" spans="1:3" x14ac:dyDescent="0.2">
      <c r="A31" t="str">
        <f>MSCI_World_Index_Monthly!A31</f>
        <v>2019-06-28</v>
      </c>
      <c r="B31">
        <f>(GSCEQBA_Monthly!B31-GSCEQBA_Monthly!B30)/GSCEQBA_Monthly!B30</f>
        <v>5.8493214787084698E-2</v>
      </c>
      <c r="C31">
        <f>(MSCI_World_Index_Monthly!B31-MSCI_World_Index_Monthly!B30)/MSCI_World_Index_Monthly!B30</f>
        <v>6.5894898037787072E-2</v>
      </c>
    </row>
    <row r="32" spans="1:3" x14ac:dyDescent="0.2">
      <c r="A32" t="str">
        <f>MSCI_World_Index_Monthly!A32</f>
        <v>2019-07-31</v>
      </c>
      <c r="B32">
        <f>(GSCEQBA_Monthly!B32-GSCEQBA_Monthly!B31)/GSCEQBA_Monthly!B31</f>
        <v>1.7683465959327963E-2</v>
      </c>
      <c r="C32">
        <f>(MSCI_World_Index_Monthly!B32-MSCI_World_Index_Monthly!B31)/MSCI_World_Index_Monthly!B31</f>
        <v>4.9533464169944303E-3</v>
      </c>
    </row>
    <row r="33" spans="1:9" x14ac:dyDescent="0.2">
      <c r="A33" t="str">
        <f>MSCI_World_Index_Monthly!A33</f>
        <v>2019-08-30</v>
      </c>
      <c r="B33">
        <f>(GSCEQBA_Monthly!B33-GSCEQBA_Monthly!B32)/GSCEQBA_Monthly!B32</f>
        <v>-3.2580364900086881E-2</v>
      </c>
      <c r="C33">
        <f>(MSCI_World_Index_Monthly!B33-MSCI_World_Index_Monthly!B32)/MSCI_World_Index_Monthly!B32</f>
        <v>-2.0454536622533732E-2</v>
      </c>
    </row>
    <row r="34" spans="1:9" x14ac:dyDescent="0.2">
      <c r="A34" t="str">
        <f>MSCI_World_Index_Monthly!A34</f>
        <v>2019-09-30</v>
      </c>
      <c r="B34">
        <f>(GSCEQBA_Monthly!B34-GSCEQBA_Monthly!B33)/GSCEQBA_Monthly!B33</f>
        <v>1.2572968118545179E-2</v>
      </c>
      <c r="C34">
        <f>(MSCI_World_Index_Monthly!B34-MSCI_World_Index_Monthly!B33)/MSCI_World_Index_Monthly!B33</f>
        <v>2.1280967469440287E-2</v>
      </c>
    </row>
    <row r="35" spans="1:9" x14ac:dyDescent="0.2">
      <c r="A35" t="str">
        <f>MSCI_World_Index_Monthly!A35</f>
        <v>2019-10-31</v>
      </c>
      <c r="B35">
        <f>(GSCEQBA_Monthly!B35-GSCEQBA_Monthly!B34)/GSCEQBA_Monthly!B34</f>
        <v>2.3059866962305966E-2</v>
      </c>
      <c r="C35">
        <f>(MSCI_World_Index_Monthly!B35-MSCI_World_Index_Monthly!B34)/MSCI_World_Index_Monthly!B34</f>
        <v>2.5447484370786297E-2</v>
      </c>
    </row>
    <row r="36" spans="1:9" x14ac:dyDescent="0.2">
      <c r="A36" t="str">
        <f>MSCI_World_Index_Monthly!A36</f>
        <v>2019-11-29</v>
      </c>
      <c r="B36">
        <f>(GSCEQBA_Monthly!B36-GSCEQBA_Monthly!B35)/GSCEQBA_Monthly!B35</f>
        <v>3.0775899436497653E-2</v>
      </c>
      <c r="C36">
        <f>(MSCI_World_Index_Monthly!B36-MSCI_World_Index_Monthly!B35)/MSCI_World_Index_Monthly!B35</f>
        <v>2.7850161701389542E-2</v>
      </c>
    </row>
    <row r="37" spans="1:9" x14ac:dyDescent="0.2">
      <c r="A37" t="str">
        <f>MSCI_World_Index_Monthly!A37</f>
        <v>2019-12-31</v>
      </c>
      <c r="B37">
        <f>(GSCEQBA_Monthly!B37-GSCEQBA_Monthly!B36)/GSCEQBA_Monthly!B36</f>
        <v>1.8502943650126061E-2</v>
      </c>
      <c r="C37">
        <f>(MSCI_World_Index_Monthly!B37-MSCI_World_Index_Monthly!B36)/MSCI_World_Index_Monthly!B36</f>
        <v>2.9958242732737575E-2</v>
      </c>
      <c r="D37" cm="1">
        <f t="array" ref="D37">GEOMEAN(IF(C2:C37&gt;0,1+B2:B37))-1</f>
        <v>2.2743728606120284E-2</v>
      </c>
      <c r="E37" cm="1">
        <f t="array" ref="E37">GEOMEAN(IF(C2:C37&gt;0,1+C2:C37))-1</f>
        <v>2.2816538218755067E-2</v>
      </c>
      <c r="F37">
        <f>(D37/E37)*100</f>
        <v>99.68089106271637</v>
      </c>
      <c r="G37" cm="1">
        <f t="array" ref="G37">GEOMEAN(IF(C2:C37&lt;0,1+B2:B37))-1</f>
        <v>-5.0970913456838129E-2</v>
      </c>
      <c r="H37" cm="1">
        <f t="array" ref="H37">GEOMEAN(IF(C2:C37&lt;0,1+C2:C37))-1</f>
        <v>-4.1988917502076228E-2</v>
      </c>
      <c r="I37">
        <f>(G37/H37)*100</f>
        <v>121.39134916806982</v>
      </c>
    </row>
    <row r="38" spans="1:9" x14ac:dyDescent="0.2">
      <c r="A38" t="str">
        <f>MSCI_World_Index_Monthly!A38</f>
        <v>2020-01-31</v>
      </c>
      <c r="B38">
        <f>(GSCEQBA_Monthly!B38-GSCEQBA_Monthly!B37)/GSCEQBA_Monthly!B37</f>
        <v>8.2576383154416076E-4</v>
      </c>
      <c r="C38">
        <f>(MSCI_World_Index_Monthly!B38-MSCI_World_Index_Monthly!B37)/MSCI_World_Index_Monthly!B37</f>
        <v>-6.0866606253417912E-3</v>
      </c>
      <c r="D38" cm="1">
        <f t="array" ref="D38">GEOMEAN(IF(C3:C38&gt;0,1+B3:B38))-1</f>
        <v>2.2743728606120284E-2</v>
      </c>
      <c r="E38" cm="1">
        <f t="array" ref="E38">GEOMEAN(IF(C3:C38&gt;0,1+C3:C38))-1</f>
        <v>2.2816538218755067E-2</v>
      </c>
      <c r="F38">
        <f t="shared" ref="F38:F97" si="0">(D38/E38)*100</f>
        <v>99.68089106271637</v>
      </c>
      <c r="G38" cm="1">
        <f t="array" ref="G38">GEOMEAN(IF(C3:C38&lt;0,1+B3:B38))-1</f>
        <v>-4.4645854620740888E-2</v>
      </c>
      <c r="H38" cm="1">
        <f t="array" ref="H38">GEOMEAN(IF(C3:C38&lt;0,1+C3:C38))-1</f>
        <v>-3.7573037293611833E-2</v>
      </c>
      <c r="I38">
        <f t="shared" ref="I38:I97" si="1">(G38/H38)*100</f>
        <v>118.82418307537669</v>
      </c>
    </row>
    <row r="39" spans="1:9" x14ac:dyDescent="0.2">
      <c r="A39" t="str">
        <f>MSCI_World_Index_Monthly!A39</f>
        <v>2020-02-28</v>
      </c>
      <c r="B39">
        <f>(GSCEQBA_Monthly!B39-GSCEQBA_Monthly!B38)/GSCEQBA_Monthly!B38</f>
        <v>-0.10849834983498347</v>
      </c>
      <c r="C39">
        <f>(MSCI_World_Index_Monthly!B39-MSCI_World_Index_Monthly!B38)/MSCI_World_Index_Monthly!B38</f>
        <v>-8.4525247547172999E-2</v>
      </c>
      <c r="D39" cm="1">
        <f t="array" ref="D39">GEOMEAN(IF(C4:C39&gt;0,1+B4:B39))-1</f>
        <v>2.2571509614695229E-2</v>
      </c>
      <c r="E39" cm="1">
        <f t="array" ref="E39">GEOMEAN(IF(C4:C39&gt;0,1+C4:C39))-1</f>
        <v>2.2634515011287659E-2</v>
      </c>
      <c r="F39">
        <f t="shared" si="0"/>
        <v>99.721640174039479</v>
      </c>
      <c r="G39" cm="1">
        <f t="array" ref="G39">GEOMEAN(IF(C4:C39&lt;0,1+B4:B39))-1</f>
        <v>-5.19606461462222E-2</v>
      </c>
      <c r="H39" cm="1">
        <f t="array" ref="H39">GEOMEAN(IF(C4:C39&lt;0,1+C4:C39))-1</f>
        <v>-4.2906666063269094E-2</v>
      </c>
      <c r="I39">
        <f t="shared" si="1"/>
        <v>121.10156978778619</v>
      </c>
    </row>
    <row r="40" spans="1:9" x14ac:dyDescent="0.2">
      <c r="A40" t="str">
        <f>MSCI_World_Index_Monthly!A40</f>
        <v>2020-03-31</v>
      </c>
      <c r="B40">
        <f>(GSCEQBA_Monthly!B40-GSCEQBA_Monthly!B39)/GSCEQBA_Monthly!B39</f>
        <v>-0.1411383618695049</v>
      </c>
      <c r="C40">
        <f>(MSCI_World_Index_Monthly!B40-MSCI_World_Index_Monthly!B39)/MSCI_World_Index_Monthly!B39</f>
        <v>-0.13234273542373498</v>
      </c>
      <c r="D40" cm="1">
        <f t="array" ref="D40">GEOMEAN(IF(C5:C40&gt;0,1+B5:B40))-1</f>
        <v>2.3183048164347797E-2</v>
      </c>
      <c r="E40" cm="1">
        <f t="array" ref="E40">GEOMEAN(IF(C5:C40&gt;0,1+C5:C40))-1</f>
        <v>2.3098211172007943E-2</v>
      </c>
      <c r="F40">
        <f t="shared" si="0"/>
        <v>100.3672881493207</v>
      </c>
      <c r="G40" cm="1">
        <f t="array" ref="G40">GEOMEAN(IF(C5:C40&lt;0,1+B5:B40))-1</f>
        <v>-6.1280046079662864E-2</v>
      </c>
      <c r="H40" cm="1">
        <f t="array" ref="H40">GEOMEAN(IF(C5:C40&lt;0,1+C5:C40))-1</f>
        <v>-5.2250240241430324E-2</v>
      </c>
      <c r="I40">
        <f t="shared" si="1"/>
        <v>117.28184558866892</v>
      </c>
    </row>
    <row r="41" spans="1:9" x14ac:dyDescent="0.2">
      <c r="A41" t="str">
        <f>MSCI_World_Index_Monthly!A41</f>
        <v>2020-04-30</v>
      </c>
      <c r="B41">
        <f>(GSCEQBA_Monthly!B41-GSCEQBA_Monthly!B40)/GSCEQBA_Monthly!B40</f>
        <v>0.11853448275862086</v>
      </c>
      <c r="C41">
        <f>(MSCI_World_Index_Monthly!B41-MSCI_World_Index_Monthly!B40)/MSCI_World_Index_Monthly!B40</f>
        <v>0.10924425364414687</v>
      </c>
      <c r="D41" cm="1">
        <f t="array" ref="D41">GEOMEAN(IF(C6:C41&gt;0,1+B6:B41))-1</f>
        <v>2.6848695671506384E-2</v>
      </c>
      <c r="E41" cm="1">
        <f t="array" ref="E41">GEOMEAN(IF(C6:C41&gt;0,1+C6:C41))-1</f>
        <v>2.6605590205363017E-2</v>
      </c>
      <c r="F41">
        <f t="shared" si="0"/>
        <v>100.91373829434673</v>
      </c>
      <c r="G41" cm="1">
        <f t="array" ref="G41">GEOMEAN(IF(C6:C41&lt;0,1+B6:B41))-1</f>
        <v>-6.1280046079662864E-2</v>
      </c>
      <c r="H41" cm="1">
        <f t="array" ref="H41">GEOMEAN(IF(C6:C41&lt;0,1+C6:C41))-1</f>
        <v>-5.2250240241430324E-2</v>
      </c>
      <c r="I41">
        <f t="shared" si="1"/>
        <v>117.28184558866892</v>
      </c>
    </row>
    <row r="42" spans="1:9" x14ac:dyDescent="0.2">
      <c r="A42" t="str">
        <f>MSCI_World_Index_Monthly!A42</f>
        <v>2020-05-29</v>
      </c>
      <c r="B42">
        <f>(GSCEQBA_Monthly!B42-GSCEQBA_Monthly!B41)/GSCEQBA_Monthly!B41</f>
        <v>5.2986512524084671E-2</v>
      </c>
      <c r="C42">
        <f>(MSCI_World_Index_Monthly!B42-MSCI_World_Index_Monthly!B41)/MSCI_World_Index_Monthly!B41</f>
        <v>4.8308163216868871E-2</v>
      </c>
      <c r="D42" cm="1">
        <f t="array" ref="D42">GEOMEAN(IF(C7:C42&gt;0,1+B7:B42))-1</f>
        <v>2.8289490627471325E-2</v>
      </c>
      <c r="E42" cm="1">
        <f t="array" ref="E42">GEOMEAN(IF(C7:C42&gt;0,1+C7:C42))-1</f>
        <v>2.7642343394232105E-2</v>
      </c>
      <c r="F42">
        <f t="shared" si="0"/>
        <v>102.34114461284875</v>
      </c>
      <c r="G42" cm="1">
        <f t="array" ref="G42">GEOMEAN(IF(C7:C42&lt;0,1+B7:B42))-1</f>
        <v>-6.1280046079662864E-2</v>
      </c>
      <c r="H42" cm="1">
        <f t="array" ref="H42">GEOMEAN(IF(C7:C42&lt;0,1+C7:C42))-1</f>
        <v>-5.2250240241430324E-2</v>
      </c>
      <c r="I42">
        <f t="shared" si="1"/>
        <v>117.28184558866892</v>
      </c>
    </row>
    <row r="43" spans="1:9" x14ac:dyDescent="0.2">
      <c r="A43" t="str">
        <f>MSCI_World_Index_Monthly!A43</f>
        <v>2020-06-30</v>
      </c>
      <c r="B43">
        <f>(GSCEQBA_Monthly!B43-GSCEQBA_Monthly!B42)/GSCEQBA_Monthly!B42</f>
        <v>2.8819762122598309E-2</v>
      </c>
      <c r="C43">
        <f>(MSCI_World_Index_Monthly!B43-MSCI_World_Index_Monthly!B42)/MSCI_World_Index_Monthly!B42</f>
        <v>2.6451050268187531E-2</v>
      </c>
      <c r="D43" cm="1">
        <f t="array" ref="D43">GEOMEAN(IF(C8:C43&gt;0,1+B8:B43))-1</f>
        <v>2.8939736936810068E-2</v>
      </c>
      <c r="E43" cm="1">
        <f t="array" ref="E43">GEOMEAN(IF(C8:C43&gt;0,1+C8:C43))-1</f>
        <v>2.8522822988989782E-2</v>
      </c>
      <c r="F43">
        <f t="shared" si="0"/>
        <v>101.46168542987914</v>
      </c>
      <c r="G43" cm="1">
        <f t="array" ref="G43">GEOMEAN(IF(C8:C43&lt;0,1+B8:B43))-1</f>
        <v>-6.1280046079662864E-2</v>
      </c>
      <c r="H43" cm="1">
        <f t="array" ref="H43">GEOMEAN(IF(C8:C43&lt;0,1+C8:C43))-1</f>
        <v>-5.2250240241430324E-2</v>
      </c>
      <c r="I43">
        <f t="shared" si="1"/>
        <v>117.28184558866892</v>
      </c>
    </row>
    <row r="44" spans="1:9" x14ac:dyDescent="0.2">
      <c r="A44" t="str">
        <f>MSCI_World_Index_Monthly!A44</f>
        <v>2020-07-31</v>
      </c>
      <c r="B44">
        <f>(GSCEQBA_Monthly!B44-GSCEQBA_Monthly!B43)/GSCEQBA_Monthly!B43</f>
        <v>6.7585593597154436E-2</v>
      </c>
      <c r="C44">
        <f>(MSCI_World_Index_Monthly!B44-MSCI_World_Index_Monthly!B43)/MSCI_World_Index_Monthly!B43</f>
        <v>4.7841356333494386E-2</v>
      </c>
      <c r="D44" cm="1">
        <f t="array" ref="D44">GEOMEAN(IF(C9:C44&gt;0,1+B9:B44))-1</f>
        <v>3.0502124114028417E-2</v>
      </c>
      <c r="E44" cm="1">
        <f t="array" ref="E44">GEOMEAN(IF(C9:C44&gt;0,1+C9:C44))-1</f>
        <v>2.943630568562039E-2</v>
      </c>
      <c r="F44">
        <f t="shared" si="0"/>
        <v>103.62076151739612</v>
      </c>
      <c r="G44" cm="1">
        <f t="array" ref="G44">GEOMEAN(IF(C9:C44&lt;0,1+B9:B44))-1</f>
        <v>-6.1280046079662864E-2</v>
      </c>
      <c r="H44" cm="1">
        <f t="array" ref="H44">GEOMEAN(IF(C9:C44&lt;0,1+C9:C44))-1</f>
        <v>-5.2250240241430324E-2</v>
      </c>
      <c r="I44">
        <f t="shared" si="1"/>
        <v>117.28184558866892</v>
      </c>
    </row>
    <row r="45" spans="1:9" x14ac:dyDescent="0.2">
      <c r="A45" t="str">
        <f>MSCI_World_Index_Monthly!A45</f>
        <v>2020-08-31</v>
      </c>
      <c r="B45">
        <f>(GSCEQBA_Monthly!B45-GSCEQBA_Monthly!B44)/GSCEQBA_Monthly!B44</f>
        <v>5.2894627238650543E-2</v>
      </c>
      <c r="C45">
        <f>(MSCI_World_Index_Monthly!B45-MSCI_World_Index_Monthly!B44)/MSCI_World_Index_Monthly!B44</f>
        <v>6.6814368404275307E-2</v>
      </c>
      <c r="D45" cm="1">
        <f t="array" ref="D45">GEOMEAN(IF(C10:C45&gt;0,1+B10:B45))-1</f>
        <v>3.2662388441917267E-2</v>
      </c>
      <c r="E45" cm="1">
        <f t="array" ref="E45">GEOMEAN(IF(C10:C45&gt;0,1+C10:C45))-1</f>
        <v>3.194444193811341E-2</v>
      </c>
      <c r="F45">
        <f t="shared" si="0"/>
        <v>102.24748488389545</v>
      </c>
      <c r="G45" cm="1">
        <f t="array" ref="G45">GEOMEAN(IF(C10:C45&lt;0,1+B10:B45))-1</f>
        <v>-6.1280046079662864E-2</v>
      </c>
      <c r="H45" cm="1">
        <f t="array" ref="H45">GEOMEAN(IF(C10:C45&lt;0,1+C10:C45))-1</f>
        <v>-5.2250240241430324E-2</v>
      </c>
      <c r="I45">
        <f t="shared" si="1"/>
        <v>117.28184558866892</v>
      </c>
    </row>
    <row r="46" spans="1:9" x14ac:dyDescent="0.2">
      <c r="A46" t="str">
        <f>MSCI_World_Index_Monthly!A46</f>
        <v>2020-09-30</v>
      </c>
      <c r="B46">
        <f>(GSCEQBA_Monthly!B46-GSCEQBA_Monthly!B45)/GSCEQBA_Monthly!B45</f>
        <v>-1.5822784810126667E-2</v>
      </c>
      <c r="C46">
        <f>(MSCI_World_Index_Monthly!B46-MSCI_World_Index_Monthly!B45)/MSCI_World_Index_Monthly!B45</f>
        <v>-3.4499131047067602E-2</v>
      </c>
      <c r="D46" cm="1">
        <f t="array" ref="D46">GEOMEAN(IF(C11:C46&gt;0,1+B11:B46))-1</f>
        <v>3.2534287108389348E-2</v>
      </c>
      <c r="E46" cm="1">
        <f t="array" ref="E46">GEOMEAN(IF(C11:C46&gt;0,1+C11:C46))-1</f>
        <v>3.2326280905256244E-2</v>
      </c>
      <c r="F46">
        <f t="shared" si="0"/>
        <v>100.64345850282852</v>
      </c>
      <c r="G46" cm="1">
        <f t="array" ref="G46">GEOMEAN(IF(C11:C46&lt;0,1+B11:B46))-1</f>
        <v>-5.723582085202128E-2</v>
      </c>
      <c r="H46" cm="1">
        <f t="array" ref="H46">GEOMEAN(IF(C11:C46&lt;0,1+C11:C46))-1</f>
        <v>-5.0650080074141068E-2</v>
      </c>
      <c r="I46">
        <f t="shared" si="1"/>
        <v>113.00242915359672</v>
      </c>
    </row>
    <row r="47" spans="1:9" x14ac:dyDescent="0.2">
      <c r="A47" t="str">
        <f>MSCI_World_Index_Monthly!A47</f>
        <v>2020-10-30</v>
      </c>
      <c r="B47">
        <f>(GSCEQBA_Monthly!B47-GSCEQBA_Monthly!B46)/GSCEQBA_Monthly!B46</f>
        <v>-3.9790996784565852E-2</v>
      </c>
      <c r="C47">
        <f>(MSCI_World_Index_Monthly!B47-MSCI_World_Index_Monthly!B46)/MSCI_World_Index_Monthly!B46</f>
        <v>-3.0675016127529167E-2</v>
      </c>
      <c r="D47" cm="1">
        <f t="array" ref="D47">GEOMEAN(IF(C12:C47&gt;0,1+B12:B47))-1</f>
        <v>3.3035004430290726E-2</v>
      </c>
      <c r="E47" cm="1">
        <f t="array" ref="E47">GEOMEAN(IF(C12:C47&gt;0,1+C12:C47))-1</f>
        <v>3.2889597220854716E-2</v>
      </c>
      <c r="F47">
        <f t="shared" si="0"/>
        <v>100.44210699346543</v>
      </c>
      <c r="G47" cm="1">
        <f t="array" ref="G47">GEOMEAN(IF(C12:C47&lt;0,1+B12:B47))-1</f>
        <v>-5.5794270767827059E-2</v>
      </c>
      <c r="H47" cm="1">
        <f t="array" ref="H47">GEOMEAN(IF(C12:C47&lt;0,1+C12:C47))-1</f>
        <v>-4.9001331655327052E-2</v>
      </c>
      <c r="I47">
        <f t="shared" si="1"/>
        <v>113.86276430257286</v>
      </c>
    </row>
    <row r="48" spans="1:9" x14ac:dyDescent="0.2">
      <c r="A48" t="str">
        <f>MSCI_World_Index_Monthly!A48</f>
        <v>2020-11-30</v>
      </c>
      <c r="B48">
        <f>(GSCEQBA_Monthly!B48-GSCEQBA_Monthly!B47)/GSCEQBA_Monthly!B47</f>
        <v>0.11134365843449143</v>
      </c>
      <c r="C48">
        <f>(MSCI_World_Index_Monthly!B48-MSCI_World_Index_Monthly!B47)/MSCI_World_Index_Monthly!B47</f>
        <v>0.12786151663679807</v>
      </c>
      <c r="D48" cm="1">
        <f t="array" ref="D48">GEOMEAN(IF(C13:C48&gt;0,1+B13:B48))-1</f>
        <v>3.6959546060272519E-2</v>
      </c>
      <c r="E48" cm="1">
        <f t="array" ref="E48">GEOMEAN(IF(C13:C48&gt;0,1+C13:C48))-1</f>
        <v>3.7154193831950399E-2</v>
      </c>
      <c r="F48">
        <f t="shared" si="0"/>
        <v>99.476108208515356</v>
      </c>
      <c r="G48" cm="1">
        <f t="array" ref="G48">GEOMEAN(IF(C13:C48&lt;0,1+B13:B48))-1</f>
        <v>-5.5794270767827059E-2</v>
      </c>
      <c r="H48" cm="1">
        <f t="array" ref="H48">GEOMEAN(IF(C13:C48&lt;0,1+C13:C48))-1</f>
        <v>-4.9001331655327052E-2</v>
      </c>
      <c r="I48">
        <f t="shared" si="1"/>
        <v>113.86276430257286</v>
      </c>
    </row>
    <row r="49" spans="1:9" x14ac:dyDescent="0.2">
      <c r="A49" t="str">
        <f>MSCI_World_Index_Monthly!A49</f>
        <v>2020-12-31</v>
      </c>
      <c r="B49">
        <f>(GSCEQBA_Monthly!B49-GSCEQBA_Monthly!B48)/GSCEQBA_Monthly!B48</f>
        <v>3.1638418079096037E-2</v>
      </c>
      <c r="C49">
        <f>(MSCI_World_Index_Monthly!B49-MSCI_World_Index_Monthly!B48)/MSCI_World_Index_Monthly!B48</f>
        <v>4.239671305594879E-2</v>
      </c>
      <c r="D49" cm="1">
        <f t="array" ref="D49">GEOMEAN(IF(C14:C49&gt;0,1+B14:B49))-1</f>
        <v>3.7435698887069879E-2</v>
      </c>
      <c r="E49" cm="1">
        <f t="array" ref="E49">GEOMEAN(IF(C14:C49&gt;0,1+C14:C49))-1</f>
        <v>3.8368795469255312E-2</v>
      </c>
      <c r="F49">
        <f t="shared" si="0"/>
        <v>97.56808476582718</v>
      </c>
      <c r="G49" cm="1">
        <f t="array" ref="G49">GEOMEAN(IF(C14:C49&lt;0,1+B14:B49))-1</f>
        <v>-5.5794270767827059E-2</v>
      </c>
      <c r="H49" cm="1">
        <f t="array" ref="H49">GEOMEAN(IF(C14:C49&lt;0,1+C14:C49))-1</f>
        <v>-4.9001331655327052E-2</v>
      </c>
      <c r="I49">
        <f t="shared" si="1"/>
        <v>113.86276430257286</v>
      </c>
    </row>
    <row r="50" spans="1:9" x14ac:dyDescent="0.2">
      <c r="A50" t="str">
        <f>MSCI_World_Index_Monthly!A50</f>
        <v>2021-01-29</v>
      </c>
      <c r="B50">
        <f>(GSCEQBA_Monthly!B50-GSCEQBA_Monthly!B49)/GSCEQBA_Monthly!B49</f>
        <v>1.4238773274917873E-2</v>
      </c>
      <c r="C50">
        <f>(MSCI_World_Index_Monthly!B50-MSCI_World_Index_Monthly!B49)/MSCI_World_Index_Monthly!B49</f>
        <v>-9.9386741889841528E-3</v>
      </c>
      <c r="D50" cm="1">
        <f t="array" ref="D50">GEOMEAN(IF(C15:C50&gt;0,1+B15:B50))-1</f>
        <v>3.6493486947474896E-2</v>
      </c>
      <c r="E50" cm="1">
        <f t="array" ref="E50">GEOMEAN(IF(C15:C50&gt;0,1+C15:C50))-1</f>
        <v>3.7745850046253526E-2</v>
      </c>
      <c r="F50">
        <f t="shared" si="0"/>
        <v>96.682117114215231</v>
      </c>
      <c r="G50" cm="1">
        <f t="array" ref="G50">GEOMEAN(IF(C15:C50&lt;0,1+B15:B50))-1</f>
        <v>-5.0583212675389677E-2</v>
      </c>
      <c r="H50" cm="1">
        <f t="array" ref="H50">GEOMEAN(IF(C15:C50&lt;0,1+C15:C50))-1</f>
        <v>-4.6052020571702879E-2</v>
      </c>
      <c r="I50">
        <f t="shared" si="1"/>
        <v>109.83929054020929</v>
      </c>
    </row>
    <row r="51" spans="1:9" x14ac:dyDescent="0.2">
      <c r="A51" t="str">
        <f>MSCI_World_Index_Monthly!A51</f>
        <v>2021-02-26</v>
      </c>
      <c r="B51">
        <f>(GSCEQBA_Monthly!B51-GSCEQBA_Monthly!B50)/GSCEQBA_Monthly!B50</f>
        <v>1.9438444924406016E-2</v>
      </c>
      <c r="C51">
        <f>(MSCI_World_Index_Monthly!B51-MSCI_World_Index_Monthly!B50)/MSCI_World_Index_Monthly!B50</f>
        <v>2.5624368421948276E-2</v>
      </c>
      <c r="D51" cm="1">
        <f t="array" ref="D51">GEOMEAN(IF(C16:C51&gt;0,1+B16:B51))-1</f>
        <v>3.5777196353251828E-2</v>
      </c>
      <c r="E51" cm="1">
        <f t="array" ref="E51">GEOMEAN(IF(C16:C51&gt;0,1+C16:C51))-1</f>
        <v>3.7237939765620176E-2</v>
      </c>
      <c r="F51">
        <f t="shared" si="0"/>
        <v>96.077271133788727</v>
      </c>
      <c r="G51" cm="1">
        <f t="array" ref="G51">GEOMEAN(IF(C16:C51&lt;0,1+B16:B51))-1</f>
        <v>-5.1552056774273103E-2</v>
      </c>
      <c r="H51" cm="1">
        <f t="array" ref="H51">GEOMEAN(IF(C16:C51&lt;0,1+C16:C51))-1</f>
        <v>-4.6436390203718814E-2</v>
      </c>
      <c r="I51">
        <f t="shared" si="1"/>
        <v>111.0165035398135</v>
      </c>
    </row>
    <row r="52" spans="1:9" x14ac:dyDescent="0.2">
      <c r="A52" t="str">
        <f>MSCI_World_Index_Monthly!A52</f>
        <v>2021-03-31</v>
      </c>
      <c r="B52">
        <f>(GSCEQBA_Monthly!B52-GSCEQBA_Monthly!B51)/GSCEQBA_Monthly!B51</f>
        <v>2.5423728813559282E-2</v>
      </c>
      <c r="C52">
        <f>(MSCI_World_Index_Monthly!B52-MSCI_World_Index_Monthly!B51)/MSCI_World_Index_Monthly!B51</f>
        <v>3.327210964580795E-2</v>
      </c>
      <c r="D52" cm="1">
        <f t="array" ref="D52">GEOMEAN(IF(C17:C52&gt;0,1+B17:B52))-1</f>
        <v>3.5361057538651819E-2</v>
      </c>
      <c r="E52" cm="1">
        <f t="array" ref="E52">GEOMEAN(IF(C17:C52&gt;0,1+C17:C52))-1</f>
        <v>3.7079014698776724E-2</v>
      </c>
      <c r="F52">
        <f t="shared" si="0"/>
        <v>95.36676695947483</v>
      </c>
      <c r="G52" cm="1">
        <f t="array" ref="G52">GEOMEAN(IF(C17:C52&lt;0,1+B17:B52))-1</f>
        <v>-5.3370427615547444E-2</v>
      </c>
      <c r="H52" cm="1">
        <f t="array" ref="H52">GEOMEAN(IF(C17:C52&lt;0,1+C17:C52))-1</f>
        <v>-4.8645371366675461E-2</v>
      </c>
      <c r="I52">
        <f t="shared" si="1"/>
        <v>109.713269970242</v>
      </c>
    </row>
    <row r="53" spans="1:9" x14ac:dyDescent="0.2">
      <c r="A53" t="str">
        <f>MSCI_World_Index_Monthly!A53</f>
        <v>2021-04-30</v>
      </c>
      <c r="B53">
        <f>(GSCEQBA_Monthly!B53-GSCEQBA_Monthly!B52)/GSCEQBA_Monthly!B52</f>
        <v>5.5440771349862243E-2</v>
      </c>
      <c r="C53">
        <f>(MSCI_World_Index_Monthly!B53-MSCI_World_Index_Monthly!B52)/MSCI_World_Index_Monthly!B52</f>
        <v>4.6540114202826138E-2</v>
      </c>
      <c r="D53" cm="1">
        <f t="array" ref="D53">GEOMEAN(IF(C18:C53&gt;0,1+B18:B53))-1</f>
        <v>3.6314439924716835E-2</v>
      </c>
      <c r="E53" cm="1">
        <f t="array" ref="E53">GEOMEAN(IF(C18:C53&gt;0,1+C18:C53))-1</f>
        <v>3.8493057842126532E-2</v>
      </c>
      <c r="F53">
        <f t="shared" si="0"/>
        <v>94.34023161697111</v>
      </c>
      <c r="G53" cm="1">
        <f t="array" ref="G53">GEOMEAN(IF(C18:C53&lt;0,1+B18:B53))-1</f>
        <v>-5.3370427615547444E-2</v>
      </c>
      <c r="H53" cm="1">
        <f t="array" ref="H53">GEOMEAN(IF(C18:C53&lt;0,1+C18:C53))-1</f>
        <v>-4.8645371366675461E-2</v>
      </c>
      <c r="I53">
        <f t="shared" si="1"/>
        <v>109.713269970242</v>
      </c>
    </row>
    <row r="54" spans="1:9" x14ac:dyDescent="0.2">
      <c r="A54" t="str">
        <f>MSCI_World_Index_Monthly!A54</f>
        <v>2021-05-31</v>
      </c>
      <c r="B54">
        <f>(GSCEQBA_Monthly!B54-GSCEQBA_Monthly!B53)/GSCEQBA_Monthly!B53</f>
        <v>7.8303425774878307E-3</v>
      </c>
      <c r="C54">
        <f>(MSCI_World_Index_Monthly!B54-MSCI_World_Index_Monthly!B53)/MSCI_World_Index_Monthly!B53</f>
        <v>1.4405441393441911E-2</v>
      </c>
      <c r="D54" cm="1">
        <f t="array" ref="D54">GEOMEAN(IF(C19:C54&gt;0,1+B19:B54))-1</f>
        <v>3.6117712817637981E-2</v>
      </c>
      <c r="E54" cm="1">
        <f t="array" ref="E54">GEOMEAN(IF(C19:C54&gt;0,1+C19:C54))-1</f>
        <v>3.8827747062017748E-2</v>
      </c>
      <c r="F54">
        <f t="shared" si="0"/>
        <v>93.020367006998484</v>
      </c>
      <c r="G54" cm="1">
        <f t="array" ref="G54">GEOMEAN(IF(C19:C54&lt;0,1+B19:B54))-1</f>
        <v>-5.3370427615547444E-2</v>
      </c>
      <c r="H54" cm="1">
        <f t="array" ref="H54">GEOMEAN(IF(C19:C54&lt;0,1+C19:C54))-1</f>
        <v>-4.8645371366675461E-2</v>
      </c>
      <c r="I54">
        <f t="shared" si="1"/>
        <v>109.713269970242</v>
      </c>
    </row>
    <row r="55" spans="1:9" x14ac:dyDescent="0.2">
      <c r="A55" t="str">
        <f>MSCI_World_Index_Monthly!A55</f>
        <v>2021-06-30</v>
      </c>
      <c r="B55">
        <f>(GSCEQBA_Monthly!B55-GSCEQBA_Monthly!B54)/GSCEQBA_Monthly!B54</f>
        <v>1.165425704111361E-2</v>
      </c>
      <c r="C55">
        <f>(MSCI_World_Index_Monthly!B55-MSCI_World_Index_Monthly!B54)/MSCI_World_Index_Monthly!B54</f>
        <v>1.4904834083302223E-2</v>
      </c>
      <c r="D55" cm="1">
        <f t="array" ref="D55">GEOMEAN(IF(C20:C55&gt;0,1+B20:B55))-1</f>
        <v>3.516596239584624E-2</v>
      </c>
      <c r="E55" cm="1">
        <f t="array" ref="E55">GEOMEAN(IF(C20:C55&gt;0,1+C20:C55))-1</f>
        <v>3.7897291934192667E-2</v>
      </c>
      <c r="F55">
        <f t="shared" si="0"/>
        <v>92.792810781600735</v>
      </c>
      <c r="G55" cm="1">
        <f t="array" ref="G55">GEOMEAN(IF(C20:C55&lt;0,1+B20:B55))-1</f>
        <v>-5.7489359797214368E-2</v>
      </c>
      <c r="H55" cm="1">
        <f t="array" ref="H55">GEOMEAN(IF(C20:C55&lt;0,1+C20:C55))-1</f>
        <v>-5.3332646728419641E-2</v>
      </c>
      <c r="I55">
        <f t="shared" si="1"/>
        <v>107.79393734190903</v>
      </c>
    </row>
    <row r="56" spans="1:9" x14ac:dyDescent="0.2">
      <c r="A56" t="str">
        <f>MSCI_World_Index_Monthly!A56</f>
        <v>2021-07-30</v>
      </c>
      <c r="B56">
        <f>(GSCEQBA_Monthly!B56-GSCEQBA_Monthly!B55)/GSCEQBA_Monthly!B55</f>
        <v>2.5599999999999908E-2</v>
      </c>
      <c r="C56">
        <f>(MSCI_World_Index_Monthly!B56-MSCI_World_Index_Monthly!B55)/MSCI_World_Index_Monthly!B55</f>
        <v>1.7912832107114449E-2</v>
      </c>
      <c r="D56" cm="1">
        <f t="array" ref="D56">GEOMEAN(IF(C21:C56&gt;0,1+B21:B56))-1</f>
        <v>3.5197706890422342E-2</v>
      </c>
      <c r="E56" cm="1">
        <f t="array" ref="E56">GEOMEAN(IF(C21:C56&gt;0,1+C21:C56))-1</f>
        <v>3.7378416570779338E-2</v>
      </c>
      <c r="F56">
        <f t="shared" si="0"/>
        <v>94.165858587862786</v>
      </c>
      <c r="G56" cm="1">
        <f t="array" ref="G56">GEOMEAN(IF(C21:C56&lt;0,1+B21:B56))-1</f>
        <v>-5.7489359797214368E-2</v>
      </c>
      <c r="H56" cm="1">
        <f t="array" ref="H56">GEOMEAN(IF(C21:C56&lt;0,1+C21:C56))-1</f>
        <v>-5.3332646728419641E-2</v>
      </c>
      <c r="I56">
        <f t="shared" si="1"/>
        <v>107.79393734190903</v>
      </c>
    </row>
    <row r="57" spans="1:9" x14ac:dyDescent="0.2">
      <c r="A57" t="str">
        <f>MSCI_World_Index_Monthly!A57</f>
        <v>2021-08-31</v>
      </c>
      <c r="B57">
        <f>(GSCEQBA_Monthly!B57-GSCEQBA_Monthly!B56)/GSCEQBA_Monthly!B56</f>
        <v>2.745709828393144E-2</v>
      </c>
      <c r="C57">
        <f>(MSCI_World_Index_Monthly!B57-MSCI_World_Index_Monthly!B56)/MSCI_World_Index_Monthly!B56</f>
        <v>2.4888358322954853E-2</v>
      </c>
      <c r="D57" cm="1">
        <f t="array" ref="D57">GEOMEAN(IF(C22:C57&gt;0,1+B22:B57))-1</f>
        <v>3.552324067965662E-2</v>
      </c>
      <c r="E57" cm="1">
        <f t="array" ref="E57">GEOMEAN(IF(C22:C57&gt;0,1+C22:C57))-1</f>
        <v>3.7868763957006779E-2</v>
      </c>
      <c r="F57">
        <f t="shared" si="0"/>
        <v>93.80617946756044</v>
      </c>
      <c r="G57" cm="1">
        <f t="array" ref="G57">GEOMEAN(IF(C22:C57&lt;0,1+B22:B57))-1</f>
        <v>-5.7489359797214368E-2</v>
      </c>
      <c r="H57" cm="1">
        <f t="array" ref="H57">GEOMEAN(IF(C22:C57&lt;0,1+C22:C57))-1</f>
        <v>-5.3332646728419641E-2</v>
      </c>
      <c r="I57">
        <f t="shared" si="1"/>
        <v>107.79393734190903</v>
      </c>
    </row>
    <row r="58" spans="1:9" x14ac:dyDescent="0.2">
      <c r="A58" t="str">
        <f>MSCI_World_Index_Monthly!A58</f>
        <v>2021-09-30</v>
      </c>
      <c r="B58">
        <f>(GSCEQBA_Monthly!B58-GSCEQBA_Monthly!B57)/GSCEQBA_Monthly!B57</f>
        <v>-3.9781354388095921E-2</v>
      </c>
      <c r="C58">
        <f>(MSCI_World_Index_Monthly!B58-MSCI_World_Index_Monthly!B57)/MSCI_World_Index_Monthly!B57</f>
        <v>-4.1520534498310897E-2</v>
      </c>
      <c r="D58" cm="1">
        <f t="array" ref="D58">GEOMEAN(IF(C23:C58&gt;0,1+B23:B58))-1</f>
        <v>3.7108511919445863E-2</v>
      </c>
      <c r="E58" cm="1">
        <f t="array" ref="E58">GEOMEAN(IF(C23:C58&gt;0,1+C23:C58))-1</f>
        <v>3.91821517384634E-2</v>
      </c>
      <c r="F58">
        <f t="shared" si="0"/>
        <v>94.707692847348312</v>
      </c>
      <c r="G58" cm="1">
        <f t="array" ref="G58">GEOMEAN(IF(C23:C58&lt;0,1+B23:B58))-1</f>
        <v>-5.5893126906839674E-2</v>
      </c>
      <c r="H58" cm="1">
        <f t="array" ref="H58">GEOMEAN(IF(C23:C58&lt;0,1+C23:C58))-1</f>
        <v>-5.2264860770968036E-2</v>
      </c>
      <c r="I58">
        <f t="shared" si="1"/>
        <v>106.94207557879321</v>
      </c>
    </row>
    <row r="59" spans="1:9" x14ac:dyDescent="0.2">
      <c r="A59" t="str">
        <f>MSCI_World_Index_Monthly!A59</f>
        <v>2021-10-29</v>
      </c>
      <c r="B59">
        <f>(GSCEQBA_Monthly!B59-GSCEQBA_Monthly!B58)/GSCEQBA_Monthly!B58</f>
        <v>2.7514231499051266E-2</v>
      </c>
      <c r="C59">
        <f>(MSCI_World_Index_Monthly!B59-MSCI_World_Index_Monthly!B58)/MSCI_World_Index_Monthly!B58</f>
        <v>5.664050901099317E-2</v>
      </c>
      <c r="D59" cm="1">
        <f t="array" ref="D59">GEOMEAN(IF(C24:C59&gt;0,1+B24:B59))-1</f>
        <v>3.6737849929161071E-2</v>
      </c>
      <c r="E59" cm="1">
        <f t="array" ref="E59">GEOMEAN(IF(C24:C59&gt;0,1+C24:C59))-1</f>
        <v>3.9848262377743637E-2</v>
      </c>
      <c r="F59">
        <f t="shared" si="0"/>
        <v>92.194358642047547</v>
      </c>
      <c r="G59" cm="1">
        <f t="array" ref="G59">GEOMEAN(IF(C24:C59&lt;0,1+B24:B59))-1</f>
        <v>-5.3082751418927154E-2</v>
      </c>
      <c r="H59" cm="1">
        <f t="array" ref="H59">GEOMEAN(IF(C24:C59&lt;0,1+C24:C59))-1</f>
        <v>-5.0122153077675868E-2</v>
      </c>
      <c r="I59">
        <f t="shared" si="1"/>
        <v>105.90676608936403</v>
      </c>
    </row>
    <row r="60" spans="1:9" x14ac:dyDescent="0.2">
      <c r="A60" t="str">
        <f>MSCI_World_Index_Monthly!A60</f>
        <v>2021-11-30</v>
      </c>
      <c r="B60">
        <f>(GSCEQBA_Monthly!B60-GSCEQBA_Monthly!B59)/GSCEQBA_Monthly!B59</f>
        <v>-7.3868882733149266E-3</v>
      </c>
      <c r="C60">
        <f>(MSCI_World_Index_Monthly!B60-MSCI_World_Index_Monthly!B59)/MSCI_World_Index_Monthly!B59</f>
        <v>-2.1912961770600065E-2</v>
      </c>
      <c r="D60" cm="1">
        <f t="array" ref="D60">GEOMEAN(IF(C25:C60&gt;0,1+B25:B60))-1</f>
        <v>3.8596385869688943E-2</v>
      </c>
      <c r="E60" cm="1">
        <f t="array" ref="E60">GEOMEAN(IF(C25:C60&gt;0,1+C25:C60))-1</f>
        <v>4.1004339478010854E-2</v>
      </c>
      <c r="F60">
        <f t="shared" si="0"/>
        <v>94.127563962801517</v>
      </c>
      <c r="G60" cm="1">
        <f t="array" ref="G60">GEOMEAN(IF(C25:C60&lt;0,1+B25:B60))-1</f>
        <v>-4.9017001030472351E-2</v>
      </c>
      <c r="H60" cm="1">
        <f t="array" ref="H60">GEOMEAN(IF(C25:C60&lt;0,1+C25:C60))-1</f>
        <v>-4.7591658421638372E-2</v>
      </c>
      <c r="I60">
        <f t="shared" si="1"/>
        <v>102.99494208881346</v>
      </c>
    </row>
    <row r="61" spans="1:9" x14ac:dyDescent="0.2">
      <c r="A61" t="str">
        <f>MSCI_World_Index_Monthly!A61</f>
        <v>2021-12-31</v>
      </c>
      <c r="B61">
        <f>(GSCEQBA_Monthly!B61-GSCEQBA_Monthly!B60)/GSCEQBA_Monthly!B60</f>
        <v>3.7209302325581485E-2</v>
      </c>
      <c r="C61">
        <f>(MSCI_World_Index_Monthly!B61-MSCI_World_Index_Monthly!B60)/MSCI_World_Index_Monthly!B60</f>
        <v>4.2740187576979567E-2</v>
      </c>
      <c r="D61" cm="1">
        <f t="array" ref="D61">GEOMEAN(IF(C26:C61&gt;0,1+B26:B61))-1</f>
        <v>3.8543002217841016E-2</v>
      </c>
      <c r="E61" cm="1">
        <f t="array" ref="E61">GEOMEAN(IF(C26:C61&gt;0,1+C26:C61))-1</f>
        <v>4.1071049402482851E-2</v>
      </c>
      <c r="F61">
        <f t="shared" si="0"/>
        <v>93.844697855494758</v>
      </c>
      <c r="G61" cm="1">
        <f t="array" ref="G61">GEOMEAN(IF(C26:C61&lt;0,1+B26:B61))-1</f>
        <v>-4.5431671204904212E-2</v>
      </c>
      <c r="H61" cm="1">
        <f t="array" ref="H61">GEOMEAN(IF(C26:C61&lt;0,1+C26:C61))-1</f>
        <v>-4.4699295595831301E-2</v>
      </c>
      <c r="I61">
        <f t="shared" si="1"/>
        <v>101.63845000085688</v>
      </c>
    </row>
    <row r="62" spans="1:9" x14ac:dyDescent="0.2">
      <c r="A62" t="str">
        <f>MSCI_World_Index_Monthly!A62</f>
        <v>2022-01-31</v>
      </c>
      <c r="B62">
        <f>(GSCEQBA_Monthly!B62-GSCEQBA_Monthly!B61)/GSCEQBA_Monthly!B61</f>
        <v>-7.6532137518684665E-2</v>
      </c>
      <c r="C62">
        <f>(MSCI_World_Index_Monthly!B62-MSCI_World_Index_Monthly!B61)/MSCI_World_Index_Monthly!B61</f>
        <v>-5.2910906820233042E-2</v>
      </c>
      <c r="D62" cm="1">
        <f t="array" ref="D62">GEOMEAN(IF(C27:C62&gt;0,1+B27:B62))-1</f>
        <v>3.6465059382925435E-2</v>
      </c>
      <c r="E62" cm="1">
        <f t="array" ref="E62">GEOMEAN(IF(C27:C62&gt;0,1+C27:C62))-1</f>
        <v>3.9627990912753042E-2</v>
      </c>
      <c r="F62">
        <f t="shared" si="0"/>
        <v>92.018440862189365</v>
      </c>
      <c r="G62" cm="1">
        <f t="array" ref="G62">GEOMEAN(IF(C27:C62&lt;0,1+B27:B62))-1</f>
        <v>-4.8301746361443687E-2</v>
      </c>
      <c r="H62" cm="1">
        <f t="array" ref="H62">GEOMEAN(IF(C27:C62&lt;0,1+C27:C62))-1</f>
        <v>-4.5448738526518095E-2</v>
      </c>
      <c r="I62">
        <f t="shared" si="1"/>
        <v>106.27741919230813</v>
      </c>
    </row>
    <row r="63" spans="1:9" x14ac:dyDescent="0.2">
      <c r="A63" t="str">
        <f>MSCI_World_Index_Monthly!A63</f>
        <v>2022-02-28</v>
      </c>
      <c r="B63">
        <f>(GSCEQBA_Monthly!B63-GSCEQBA_Monthly!B62)/GSCEQBA_Monthly!B62</f>
        <v>-1.7157656199417323E-2</v>
      </c>
      <c r="C63">
        <f>(MSCI_World_Index_Monthly!B63-MSCI_World_Index_Monthly!B62)/MSCI_World_Index_Monthly!B62</f>
        <v>-2.5291216539987844E-2</v>
      </c>
      <c r="D63" cm="1">
        <f t="array" ref="D63">GEOMEAN(IF(C28:C63&gt;0,1+B28:B63))-1</f>
        <v>3.6817346834262077E-2</v>
      </c>
      <c r="E63" cm="1">
        <f t="array" ref="E63">GEOMEAN(IF(C28:C63&gt;0,1+C28:C63))-1</f>
        <v>4.0028166713162117E-2</v>
      </c>
      <c r="F63">
        <f t="shared" si="0"/>
        <v>91.978598715478384</v>
      </c>
      <c r="G63" cm="1">
        <f t="array" ref="G63">GEOMEAN(IF(C28:C63&lt;0,1+B28:B63))-1</f>
        <v>-4.5744537697459675E-2</v>
      </c>
      <c r="H63" cm="1">
        <f t="array" ref="H63">GEOMEAN(IF(C28:C63&lt;0,1+C28:C63))-1</f>
        <v>-4.3784987303348899E-2</v>
      </c>
      <c r="I63">
        <f t="shared" si="1"/>
        <v>104.47539331354538</v>
      </c>
    </row>
    <row r="64" spans="1:9" x14ac:dyDescent="0.2">
      <c r="A64" t="str">
        <f>MSCI_World_Index_Monthly!A64</f>
        <v>2022-03-31</v>
      </c>
      <c r="B64">
        <f>(GSCEQBA_Monthly!B64-GSCEQBA_Monthly!B63)/GSCEQBA_Monthly!B63</f>
        <v>4.1172595520421608E-2</v>
      </c>
      <c r="C64">
        <f>(MSCI_World_Index_Monthly!B64-MSCI_World_Index_Monthly!B63)/MSCI_World_Index_Monthly!B63</f>
        <v>2.744336090713841E-2</v>
      </c>
      <c r="D64" cm="1">
        <f t="array" ref="D64">GEOMEAN(IF(C29:C64&gt;0,1+B29:B64))-1</f>
        <v>3.8639341559074003E-2</v>
      </c>
      <c r="E64" cm="1">
        <f t="array" ref="E64">GEOMEAN(IF(C29:C64&gt;0,1+C29:C64))-1</f>
        <v>4.0636092610317975E-2</v>
      </c>
      <c r="F64">
        <f t="shared" si="0"/>
        <v>95.086262179801778</v>
      </c>
      <c r="G64" cm="1">
        <f t="array" ref="G64">GEOMEAN(IF(C29:C64&lt;0,1+B29:B64))-1</f>
        <v>-4.5744537697459675E-2</v>
      </c>
      <c r="H64" cm="1">
        <f t="array" ref="H64">GEOMEAN(IF(C29:C64&lt;0,1+C29:C64))-1</f>
        <v>-4.3784987303348899E-2</v>
      </c>
      <c r="I64">
        <f t="shared" si="1"/>
        <v>104.47539331354538</v>
      </c>
    </row>
    <row r="65" spans="1:9" x14ac:dyDescent="0.2">
      <c r="A65" t="str">
        <f>MSCI_World_Index_Monthly!A65</f>
        <v>2022-04-29</v>
      </c>
      <c r="B65">
        <f>(GSCEQBA_Monthly!B65-GSCEQBA_Monthly!B64)/GSCEQBA_Monthly!B64</f>
        <v>-6.8332806074027211E-2</v>
      </c>
      <c r="C65">
        <f>(MSCI_World_Index_Monthly!B65-MSCI_World_Index_Monthly!B64)/MSCI_World_Index_Monthly!B64</f>
        <v>-8.3073341969067557E-2</v>
      </c>
      <c r="D65" cm="1">
        <f t="array" ref="D65">GEOMEAN(IF(C30:C65&gt;0,1+B30:B65))-1</f>
        <v>3.8917681483187749E-2</v>
      </c>
      <c r="E65" cm="1">
        <f t="array" ref="E65">GEOMEAN(IF(C30:C65&gt;0,1+C30:C65))-1</f>
        <v>4.0861756206518773E-2</v>
      </c>
      <c r="F65">
        <f t="shared" si="0"/>
        <v>95.242312362920714</v>
      </c>
      <c r="G65" cm="1">
        <f t="array" ref="G65">GEOMEAN(IF(C30:C65&lt;0,1+B30:B65))-1</f>
        <v>-4.750137296504009E-2</v>
      </c>
      <c r="H65" cm="1">
        <f t="array" ref="H65">GEOMEAN(IF(C30:C65&lt;0,1+C30:C65))-1</f>
        <v>-4.6866035547658003E-2</v>
      </c>
      <c r="I65">
        <f t="shared" si="1"/>
        <v>101.35564574634441</v>
      </c>
    </row>
    <row r="66" spans="1:9" x14ac:dyDescent="0.2">
      <c r="A66" t="str">
        <f>MSCI_World_Index_Monthly!A66</f>
        <v>2022-05-31</v>
      </c>
      <c r="B66">
        <f>(GSCEQBA_Monthly!B66-GSCEQBA_Monthly!B65)/GSCEQBA_Monthly!B65</f>
        <v>-2.9541595925297148E-2</v>
      </c>
      <c r="C66">
        <f>(MSCI_World_Index_Monthly!B66-MSCI_World_Index_Monthly!B65)/MSCI_World_Index_Monthly!B65</f>
        <v>7.5735528440732931E-4</v>
      </c>
      <c r="D66" cm="1">
        <f t="array" ref="D66">GEOMEAN(IF(C31:C66&gt;0,1+B31:B66))-1</f>
        <v>3.5971072649820135E-2</v>
      </c>
      <c r="E66" cm="1">
        <f t="array" ref="E66">GEOMEAN(IF(C31:C66&gt;0,1+C31:C66))-1</f>
        <v>3.9159089952903736E-2</v>
      </c>
      <c r="F66">
        <f t="shared" si="0"/>
        <v>91.858806456131134</v>
      </c>
      <c r="G66" cm="1">
        <f t="array" ref="G66">GEOMEAN(IF(C31:C66&lt;0,1+B31:B66))-1</f>
        <v>-4.538947666864801E-2</v>
      </c>
      <c r="H66" cm="1">
        <f t="array" ref="H66">GEOMEAN(IF(C31:C66&lt;0,1+C31:C66))-1</f>
        <v>-4.5957529820628951E-2</v>
      </c>
      <c r="I66">
        <f t="shared" si="1"/>
        <v>98.763960651936614</v>
      </c>
    </row>
    <row r="67" spans="1:9" x14ac:dyDescent="0.2">
      <c r="A67" t="str">
        <f>MSCI_World_Index_Monthly!A67</f>
        <v>2022-06-30</v>
      </c>
      <c r="B67">
        <f>(GSCEQBA_Monthly!B67-GSCEQBA_Monthly!B66)/GSCEQBA_Monthly!B66</f>
        <v>-0.10811756473058083</v>
      </c>
      <c r="C67">
        <f>(MSCI_World_Index_Monthly!B67-MSCI_World_Index_Monthly!B66)/MSCI_World_Index_Monthly!B66</f>
        <v>-8.6621997298973602E-2</v>
      </c>
      <c r="D67" cm="1">
        <f t="array" ref="D67">GEOMEAN(IF(C32:C67&gt;0,1+B32:B67))-1</f>
        <v>3.5002794288631289E-2</v>
      </c>
      <c r="E67" cm="1">
        <f t="array" ref="E67">GEOMEAN(IF(C32:C67&gt;0,1+C32:C67))-1</f>
        <v>3.8011999093243265E-2</v>
      </c>
      <c r="F67">
        <f t="shared" si="0"/>
        <v>92.083539733781407</v>
      </c>
      <c r="G67" cm="1">
        <f t="array" ref="G67">GEOMEAN(IF(C32:C67&lt;0,1+B32:B67))-1</f>
        <v>-5.0367530290054141E-2</v>
      </c>
      <c r="H67" cm="1">
        <f t="array" ref="H67">GEOMEAN(IF(C32:C67&lt;0,1+C32:C67))-1</f>
        <v>-4.9148836964291842E-2</v>
      </c>
      <c r="I67">
        <f t="shared" si="1"/>
        <v>102.47959748599487</v>
      </c>
    </row>
    <row r="68" spans="1:9" x14ac:dyDescent="0.2">
      <c r="A68" t="str">
        <f>MSCI_World_Index_Monthly!A68</f>
        <v>2022-07-29</v>
      </c>
      <c r="B68">
        <f>(GSCEQBA_Monthly!B68-GSCEQBA_Monthly!B67)/GSCEQBA_Monthly!B67</f>
        <v>7.375441349548853E-2</v>
      </c>
      <c r="C68">
        <f>(MSCI_World_Index_Monthly!B68-MSCI_World_Index_Monthly!B67)/MSCI_World_Index_Monthly!B67</f>
        <v>7.9396309982541852E-2</v>
      </c>
      <c r="D68" cm="1">
        <f t="array" ref="D68">GEOMEAN(IF(C33:C68&gt;0,1+B33:B68))-1</f>
        <v>3.7419073643403467E-2</v>
      </c>
      <c r="E68" cm="1">
        <f t="array" ref="E68">GEOMEAN(IF(C33:C68&gt;0,1+C33:C68))-1</f>
        <v>4.1242108423848123E-2</v>
      </c>
      <c r="F68">
        <f t="shared" si="0"/>
        <v>90.730263493914876</v>
      </c>
      <c r="G68" cm="1">
        <f t="array" ref="G68">GEOMEAN(IF(C33:C68&lt;0,1+B33:B68))-1</f>
        <v>-5.0367530290054141E-2</v>
      </c>
      <c r="H68" cm="1">
        <f t="array" ref="H68">GEOMEAN(IF(C33:C68&lt;0,1+C33:C68))-1</f>
        <v>-4.9148836964291842E-2</v>
      </c>
      <c r="I68">
        <f t="shared" si="1"/>
        <v>102.47959748599487</v>
      </c>
    </row>
    <row r="69" spans="1:9" x14ac:dyDescent="0.2">
      <c r="A69" t="str">
        <f>MSCI_World_Index_Monthly!A69</f>
        <v>2022-08-31</v>
      </c>
      <c r="B69">
        <f>(GSCEQBA_Monthly!B69-GSCEQBA_Monthly!B68)/GSCEQBA_Monthly!B68</f>
        <v>-1.9729630982828011E-2</v>
      </c>
      <c r="C69">
        <f>(MSCI_World_Index_Monthly!B69-MSCI_World_Index_Monthly!B68)/MSCI_World_Index_Monthly!B68</f>
        <v>-4.1807805561410311E-2</v>
      </c>
      <c r="D69" cm="1">
        <f t="array" ref="D69">GEOMEAN(IF(C34:C69&gt;0,1+B34:B69))-1</f>
        <v>3.7419073643403467E-2</v>
      </c>
      <c r="E69" cm="1">
        <f t="array" ref="E69">GEOMEAN(IF(C34:C69&gt;0,1+C34:C69))-1</f>
        <v>4.1242108423848123E-2</v>
      </c>
      <c r="F69">
        <f t="shared" si="0"/>
        <v>90.730263493914876</v>
      </c>
      <c r="G69" cm="1">
        <f t="array" ref="G69">GEOMEAN(IF(C34:C69&lt;0,1+B34:B69))-1</f>
        <v>-4.9403086240687233E-2</v>
      </c>
      <c r="H69" cm="1">
        <f t="array" ref="H69">GEOMEAN(IF(C34:C69&lt;0,1+C34:C69))-1</f>
        <v>-5.0759549562480077E-2</v>
      </c>
      <c r="I69">
        <f t="shared" si="1"/>
        <v>97.327668717542153</v>
      </c>
    </row>
    <row r="70" spans="1:9" x14ac:dyDescent="0.2">
      <c r="A70" t="str">
        <f>MSCI_World_Index_Monthly!A70</f>
        <v>2022-09-30</v>
      </c>
      <c r="B70">
        <f>(GSCEQBA_Monthly!B70-GSCEQBA_Monthly!B69)/GSCEQBA_Monthly!B69</f>
        <v>-8.8706671636228071E-2</v>
      </c>
      <c r="C70">
        <f>(MSCI_World_Index_Monthly!B70-MSCI_World_Index_Monthly!B69)/MSCI_World_Index_Monthly!B69</f>
        <v>-9.2959899832338752E-2</v>
      </c>
      <c r="D70" cm="1">
        <f t="array" ref="D70">GEOMEAN(IF(C35:C70&gt;0,1+B35:B70))-1</f>
        <v>3.8562816126795685E-2</v>
      </c>
      <c r="E70" cm="1">
        <f t="array" ref="E70">GEOMEAN(IF(C35:C70&gt;0,1+C35:C70))-1</f>
        <v>4.2158645869959654E-2</v>
      </c>
      <c r="F70">
        <f t="shared" si="0"/>
        <v>91.470718119705566</v>
      </c>
      <c r="G70" cm="1">
        <f t="array" ref="G70">GEOMEAN(IF(C35:C70&lt;0,1+B35:B70))-1</f>
        <v>-5.2265854568985359E-2</v>
      </c>
      <c r="H70" cm="1">
        <f t="array" ref="H70">GEOMEAN(IF(C35:C70&lt;0,1+C35:C70))-1</f>
        <v>-5.3837916003628083E-2</v>
      </c>
      <c r="I70">
        <f t="shared" si="1"/>
        <v>97.080010610855027</v>
      </c>
    </row>
    <row r="71" spans="1:9" x14ac:dyDescent="0.2">
      <c r="A71" t="str">
        <f>MSCI_World_Index_Monthly!A71</f>
        <v>2022-10-31</v>
      </c>
      <c r="B71">
        <f>(GSCEQBA_Monthly!B71-GSCEQBA_Monthly!B70)/GSCEQBA_Monthly!B70</f>
        <v>6.1758691206544036E-2</v>
      </c>
      <c r="C71">
        <f>(MSCI_World_Index_Monthly!B71-MSCI_World_Index_Monthly!B70)/MSCI_World_Index_Monthly!B70</f>
        <v>7.1812925799710686E-2</v>
      </c>
      <c r="D71" cm="1">
        <f t="array" ref="D71">GEOMEAN(IF(C36:C71&gt;0,1+B36:B71))-1</f>
        <v>4.0317043974654521E-2</v>
      </c>
      <c r="E71" cm="1">
        <f t="array" ref="E71">GEOMEAN(IF(C36:C71&gt;0,1+C36:C71))-1</f>
        <v>4.4255607686130238E-2</v>
      </c>
      <c r="F71">
        <f t="shared" si="0"/>
        <v>91.100418868025017</v>
      </c>
      <c r="G71" cm="1">
        <f t="array" ref="G71">GEOMEAN(IF(C36:C71&lt;0,1+B36:B71))-1</f>
        <v>-5.2265854568985359E-2</v>
      </c>
      <c r="H71" cm="1">
        <f t="array" ref="H71">GEOMEAN(IF(C36:C71&lt;0,1+C36:C71))-1</f>
        <v>-5.3837916003628083E-2</v>
      </c>
      <c r="I71">
        <f t="shared" si="1"/>
        <v>97.080010610855027</v>
      </c>
    </row>
    <row r="72" spans="1:9" x14ac:dyDescent="0.2">
      <c r="A72" t="str">
        <f>MSCI_World_Index_Monthly!A72</f>
        <v>2022-11-30</v>
      </c>
      <c r="B72">
        <f>(GSCEQBA_Monthly!B72-GSCEQBA_Monthly!B71)/GSCEQBA_Monthly!B71</f>
        <v>4.3913713405238849E-2</v>
      </c>
      <c r="C72">
        <f>(MSCI_World_Index_Monthly!B72-MSCI_World_Index_Monthly!B71)/MSCI_World_Index_Monthly!B71</f>
        <v>6.9530427155193406E-2</v>
      </c>
      <c r="D72" cm="1">
        <f t="array" ref="D72">GEOMEAN(IF(C37:C72&gt;0,1+B37:B72))-1</f>
        <v>4.0916108803661588E-2</v>
      </c>
      <c r="E72" cm="1">
        <f t="array" ref="E72">GEOMEAN(IF(C37:C72&gt;0,1+C37:C72))-1</f>
        <v>4.6144107517846811E-2</v>
      </c>
      <c r="F72">
        <f t="shared" si="0"/>
        <v>88.670278838607445</v>
      </c>
      <c r="G72" cm="1">
        <f t="array" ref="G72">GEOMEAN(IF(C37:C72&lt;0,1+B37:B72))-1</f>
        <v>-5.2265854568985359E-2</v>
      </c>
      <c r="H72" cm="1">
        <f t="array" ref="H72">GEOMEAN(IF(C37:C72&lt;0,1+C37:C72))-1</f>
        <v>-5.3837916003628083E-2</v>
      </c>
      <c r="I72">
        <f t="shared" si="1"/>
        <v>97.080010610855027</v>
      </c>
    </row>
    <row r="73" spans="1:9" x14ac:dyDescent="0.2">
      <c r="A73" t="str">
        <f>MSCI_World_Index_Monthly!A73</f>
        <v>2022-12-30</v>
      </c>
      <c r="B73">
        <f>(GSCEQBA_Monthly!B73-GSCEQBA_Monthly!B72)/GSCEQBA_Monthly!B72</f>
        <v>-2.6568265682656914E-2</v>
      </c>
      <c r="C73">
        <f>(MSCI_World_Index_Monthly!B73-MSCI_World_Index_Monthly!B72)/MSCI_World_Index_Monthly!B72</f>
        <v>-4.2467301046555009E-2</v>
      </c>
      <c r="D73" cm="1">
        <f t="array" ref="D73">GEOMEAN(IF(C38:C73&gt;0,1+B38:B73))-1</f>
        <v>4.1995619983589805E-2</v>
      </c>
      <c r="E73" cm="1">
        <f t="array" ref="E73">GEOMEAN(IF(C38:C73&gt;0,1+C38:C73))-1</f>
        <v>4.6921176201481618E-2</v>
      </c>
      <c r="F73">
        <f t="shared" si="0"/>
        <v>89.502487753629083</v>
      </c>
      <c r="G73" cm="1">
        <f t="array" ref="G73">GEOMEAN(IF(C38:C73&lt;0,1+B38:B73))-1</f>
        <v>-5.0573988282964777E-2</v>
      </c>
      <c r="H73" cm="1">
        <f t="array" ref="H73">GEOMEAN(IF(C38:C73&lt;0,1+C38:C73))-1</f>
        <v>-5.3084093631408424E-2</v>
      </c>
      <c r="I73">
        <f t="shared" si="1"/>
        <v>95.271454824353469</v>
      </c>
    </row>
    <row r="74" spans="1:9" x14ac:dyDescent="0.2">
      <c r="A74" t="str">
        <f>MSCI_World_Index_Monthly!A74</f>
        <v>2023-01-31</v>
      </c>
      <c r="B74">
        <f>(GSCEQBA_Monthly!B74-GSCEQBA_Monthly!B73)/GSCEQBA_Monthly!B73</f>
        <v>7.1266110689916701E-2</v>
      </c>
      <c r="C74">
        <f>(MSCI_World_Index_Monthly!B74-MSCI_World_Index_Monthly!B73)/MSCI_World_Index_Monthly!B73</f>
        <v>7.0756061705147685E-2</v>
      </c>
      <c r="D74" cm="1">
        <f t="array" ref="D74">GEOMEAN(IF(C39:C74&gt;0,1+B39:B74))-1</f>
        <v>4.3308578997917735E-2</v>
      </c>
      <c r="E74" cm="1">
        <f t="array" ref="E74">GEOMEAN(IF(C39:C74&gt;0,1+C39:C74))-1</f>
        <v>4.7992979659514434E-2</v>
      </c>
      <c r="F74">
        <f t="shared" si="0"/>
        <v>90.239404398663893</v>
      </c>
      <c r="G74" cm="1">
        <f t="array" ref="G74">GEOMEAN(IF(C39:C74&lt;0,1+B39:B74))-1</f>
        <v>-5.4142741425412422E-2</v>
      </c>
      <c r="H74" cm="1">
        <f t="array" ref="H74">GEOMEAN(IF(C39:C74&lt;0,1+C39:C74))-1</f>
        <v>-5.6354742945323721E-2</v>
      </c>
      <c r="I74">
        <f t="shared" si="1"/>
        <v>96.074861840719564</v>
      </c>
    </row>
    <row r="75" spans="1:9" x14ac:dyDescent="0.2">
      <c r="A75" t="str">
        <f>MSCI_World_Index_Monthly!A75</f>
        <v>2023-02-28</v>
      </c>
      <c r="B75">
        <f>(GSCEQBA_Monthly!B75-GSCEQBA_Monthly!B74)/GSCEQBA_Monthly!B74</f>
        <v>-8.4925690021232115E-3</v>
      </c>
      <c r="C75">
        <f>(MSCI_World_Index_Monthly!B75-MSCI_World_Index_Monthly!B74)/MSCI_World_Index_Monthly!B74</f>
        <v>-2.4038507279798022E-2</v>
      </c>
      <c r="D75" cm="1">
        <f t="array" ref="D75">GEOMEAN(IF(C40:C75&gt;0,1+B40:B75))-1</f>
        <v>4.3308578997917735E-2</v>
      </c>
      <c r="E75" cm="1">
        <f t="array" ref="E75">GEOMEAN(IF(C40:C75&gt;0,1+C40:C75))-1</f>
        <v>4.7992979659514434E-2</v>
      </c>
      <c r="F75">
        <f t="shared" si="0"/>
        <v>90.239404398663893</v>
      </c>
      <c r="G75" cm="1">
        <f t="array" ref="G75">GEOMEAN(IF(C40:C75&lt;0,1+B40:B75))-1</f>
        <v>-4.693234425600179E-2</v>
      </c>
      <c r="H75" cm="1">
        <f t="array" ref="H75">GEOMEAN(IF(C40:C75&lt;0,1+C40:C75))-1</f>
        <v>-5.2032391722990012E-2</v>
      </c>
      <c r="I75">
        <f t="shared" si="1"/>
        <v>90.198322048811733</v>
      </c>
    </row>
    <row r="76" spans="1:9" x14ac:dyDescent="0.2">
      <c r="A76" t="str">
        <f>MSCI_World_Index_Monthly!A76</f>
        <v>2023-03-31</v>
      </c>
      <c r="B76">
        <f>(GSCEQBA_Monthly!B76-GSCEQBA_Monthly!B75)/GSCEQBA_Monthly!B75</f>
        <v>9.2790863668808562E-3</v>
      </c>
      <c r="C76">
        <f>(MSCI_World_Index_Monthly!B76-MSCI_World_Index_Monthly!B75)/MSCI_World_Index_Monthly!B75</f>
        <v>3.0899690133206308E-2</v>
      </c>
      <c r="D76" cm="1">
        <f t="array" ref="D76">GEOMEAN(IF(C41:C76&gt;0,1+B41:B76))-1</f>
        <v>4.1805452768583384E-2</v>
      </c>
      <c r="E76" cm="1">
        <f t="array" ref="E76">GEOMEAN(IF(C41:C76&gt;0,1+C41:C76))-1</f>
        <v>4.7243933381526659E-2</v>
      </c>
      <c r="F76">
        <f t="shared" si="0"/>
        <v>88.488510114041802</v>
      </c>
      <c r="G76" cm="1">
        <f t="array" ref="G76">GEOMEAN(IF(C41:C76&lt;0,1+B41:B76))-1</f>
        <v>-3.9271454735664624E-2</v>
      </c>
      <c r="H76" cm="1">
        <f t="array" ref="H76">GEOMEAN(IF(C41:C76&lt;0,1+C41:C76))-1</f>
        <v>-4.5555174139855992E-2</v>
      </c>
      <c r="I76">
        <f t="shared" si="1"/>
        <v>86.206354112707089</v>
      </c>
    </row>
    <row r="77" spans="1:9" x14ac:dyDescent="0.2">
      <c r="A77" t="str">
        <f>MSCI_World_Index_Monthly!A77</f>
        <v>2023-04-28</v>
      </c>
      <c r="B77">
        <f>(GSCEQBA_Monthly!B77-GSCEQBA_Monthly!B76)/GSCEQBA_Monthly!B76</f>
        <v>9.9009900990098144E-3</v>
      </c>
      <c r="C77">
        <f>(MSCI_World_Index_Monthly!B77-MSCI_World_Index_Monthly!B76)/MSCI_World_Index_Monthly!B76</f>
        <v>1.7529586486703962E-2</v>
      </c>
      <c r="D77" cm="1">
        <f t="array" ref="D77">GEOMEAN(IF(C42:C77&gt;0,1+B42:B77))-1</f>
        <v>3.7187969216341932E-2</v>
      </c>
      <c r="E77" cm="1">
        <f t="array" ref="E77">GEOMEAN(IF(C42:C77&gt;0,1+C42:C77))-1</f>
        <v>4.3321799646733217E-2</v>
      </c>
      <c r="F77">
        <f t="shared" si="0"/>
        <v>85.841238174753855</v>
      </c>
      <c r="G77" cm="1">
        <f t="array" ref="G77">GEOMEAN(IF(C42:C77&lt;0,1+B42:B77))-1</f>
        <v>-3.9271454735664624E-2</v>
      </c>
      <c r="H77" cm="1">
        <f t="array" ref="H77">GEOMEAN(IF(C42:C77&lt;0,1+C42:C77))-1</f>
        <v>-4.5555174139855992E-2</v>
      </c>
      <c r="I77">
        <f t="shared" si="1"/>
        <v>86.206354112707089</v>
      </c>
    </row>
    <row r="78" spans="1:9" x14ac:dyDescent="0.2">
      <c r="A78" t="str">
        <f>MSCI_World_Index_Monthly!A78</f>
        <v>2023-05-31</v>
      </c>
      <c r="B78">
        <f>(GSCEQBA_Monthly!B78-GSCEQBA_Monthly!B77)/GSCEQBA_Monthly!B77</f>
        <v>2.1008403361345335E-3</v>
      </c>
      <c r="C78">
        <f>(MSCI_World_Index_Monthly!B78-MSCI_World_Index_Monthly!B77)/MSCI_World_Index_Monthly!B77</f>
        <v>-9.9834179318560191E-3</v>
      </c>
      <c r="D78" cm="1">
        <f t="array" ref="D78">GEOMEAN(IF(C43:C78&gt;0,1+B43:B78))-1</f>
        <v>3.6475512711213964E-2</v>
      </c>
      <c r="E78" cm="1">
        <f t="array" ref="E78">GEOMEAN(IF(C43:C78&gt;0,1+C43:C78))-1</f>
        <v>4.3095711160699768E-2</v>
      </c>
      <c r="F78">
        <f t="shared" si="0"/>
        <v>84.63838217032847</v>
      </c>
      <c r="G78" cm="1">
        <f t="array" ref="G78">GEOMEAN(IF(C43:C78&lt;0,1+B43:B78))-1</f>
        <v>-3.6373789810628887E-2</v>
      </c>
      <c r="H78" cm="1">
        <f t="array" ref="H78">GEOMEAN(IF(C43:C78&lt;0,1+C43:C78))-1</f>
        <v>-4.3057274966719294E-2</v>
      </c>
      <c r="I78">
        <f t="shared" si="1"/>
        <v>84.47768661333923</v>
      </c>
    </row>
    <row r="79" spans="1:9" x14ac:dyDescent="0.2">
      <c r="A79" t="str">
        <f>MSCI_World_Index_Monthly!A79</f>
        <v>2023-06-30</v>
      </c>
      <c r="B79">
        <f>(GSCEQBA_Monthly!B79-GSCEQBA_Monthly!B78)/GSCEQBA_Monthly!B78</f>
        <v>6.3591893780573033E-2</v>
      </c>
      <c r="C79">
        <f>(MSCI_World_Index_Monthly!B79-MSCI_World_Index_Monthly!B78)/MSCI_World_Index_Monthly!B78</f>
        <v>6.0477788441801274E-2</v>
      </c>
      <c r="D79" cm="1">
        <f t="array" ref="D79">GEOMEAN(IF(C44:C79&gt;0,1+B44:B79))-1</f>
        <v>3.8042691897899328E-2</v>
      </c>
      <c r="E79" cm="1">
        <f t="array" ref="E79">GEOMEAN(IF(C44:C79&gt;0,1+C44:C79))-1</f>
        <v>4.464311822887157E-2</v>
      </c>
      <c r="F79">
        <f t="shared" si="0"/>
        <v>85.215131485363813</v>
      </c>
      <c r="G79" cm="1">
        <f t="array" ref="G79">GEOMEAN(IF(C44:C79&lt;0,1+B44:B79))-1</f>
        <v>-3.6373789810628887E-2</v>
      </c>
      <c r="H79" cm="1">
        <f t="array" ref="H79">GEOMEAN(IF(C44:C79&lt;0,1+C44:C79))-1</f>
        <v>-4.3057274966719294E-2</v>
      </c>
      <c r="I79">
        <f t="shared" si="1"/>
        <v>84.47768661333923</v>
      </c>
    </row>
    <row r="80" spans="1:9" x14ac:dyDescent="0.2">
      <c r="A80" t="str">
        <f>MSCI_World_Index_Monthly!A80</f>
        <v>2023-07-31</v>
      </c>
      <c r="B80">
        <f>(GSCEQBA_Monthly!B80-GSCEQBA_Monthly!B79)/GSCEQBA_Monthly!B79</f>
        <v>3.0223390275952632E-2</v>
      </c>
      <c r="C80">
        <f>(MSCI_World_Index_Monthly!B80-MSCI_World_Index_Monthly!B79)/MSCI_World_Index_Monthly!B79</f>
        <v>3.3592759257677615E-2</v>
      </c>
      <c r="D80" cm="1">
        <f t="array" ref="D80">GEOMEAN(IF(C45:C80&gt;0,1+B45:B80))-1</f>
        <v>3.6363178698415766E-2</v>
      </c>
      <c r="E80" cm="1">
        <f t="array" ref="E80">GEOMEAN(IF(C45:C80&gt;0,1+C45:C80))-1</f>
        <v>4.399320354029812E-2</v>
      </c>
      <c r="F80">
        <f t="shared" si="0"/>
        <v>82.656355464331682</v>
      </c>
      <c r="G80" cm="1">
        <f t="array" ref="G80">GEOMEAN(IF(C45:C80&lt;0,1+B45:B80))-1</f>
        <v>-3.6373789810628887E-2</v>
      </c>
      <c r="H80" cm="1">
        <f t="array" ref="H80">GEOMEAN(IF(C45:C80&lt;0,1+C45:C80))-1</f>
        <v>-4.3057274966719294E-2</v>
      </c>
      <c r="I80">
        <f t="shared" si="1"/>
        <v>84.47768661333923</v>
      </c>
    </row>
    <row r="81" spans="1:9" x14ac:dyDescent="0.2">
      <c r="A81" t="str">
        <f>MSCI_World_Index_Monthly!A81</f>
        <v>2023-08-31</v>
      </c>
      <c r="B81">
        <f>(GSCEQBA_Monthly!B81-GSCEQBA_Monthly!B80)/GSCEQBA_Monthly!B80</f>
        <v>-2.4553571428571414E-2</v>
      </c>
      <c r="C81">
        <f>(MSCI_World_Index_Monthly!B81-MSCI_World_Index_Monthly!B80)/MSCI_World_Index_Monthly!B80</f>
        <v>-2.3885723987328324E-2</v>
      </c>
      <c r="D81" cm="1">
        <f t="array" ref="D81">GEOMEAN(IF(C46:C81&gt;0,1+B46:B81))-1</f>
        <v>3.5582473656301294E-2</v>
      </c>
      <c r="E81" cm="1">
        <f t="array" ref="E81">GEOMEAN(IF(C46:C81&gt;0,1+C46:C81))-1</f>
        <v>4.2918741988846598E-2</v>
      </c>
      <c r="F81">
        <f t="shared" si="0"/>
        <v>82.906609111581602</v>
      </c>
      <c r="G81" cm="1">
        <f t="array" ref="G81">GEOMEAN(IF(C46:C81&lt;0,1+B46:B81))-1</f>
        <v>-3.5590250756394659E-2</v>
      </c>
      <c r="H81" cm="1">
        <f t="array" ref="H81">GEOMEAN(IF(C46:C81&lt;0,1+C46:C81))-1</f>
        <v>-4.1790968866943556E-2</v>
      </c>
      <c r="I81">
        <f t="shared" si="1"/>
        <v>85.162540427595516</v>
      </c>
    </row>
    <row r="82" spans="1:9" x14ac:dyDescent="0.2">
      <c r="A82" t="str">
        <f>MSCI_World_Index_Monthly!A82</f>
        <v>2023-09-29</v>
      </c>
      <c r="B82">
        <f>(GSCEQBA_Monthly!B82-GSCEQBA_Monthly!B81)/GSCEQBA_Monthly!B81</f>
        <v>-2.9094475318731629E-2</v>
      </c>
      <c r="C82">
        <f>(MSCI_World_Index_Monthly!B82-MSCI_World_Index_Monthly!B81)/MSCI_World_Index_Monthly!B81</f>
        <v>-4.3138381910272625E-2</v>
      </c>
      <c r="D82" cm="1">
        <f t="array" ref="D82">GEOMEAN(IF(C47:C82&gt;0,1+B47:B82))-1</f>
        <v>3.5582473656301294E-2</v>
      </c>
      <c r="E82" cm="1">
        <f t="array" ref="E82">GEOMEAN(IF(C47:C82&gt;0,1+C47:C82))-1</f>
        <v>4.2918741988846598E-2</v>
      </c>
      <c r="F82">
        <f t="shared" si="0"/>
        <v>82.906609111581602</v>
      </c>
      <c r="G82" cm="1">
        <f t="array" ref="G82">GEOMEAN(IF(C47:C82&lt;0,1+B47:B82))-1</f>
        <v>-3.6462763088356831E-2</v>
      </c>
      <c r="H82" cm="1">
        <f t="array" ref="H82">GEOMEAN(IF(C47:C82&lt;0,1+C47:C82))-1</f>
        <v>-4.2364969816529929E-2</v>
      </c>
      <c r="I82">
        <f t="shared" si="1"/>
        <v>86.068190880971244</v>
      </c>
    </row>
    <row r="83" spans="1:9" x14ac:dyDescent="0.2">
      <c r="A83" t="str">
        <f>MSCI_World_Index_Monthly!A83</f>
        <v>2023-10-31</v>
      </c>
      <c r="B83">
        <f>(GSCEQBA_Monthly!B83-GSCEQBA_Monthly!B82)/GSCEQBA_Monthly!B82</f>
        <v>-4.1077441077441039E-2</v>
      </c>
      <c r="C83">
        <f>(MSCI_World_Index_Monthly!B83-MSCI_World_Index_Monthly!B82)/MSCI_World_Index_Monthly!B82</f>
        <v>-2.9015837406575453E-2</v>
      </c>
      <c r="D83" cm="1">
        <f t="array" ref="D83">GEOMEAN(IF(C48:C83&gt;0,1+B48:B83))-1</f>
        <v>3.5582473656301294E-2</v>
      </c>
      <c r="E83" cm="1">
        <f t="array" ref="E83">GEOMEAN(IF(C48:C83&gt;0,1+C48:C83))-1</f>
        <v>4.2918741988846598E-2</v>
      </c>
      <c r="F83">
        <f t="shared" si="0"/>
        <v>82.906609111581602</v>
      </c>
      <c r="G83" cm="1">
        <f t="array" ref="G83">GEOMEAN(IF(C48:C83&lt;0,1+B48:B83))-1</f>
        <v>-3.6548877161909354E-2</v>
      </c>
      <c r="H83" cm="1">
        <f t="array" ref="H83">GEOMEAN(IF(C48:C83&lt;0,1+C48:C83))-1</f>
        <v>-4.2255779062986054E-2</v>
      </c>
      <c r="I83">
        <f t="shared" si="1"/>
        <v>86.494387211344403</v>
      </c>
    </row>
    <row r="84" spans="1:9" x14ac:dyDescent="0.2">
      <c r="A84" t="str">
        <f>MSCI_World_Index_Monthly!A84</f>
        <v>2023-11-30</v>
      </c>
      <c r="B84">
        <f>(GSCEQBA_Monthly!B84-GSCEQBA_Monthly!B83)/GSCEQBA_Monthly!B83</f>
        <v>8.7780898876404487E-2</v>
      </c>
      <c r="C84">
        <f>(MSCI_World_Index_Monthly!B84-MSCI_World_Index_Monthly!B83)/MSCI_World_Index_Monthly!B83</f>
        <v>9.3752074328848717E-2</v>
      </c>
      <c r="D84" cm="1">
        <f t="array" ref="D84">GEOMEAN(IF(C49:C84&gt;0,1+B49:B84))-1</f>
        <v>3.4526223561073044E-2</v>
      </c>
      <c r="E84" cm="1">
        <f t="array" ref="E84">GEOMEAN(IF(C49:C84&gt;0,1+C49:C84))-1</f>
        <v>4.1394745766182517E-2</v>
      </c>
      <c r="F84">
        <f t="shared" si="0"/>
        <v>83.407260805740421</v>
      </c>
      <c r="G84" cm="1">
        <f t="array" ref="G84">GEOMEAN(IF(C49:C84&lt;0,1+B49:B84))-1</f>
        <v>-3.6548877161909354E-2</v>
      </c>
      <c r="H84" cm="1">
        <f t="array" ref="H84">GEOMEAN(IF(C49:C84&lt;0,1+C49:C84))-1</f>
        <v>-4.2255779062986054E-2</v>
      </c>
      <c r="I84">
        <f t="shared" si="1"/>
        <v>86.494387211344403</v>
      </c>
    </row>
    <row r="85" spans="1:9" x14ac:dyDescent="0.2">
      <c r="A85" t="str">
        <f>MSCI_World_Index_Monthly!A85</f>
        <v>2023-12-29</v>
      </c>
      <c r="B85">
        <f>(GSCEQBA_Monthly!B85-GSCEQBA_Monthly!B84)/GSCEQBA_Monthly!B84</f>
        <v>5.293737895416388E-2</v>
      </c>
      <c r="C85">
        <f>(MSCI_World_Index_Monthly!B85-MSCI_World_Index_Monthly!B84)/MSCI_World_Index_Monthly!B84</f>
        <v>4.909424724568319E-2</v>
      </c>
      <c r="D85" cm="1">
        <f t="array" ref="D85">GEOMEAN(IF(C50:C85&gt;0,1+B50:B85))-1</f>
        <v>3.553343203375503E-2</v>
      </c>
      <c r="E85" cm="1">
        <f t="array" ref="E85">GEOMEAN(IF(C50:C85&gt;0,1+C50:C85))-1</f>
        <v>4.1712398605981305E-2</v>
      </c>
      <c r="F85">
        <f t="shared" si="0"/>
        <v>85.186738766587624</v>
      </c>
      <c r="G85" cm="1">
        <f t="array" ref="G85">GEOMEAN(IF(C50:C85&lt;0,1+B50:B85))-1</f>
        <v>-3.6548877161909354E-2</v>
      </c>
      <c r="H85" cm="1">
        <f t="array" ref="H85">GEOMEAN(IF(C50:C85&lt;0,1+C50:C85))-1</f>
        <v>-4.2255779062986054E-2</v>
      </c>
      <c r="I85">
        <f t="shared" si="1"/>
        <v>86.494387211344403</v>
      </c>
    </row>
    <row r="86" spans="1:9" x14ac:dyDescent="0.2">
      <c r="A86" t="str">
        <f>MSCI_World_Index_Monthly!A86</f>
        <v>2024-01-31</v>
      </c>
      <c r="B86">
        <f>(GSCEQBA_Monthly!B86-GSCEQBA_Monthly!B85)/GSCEQBA_Monthly!B85</f>
        <v>2.4831391784181554E-2</v>
      </c>
      <c r="C86">
        <f>(MSCI_World_Index_Monthly!B86-MSCI_World_Index_Monthly!B85)/MSCI_World_Index_Monthly!B85</f>
        <v>1.2000481906374327E-2</v>
      </c>
      <c r="D86" cm="1">
        <f t="array" ref="D86">GEOMEAN(IF(C51:C86&gt;0,1+B51:B86))-1</f>
        <v>3.5044559921191931E-2</v>
      </c>
      <c r="E86" cm="1">
        <f t="array" ref="E86">GEOMEAN(IF(C51:C86&gt;0,1+C51:C86))-1</f>
        <v>4.0343123199311437E-2</v>
      </c>
      <c r="F86">
        <f t="shared" si="0"/>
        <v>86.866254127271091</v>
      </c>
      <c r="G86" cm="1">
        <f t="array" ref="G86">GEOMEAN(IF(C51:C86&lt;0,1+B51:B86))-1</f>
        <v>-4.0077705317396073E-2</v>
      </c>
      <c r="H86" cm="1">
        <f t="array" ref="H86">GEOMEAN(IF(C51:C86&lt;0,1+C51:C86))-1</f>
        <v>-4.4523364047517888E-2</v>
      </c>
      <c r="I86">
        <f t="shared" si="1"/>
        <v>90.014998135861532</v>
      </c>
    </row>
    <row r="87" spans="1:9" x14ac:dyDescent="0.2">
      <c r="A87" t="str">
        <f>MSCI_World_Index_Monthly!A87</f>
        <v>2024-02-29</v>
      </c>
      <c r="B87">
        <f>(GSCEQBA_Monthly!B87-GSCEQBA_Monthly!B86)/GSCEQBA_Monthly!B86</f>
        <v>4.7861202512713176E-2</v>
      </c>
      <c r="C87">
        <f>(MSCI_World_Index_Monthly!B87-MSCI_World_Index_Monthly!B86)/MSCI_World_Index_Monthly!B86</f>
        <v>4.239766521428228E-2</v>
      </c>
      <c r="D87" cm="1">
        <f t="array" ref="D87">GEOMEAN(IF(C52:C87&gt;0,1+B52:B87))-1</f>
        <v>3.6339137150259715E-2</v>
      </c>
      <c r="E87" cm="1">
        <f t="array" ref="E87">GEOMEAN(IF(C52:C87&gt;0,1+C52:C87))-1</f>
        <v>4.1110514435165779E-2</v>
      </c>
      <c r="F87">
        <f t="shared" si="0"/>
        <v>88.393778695153841</v>
      </c>
      <c r="G87" cm="1">
        <f t="array" ref="G87">GEOMEAN(IF(C52:C87&lt;0,1+B52:B87))-1</f>
        <v>-4.0077705317396073E-2</v>
      </c>
      <c r="H87" cm="1">
        <f t="array" ref="H87">GEOMEAN(IF(C52:C87&lt;0,1+C52:C87))-1</f>
        <v>-4.4523364047517888E-2</v>
      </c>
      <c r="I87">
        <f t="shared" si="1"/>
        <v>90.014998135861532</v>
      </c>
    </row>
    <row r="88" spans="1:9" x14ac:dyDescent="0.2">
      <c r="A88" t="str">
        <f>MSCI_World_Index_Monthly!A88</f>
        <v>2024-03-29</v>
      </c>
      <c r="B88">
        <f>(GSCEQBA_Monthly!B88-GSCEQBA_Monthly!B87)/GSCEQBA_Monthly!B87</f>
        <v>3.7396517270910715E-2</v>
      </c>
      <c r="C88">
        <f>(MSCI_World_Index_Monthly!B88-MSCI_World_Index_Monthly!B87)/MSCI_World_Index_Monthly!B87</f>
        <v>3.2134817583150961E-2</v>
      </c>
      <c r="D88" cm="1">
        <f t="array" ref="D88">GEOMEAN(IF(C53:C88&gt;0,1+B53:B88))-1</f>
        <v>3.6886106005389552E-2</v>
      </c>
      <c r="E88" cm="1">
        <f t="array" ref="E88">GEOMEAN(IF(C53:C88&gt;0,1+C53:C88))-1</f>
        <v>4.1058399800186773E-2</v>
      </c>
      <c r="F88">
        <f t="shared" si="0"/>
        <v>89.838148064459531</v>
      </c>
      <c r="G88" cm="1">
        <f t="array" ref="G88">GEOMEAN(IF(C53:C88&lt;0,1+B53:B88))-1</f>
        <v>-4.0077705317396073E-2</v>
      </c>
      <c r="H88" cm="1">
        <f t="array" ref="H88">GEOMEAN(IF(C53:C88&lt;0,1+C53:C88))-1</f>
        <v>-4.4523364047517888E-2</v>
      </c>
      <c r="I88">
        <f t="shared" si="1"/>
        <v>90.014998135861532</v>
      </c>
    </row>
    <row r="89" spans="1:9" x14ac:dyDescent="0.2">
      <c r="A89" t="str">
        <f>MSCI_World_Index_Monthly!A89</f>
        <v>2024-04-30</v>
      </c>
      <c r="B89">
        <f>(GSCEQBA_Monthly!B89-GSCEQBA_Monthly!B88)/GSCEQBA_Monthly!B88</f>
        <v>-3.2746285085305575E-2</v>
      </c>
      <c r="C89">
        <f>(MSCI_World_Index_Monthly!B89-MSCI_World_Index_Monthly!B88)/MSCI_World_Index_Monthly!B88</f>
        <v>-3.7144704903845076E-2</v>
      </c>
      <c r="D89" cm="1">
        <f t="array" ref="D89">GEOMEAN(IF(C54:C89&gt;0,1+B54:B89))-1</f>
        <v>3.6010732605954443E-2</v>
      </c>
      <c r="E89" cm="1">
        <f t="array" ref="E89">GEOMEAN(IF(C54:C89&gt;0,1+C54:C89))-1</f>
        <v>4.0798083169556687E-2</v>
      </c>
      <c r="F89">
        <f t="shared" si="0"/>
        <v>88.265746349636004</v>
      </c>
      <c r="G89" cm="1">
        <f t="array" ref="G89">GEOMEAN(IF(C54:C89&lt;0,1+B54:B89))-1</f>
        <v>-3.9590677472298497E-2</v>
      </c>
      <c r="H89" cm="1">
        <f t="array" ref="H89">GEOMEAN(IF(C54:C89&lt;0,1+C54:C89))-1</f>
        <v>-4.4033217426717064E-2</v>
      </c>
      <c r="I89">
        <f t="shared" si="1"/>
        <v>89.910934939487149</v>
      </c>
    </row>
    <row r="90" spans="1:9" x14ac:dyDescent="0.2">
      <c r="A90" t="str">
        <f>MSCI_World_Index_Monthly!A90</f>
        <v>2024-05-31</v>
      </c>
      <c r="B90">
        <f>(GSCEQBA_Monthly!B90-GSCEQBA_Monthly!B89)/GSCEQBA_Monthly!B89</f>
        <v>3.6130867709815169E-2</v>
      </c>
      <c r="C90">
        <f>(MSCI_World_Index_Monthly!B90-MSCI_World_Index_Monthly!B89)/MSCI_World_Index_Monthly!B89</f>
        <v>4.4651985951194587E-2</v>
      </c>
      <c r="D90" cm="1">
        <f t="array" ref="D90">GEOMEAN(IF(C55:C90&gt;0,1+B55:B90))-1</f>
        <v>3.7377866177630947E-2</v>
      </c>
      <c r="E90" cm="1">
        <f t="array" ref="E90">GEOMEAN(IF(C55:C90&gt;0,1+C55:C90))-1</f>
        <v>4.2255284567644047E-2</v>
      </c>
      <c r="F90">
        <f t="shared" si="0"/>
        <v>88.457258210614768</v>
      </c>
      <c r="G90" cm="1">
        <f t="array" ref="G90">GEOMEAN(IF(C55:C90&lt;0,1+B55:B90))-1</f>
        <v>-3.9590677472298497E-2</v>
      </c>
      <c r="H90" cm="1">
        <f t="array" ref="H90">GEOMEAN(IF(C55:C90&lt;0,1+C55:C90))-1</f>
        <v>-4.4033217426717064E-2</v>
      </c>
      <c r="I90">
        <f t="shared" si="1"/>
        <v>89.910934939487149</v>
      </c>
    </row>
    <row r="91" spans="1:9" x14ac:dyDescent="0.2">
      <c r="A91" t="str">
        <f>MSCI_World_Index_Monthly!A91</f>
        <v>2024-06-28</v>
      </c>
      <c r="B91">
        <f>(GSCEQBA_Monthly!B91-GSCEQBA_Monthly!B90)/GSCEQBA_Monthly!B90</f>
        <v>3.4321801208127403E-2</v>
      </c>
      <c r="C91">
        <f>(MSCI_World_Index_Monthly!B91-MSCI_World_Index_Monthly!B90)/MSCI_World_Index_Monthly!B90</f>
        <v>2.0347900506931096E-2</v>
      </c>
      <c r="D91" cm="1">
        <f t="array" ref="D91">GEOMEAN(IF(C56:C91&gt;0,1+B56:B91))-1</f>
        <v>3.8473079012380396E-2</v>
      </c>
      <c r="E91" cm="1">
        <f t="array" ref="E91">GEOMEAN(IF(C56:C91&gt;0,1+C56:C91))-1</f>
        <v>4.2520785737504063E-2</v>
      </c>
      <c r="F91">
        <f t="shared" si="0"/>
        <v>90.480639868436114</v>
      </c>
      <c r="G91" cm="1">
        <f t="array" ref="G91">GEOMEAN(IF(C56:C91&lt;0,1+B56:B91))-1</f>
        <v>-3.9590677472298497E-2</v>
      </c>
      <c r="H91" cm="1">
        <f t="array" ref="H91">GEOMEAN(IF(C56:C91&lt;0,1+C56:C91))-1</f>
        <v>-4.4033217426717064E-2</v>
      </c>
      <c r="I91">
        <f t="shared" si="1"/>
        <v>89.910934939487149</v>
      </c>
    </row>
    <row r="92" spans="1:9" x14ac:dyDescent="0.2">
      <c r="A92" t="str">
        <f>MSCI_World_Index_Monthly!A92</f>
        <v>2024-07-31</v>
      </c>
      <c r="B92">
        <f>(GSCEQBA_Monthly!B92-GSCEQBA_Monthly!B91)/GSCEQBA_Monthly!B91</f>
        <v>-2.6546323334231792E-4</v>
      </c>
      <c r="C92">
        <f>(MSCI_World_Index_Monthly!B92-MSCI_World_Index_Monthly!B91)/MSCI_World_Index_Monthly!B91</f>
        <v>1.7622424656393281E-2</v>
      </c>
      <c r="D92" cm="1">
        <f t="array" ref="D92">GEOMEAN(IF(C57:C92&gt;0,1+B57:B92))-1</f>
        <v>3.7210702375643612E-2</v>
      </c>
      <c r="E92" cm="1">
        <f t="array" ref="E92">GEOMEAN(IF(C57:C92&gt;0,1+C57:C92))-1</f>
        <v>4.2506620573683929E-2</v>
      </c>
      <c r="F92">
        <f t="shared" si="0"/>
        <v>87.540956851980255</v>
      </c>
      <c r="G92" cm="1">
        <f t="array" ref="G92">GEOMEAN(IF(C57:C92&lt;0,1+B57:B92))-1</f>
        <v>-3.9590677472298497E-2</v>
      </c>
      <c r="H92" cm="1">
        <f t="array" ref="H92">GEOMEAN(IF(C57:C92&lt;0,1+C57:C92))-1</f>
        <v>-4.4033217426717064E-2</v>
      </c>
      <c r="I92">
        <f t="shared" si="1"/>
        <v>89.910934939487149</v>
      </c>
    </row>
    <row r="93" spans="1:9" x14ac:dyDescent="0.2">
      <c r="A93" t="str">
        <f>MSCI_World_Index_Monthly!A93</f>
        <v>2024-08-30</v>
      </c>
      <c r="B93">
        <f>(GSCEQBA_Monthly!B93-GSCEQBA_Monthly!B92)/GSCEQBA_Monthly!B92</f>
        <v>2.6818906001062272E-2</v>
      </c>
      <c r="C93">
        <f>(MSCI_World_Index_Monthly!B93-MSCI_World_Index_Monthly!B92)/MSCI_World_Index_Monthly!B92</f>
        <v>2.6430492263428661E-2</v>
      </c>
      <c r="D93" cm="1">
        <f t="array" ref="D93">GEOMEAN(IF(C58:C93&gt;0,1+B58:B93))-1</f>
        <v>3.7180014697217212E-2</v>
      </c>
      <c r="E93" cm="1">
        <f t="array" ref="E93">GEOMEAN(IF(C58:C93&gt;0,1+C58:C93))-1</f>
        <v>4.2581264431400978E-2</v>
      </c>
      <c r="F93">
        <f t="shared" si="0"/>
        <v>87.315431313963785</v>
      </c>
      <c r="G93" cm="1">
        <f t="array" ref="G93">GEOMEAN(IF(C58:C93&lt;0,1+B58:B93))-1</f>
        <v>-3.9590677472298497E-2</v>
      </c>
      <c r="H93" cm="1">
        <f t="array" ref="H93">GEOMEAN(IF(C58:C93&lt;0,1+C58:C93))-1</f>
        <v>-4.4033217426717064E-2</v>
      </c>
      <c r="I93">
        <f t="shared" si="1"/>
        <v>89.910934939487149</v>
      </c>
    </row>
    <row r="94" spans="1:9" x14ac:dyDescent="0.2">
      <c r="A94" t="str">
        <f>MSCI_World_Index_Monthly!A94</f>
        <v>2024-09-30</v>
      </c>
      <c r="B94">
        <f>(GSCEQBA_Monthly!B94-GSCEQBA_Monthly!B93)/GSCEQBA_Monthly!B93</f>
        <v>8.2751486940781036E-3</v>
      </c>
      <c r="C94">
        <f>(MSCI_World_Index_Monthly!B94-MSCI_World_Index_Monthly!B93)/MSCI_World_Index_Monthly!B93</f>
        <v>1.8313936157685003E-2</v>
      </c>
      <c r="D94" cm="1">
        <f t="array" ref="D94">GEOMEAN(IF(C59:C94&gt;0,1+B59:B94))-1</f>
        <v>3.5848357585636315E-2</v>
      </c>
      <c r="E94" cm="1">
        <f t="array" ref="E94">GEOMEAN(IF(C59:C94&gt;0,1+C59:C94))-1</f>
        <v>4.1465760968888432E-2</v>
      </c>
      <c r="F94">
        <f t="shared" si="0"/>
        <v>86.452911385210484</v>
      </c>
      <c r="G94" cm="1">
        <f t="array" ref="G94">GEOMEAN(IF(C59:C94&lt;0,1+B59:B94))-1</f>
        <v>-3.957705624381147E-2</v>
      </c>
      <c r="H94" cm="1">
        <f t="array" ref="H94">GEOMEAN(IF(C59:C94&lt;0,1+C59:C94))-1</f>
        <v>-4.4212442517545747E-2</v>
      </c>
      <c r="I94">
        <f t="shared" si="1"/>
        <v>89.515652133684497</v>
      </c>
    </row>
    <row r="95" spans="1:9" x14ac:dyDescent="0.2">
      <c r="A95" t="str">
        <f>MSCI_World_Index_Monthly!A95</f>
        <v>2024-10-31</v>
      </c>
      <c r="B95">
        <f>(GSCEQBA_Monthly!B95-GSCEQBA_Monthly!B94)/GSCEQBA_Monthly!B94</f>
        <v>-1.6414465247499371E-2</v>
      </c>
      <c r="C95">
        <f>(MSCI_World_Index_Monthly!B95-MSCI_World_Index_Monthly!B94)/MSCI_World_Index_Monthly!B94</f>
        <v>-1.9836919813813764E-2</v>
      </c>
      <c r="D95" cm="1">
        <f t="array" ref="D95">GEOMEAN(IF(C60:C95&gt;0,1+B60:B95))-1</f>
        <v>3.6246902520000068E-2</v>
      </c>
      <c r="E95" cm="1">
        <f t="array" ref="E95">GEOMEAN(IF(C60:C95&gt;0,1+C60:C95))-1</f>
        <v>4.0748614756901613E-2</v>
      </c>
      <c r="F95">
        <f t="shared" si="0"/>
        <v>88.952477860271102</v>
      </c>
      <c r="G95" cm="1">
        <f t="array" ref="G95">GEOMEAN(IF(C60:C95&lt;0,1+B60:B95))-1</f>
        <v>-3.8049997190602536E-2</v>
      </c>
      <c r="H95" cm="1">
        <f t="array" ref="H95">GEOMEAN(IF(C60:C95&lt;0,1+C60:C95))-1</f>
        <v>-4.2606435882848959E-2</v>
      </c>
      <c r="I95">
        <f t="shared" si="1"/>
        <v>89.305750181088015</v>
      </c>
    </row>
    <row r="96" spans="1:9" x14ac:dyDescent="0.2">
      <c r="A96" t="str">
        <f>MSCI_World_Index_Monthly!A96</f>
        <v>2024-11-29</v>
      </c>
      <c r="B96">
        <f>(GSCEQBA_Monthly!B96-GSCEQBA_Monthly!B95)/GSCEQBA_Monthly!B95</f>
        <v>4.7457627118644076E-2</v>
      </c>
      <c r="C96">
        <f>(MSCI_World_Index_Monthly!B96-MSCI_World_Index_Monthly!B95)/MSCI_World_Index_Monthly!B95</f>
        <v>4.5886580764517078E-2</v>
      </c>
      <c r="D96" cm="1">
        <f t="array" ref="D96">GEOMEAN(IF(C61:C96&gt;0,1+B61:B96))-1</f>
        <v>3.6753868144740354E-2</v>
      </c>
      <c r="E96" cm="1">
        <f t="array" ref="E96">GEOMEAN(IF(C61:C96&gt;0,1+C61:C96))-1</f>
        <v>4.0981610153845383E-2</v>
      </c>
      <c r="F96">
        <f t="shared" si="0"/>
        <v>89.683806972849425</v>
      </c>
      <c r="G96" cm="1">
        <f t="array" ref="G96">GEOMEAN(IF(C61:C96&lt;0,1+B61:B96))-1</f>
        <v>-4.0203621642730503E-2</v>
      </c>
      <c r="H96" cm="1">
        <f t="array" ref="H96">GEOMEAN(IF(C61:C96&lt;0,1+C61:C96))-1</f>
        <v>-4.4067677259926441E-2</v>
      </c>
      <c r="I96">
        <f t="shared" si="1"/>
        <v>91.231542351541705</v>
      </c>
    </row>
    <row r="97" spans="1:9" x14ac:dyDescent="0.2">
      <c r="A97" t="str">
        <f>MSCI_World_Index_Monthly!A97</f>
        <v>2024-12-31</v>
      </c>
      <c r="B97">
        <f>(GSCEQBA_Monthly!B97-GSCEQBA_Monthly!B96)/GSCEQBA_Monthly!B96</f>
        <v>-1.692805576300721E-2</v>
      </c>
      <c r="C97">
        <f>(MSCI_World_Index_Monthly!B97-MSCI_World_Index_Monthly!B96)/MSCI_World_Index_Monthly!B96</f>
        <v>-2.6060572654462599E-2</v>
      </c>
      <c r="D97" cm="1">
        <f t="array" ref="D97">GEOMEAN(IF(C62:C97&gt;0,1+B62:B97))-1</f>
        <v>3.6732185791634286E-2</v>
      </c>
      <c r="E97" cm="1">
        <f t="array" ref="E97">GEOMEAN(IF(C62:C97&gt;0,1+C62:C97))-1</f>
        <v>4.0897942389156006E-2</v>
      </c>
      <c r="F97">
        <f t="shared" si="0"/>
        <v>89.814263617755358</v>
      </c>
      <c r="G97" cm="1">
        <f t="array" ref="G97">GEOMEAN(IF(C62:C97&lt;0,1+B62:B97))-1</f>
        <v>-3.8669208103824126E-2</v>
      </c>
      <c r="H97" cm="1">
        <f t="array" ref="H97">GEOMEAN(IF(C62:C97&lt;0,1+C62:C97))-1</f>
        <v>-4.2877630259952171E-2</v>
      </c>
      <c r="I97">
        <f t="shared" si="1"/>
        <v>90.185040239831721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8EF4-44E5-4517-B933-0CF6DA265D66}">
  <dimension ref="A1:B97"/>
  <sheetViews>
    <sheetView workbookViewId="0">
      <selection activeCell="B3" sqref="B3"/>
    </sheetView>
  </sheetViews>
  <sheetFormatPr baseColWidth="10" defaultRowHeight="15" x14ac:dyDescent="0.2"/>
  <sheetData>
    <row r="1" spans="1:2" x14ac:dyDescent="0.2">
      <c r="A1" s="4" t="s">
        <v>79</v>
      </c>
      <c r="B1" s="4" t="s">
        <v>78</v>
      </c>
    </row>
    <row r="2" spans="1:2" x14ac:dyDescent="0.2">
      <c r="A2" s="3">
        <v>42736</v>
      </c>
      <c r="B2" s="2">
        <v>0.51</v>
      </c>
    </row>
    <row r="3" spans="1:2" x14ac:dyDescent="0.2">
      <c r="A3" s="3">
        <v>42767</v>
      </c>
      <c r="B3" s="2">
        <v>0.52</v>
      </c>
    </row>
    <row r="4" spans="1:2" x14ac:dyDescent="0.2">
      <c r="A4" s="3">
        <v>42795</v>
      </c>
      <c r="B4" s="2">
        <v>0.74</v>
      </c>
    </row>
    <row r="5" spans="1:2" x14ac:dyDescent="0.2">
      <c r="A5" s="3">
        <v>42826</v>
      </c>
      <c r="B5" s="2">
        <v>0.8</v>
      </c>
    </row>
    <row r="6" spans="1:2" x14ac:dyDescent="0.2">
      <c r="A6" s="3">
        <v>42856</v>
      </c>
      <c r="B6" s="2">
        <v>0.89</v>
      </c>
    </row>
    <row r="7" spans="1:2" x14ac:dyDescent="0.2">
      <c r="A7" s="3">
        <v>42887</v>
      </c>
      <c r="B7" s="2">
        <v>0.98</v>
      </c>
    </row>
    <row r="8" spans="1:2" x14ac:dyDescent="0.2">
      <c r="A8" s="3">
        <v>42917</v>
      </c>
      <c r="B8" s="2">
        <v>1.07</v>
      </c>
    </row>
    <row r="9" spans="1:2" x14ac:dyDescent="0.2">
      <c r="A9" s="3">
        <v>42948</v>
      </c>
      <c r="B9" s="2">
        <v>1.01</v>
      </c>
    </row>
    <row r="10" spans="1:2" x14ac:dyDescent="0.2">
      <c r="A10" s="3">
        <v>42979</v>
      </c>
      <c r="B10" s="2">
        <v>1.03</v>
      </c>
    </row>
    <row r="11" spans="1:2" x14ac:dyDescent="0.2">
      <c r="A11" s="3">
        <v>43009</v>
      </c>
      <c r="B11" s="2">
        <v>1.07</v>
      </c>
    </row>
    <row r="12" spans="1:2" x14ac:dyDescent="0.2">
      <c r="A12" s="3">
        <v>43040</v>
      </c>
      <c r="B12" s="2">
        <v>1.23</v>
      </c>
    </row>
    <row r="13" spans="1:2" x14ac:dyDescent="0.2">
      <c r="A13" s="3">
        <v>43070</v>
      </c>
      <c r="B13" s="2">
        <v>1.32</v>
      </c>
    </row>
    <row r="14" spans="1:2" x14ac:dyDescent="0.2">
      <c r="A14" s="3">
        <v>43101</v>
      </c>
      <c r="B14" s="2">
        <v>1.41</v>
      </c>
    </row>
    <row r="15" spans="1:2" x14ac:dyDescent="0.2">
      <c r="A15" s="3">
        <v>43132</v>
      </c>
      <c r="B15" s="2">
        <v>1.57</v>
      </c>
    </row>
    <row r="16" spans="1:2" x14ac:dyDescent="0.2">
      <c r="A16" s="3">
        <v>43160</v>
      </c>
      <c r="B16" s="2">
        <v>1.7</v>
      </c>
    </row>
    <row r="17" spans="1:2" x14ac:dyDescent="0.2">
      <c r="A17" s="3">
        <v>43191</v>
      </c>
      <c r="B17" s="2">
        <v>1.76</v>
      </c>
    </row>
    <row r="18" spans="1:2" x14ac:dyDescent="0.2">
      <c r="A18" s="3">
        <v>43221</v>
      </c>
      <c r="B18" s="2">
        <v>1.86</v>
      </c>
    </row>
    <row r="19" spans="1:2" x14ac:dyDescent="0.2">
      <c r="A19" s="3">
        <v>43252</v>
      </c>
      <c r="B19" s="2">
        <v>1.9</v>
      </c>
    </row>
    <row r="20" spans="1:2" x14ac:dyDescent="0.2">
      <c r="A20" s="3">
        <v>43282</v>
      </c>
      <c r="B20" s="2">
        <v>1.96</v>
      </c>
    </row>
    <row r="21" spans="1:2" x14ac:dyDescent="0.2">
      <c r="A21" s="3">
        <v>43313</v>
      </c>
      <c r="B21" s="2">
        <v>2.0299999999999998</v>
      </c>
    </row>
    <row r="22" spans="1:2" x14ac:dyDescent="0.2">
      <c r="A22" s="3">
        <v>43344</v>
      </c>
      <c r="B22" s="2">
        <v>2.13</v>
      </c>
    </row>
    <row r="23" spans="1:2" x14ac:dyDescent="0.2">
      <c r="A23" s="3">
        <v>43374</v>
      </c>
      <c r="B23" s="2">
        <v>2.25</v>
      </c>
    </row>
    <row r="24" spans="1:2" x14ac:dyDescent="0.2">
      <c r="A24" s="3">
        <v>43405</v>
      </c>
      <c r="B24" s="2">
        <v>2.33</v>
      </c>
    </row>
    <row r="25" spans="1:2" x14ac:dyDescent="0.2">
      <c r="A25" s="3">
        <v>43435</v>
      </c>
      <c r="B25" s="2">
        <v>2.37</v>
      </c>
    </row>
    <row r="26" spans="1:2" x14ac:dyDescent="0.2">
      <c r="A26" s="3">
        <v>43466</v>
      </c>
      <c r="B26" s="2">
        <v>2.37</v>
      </c>
    </row>
    <row r="27" spans="1:2" x14ac:dyDescent="0.2">
      <c r="A27" s="3">
        <v>43497</v>
      </c>
      <c r="B27" s="2">
        <v>2.39</v>
      </c>
    </row>
    <row r="28" spans="1:2" x14ac:dyDescent="0.2">
      <c r="A28" s="3">
        <v>43525</v>
      </c>
      <c r="B28" s="2">
        <v>2.4</v>
      </c>
    </row>
    <row r="29" spans="1:2" x14ac:dyDescent="0.2">
      <c r="A29" s="3">
        <v>43556</v>
      </c>
      <c r="B29" s="2">
        <v>2.38</v>
      </c>
    </row>
    <row r="30" spans="1:2" x14ac:dyDescent="0.2">
      <c r="A30" s="3">
        <v>43586</v>
      </c>
      <c r="B30" s="2">
        <v>2.35</v>
      </c>
    </row>
    <row r="31" spans="1:2" x14ac:dyDescent="0.2">
      <c r="A31" s="3">
        <v>43617</v>
      </c>
      <c r="B31" s="2">
        <v>2.17</v>
      </c>
    </row>
    <row r="32" spans="1:2" x14ac:dyDescent="0.2">
      <c r="A32" s="3">
        <v>43647</v>
      </c>
      <c r="B32" s="2">
        <v>2.1</v>
      </c>
    </row>
    <row r="33" spans="1:2" x14ac:dyDescent="0.2">
      <c r="A33" s="3">
        <v>43678</v>
      </c>
      <c r="B33" s="2">
        <v>1.95</v>
      </c>
    </row>
    <row r="34" spans="1:2" x14ac:dyDescent="0.2">
      <c r="A34" s="3">
        <v>43709</v>
      </c>
      <c r="B34" s="2">
        <v>1.89</v>
      </c>
    </row>
    <row r="35" spans="1:2" x14ac:dyDescent="0.2">
      <c r="A35" s="3">
        <v>43739</v>
      </c>
      <c r="B35" s="2">
        <v>1.65</v>
      </c>
    </row>
    <row r="36" spans="1:2" x14ac:dyDescent="0.2">
      <c r="A36" s="3">
        <v>43770</v>
      </c>
      <c r="B36" s="2">
        <v>1.54</v>
      </c>
    </row>
    <row r="37" spans="1:2" x14ac:dyDescent="0.2">
      <c r="A37" s="3">
        <v>43800</v>
      </c>
      <c r="B37" s="2">
        <v>1.54</v>
      </c>
    </row>
    <row r="38" spans="1:2" x14ac:dyDescent="0.2">
      <c r="A38" s="3">
        <v>43831</v>
      </c>
      <c r="B38" s="2">
        <v>1.52</v>
      </c>
    </row>
    <row r="39" spans="1:2" x14ac:dyDescent="0.2">
      <c r="A39" s="3">
        <v>43862</v>
      </c>
      <c r="B39" s="2">
        <v>1.52</v>
      </c>
    </row>
    <row r="40" spans="1:2" x14ac:dyDescent="0.2">
      <c r="A40" s="3">
        <v>43891</v>
      </c>
      <c r="B40" s="2">
        <v>0.28999999999999998</v>
      </c>
    </row>
    <row r="41" spans="1:2" x14ac:dyDescent="0.2">
      <c r="A41" s="3">
        <v>43922</v>
      </c>
      <c r="B41" s="2">
        <v>0.14000000000000001</v>
      </c>
    </row>
    <row r="42" spans="1:2" x14ac:dyDescent="0.2">
      <c r="A42" s="3">
        <v>43952</v>
      </c>
      <c r="B42" s="2">
        <v>0.13</v>
      </c>
    </row>
    <row r="43" spans="1:2" x14ac:dyDescent="0.2">
      <c r="A43" s="3">
        <v>43983</v>
      </c>
      <c r="B43" s="2">
        <v>0.16</v>
      </c>
    </row>
    <row r="44" spans="1:2" x14ac:dyDescent="0.2">
      <c r="A44" s="3">
        <v>44013</v>
      </c>
      <c r="B44" s="2">
        <v>0.13</v>
      </c>
    </row>
    <row r="45" spans="1:2" x14ac:dyDescent="0.2">
      <c r="A45" s="3">
        <v>44044</v>
      </c>
      <c r="B45" s="2">
        <v>0.1</v>
      </c>
    </row>
    <row r="46" spans="1:2" x14ac:dyDescent="0.2">
      <c r="A46" s="3">
        <v>44075</v>
      </c>
      <c r="B46" s="2">
        <v>0.11</v>
      </c>
    </row>
    <row r="47" spans="1:2" x14ac:dyDescent="0.2">
      <c r="A47" s="3">
        <v>44105</v>
      </c>
      <c r="B47" s="2">
        <v>0.1</v>
      </c>
    </row>
    <row r="48" spans="1:2" x14ac:dyDescent="0.2">
      <c r="A48" s="3">
        <v>44136</v>
      </c>
      <c r="B48" s="2">
        <v>0.09</v>
      </c>
    </row>
    <row r="49" spans="1:2" x14ac:dyDescent="0.2">
      <c r="A49" s="3">
        <v>44166</v>
      </c>
      <c r="B49" s="2">
        <v>0.09</v>
      </c>
    </row>
    <row r="50" spans="1:2" x14ac:dyDescent="0.2">
      <c r="A50" s="3">
        <v>44197</v>
      </c>
      <c r="B50" s="2">
        <v>0.08</v>
      </c>
    </row>
    <row r="51" spans="1:2" x14ac:dyDescent="0.2">
      <c r="A51" s="3">
        <v>44228</v>
      </c>
      <c r="B51" s="2">
        <v>0.04</v>
      </c>
    </row>
    <row r="52" spans="1:2" x14ac:dyDescent="0.2">
      <c r="A52" s="3">
        <v>44256</v>
      </c>
      <c r="B52" s="2">
        <v>0.03</v>
      </c>
    </row>
    <row r="53" spans="1:2" x14ac:dyDescent="0.2">
      <c r="A53" s="3">
        <v>44287</v>
      </c>
      <c r="B53" s="2">
        <v>0.02</v>
      </c>
    </row>
    <row r="54" spans="1:2" x14ac:dyDescent="0.2">
      <c r="A54" s="3">
        <v>44317</v>
      </c>
      <c r="B54" s="2">
        <v>0.02</v>
      </c>
    </row>
    <row r="55" spans="1:2" x14ac:dyDescent="0.2">
      <c r="A55" s="3">
        <v>44348</v>
      </c>
      <c r="B55" s="2">
        <v>0.04</v>
      </c>
    </row>
    <row r="56" spans="1:2" x14ac:dyDescent="0.2">
      <c r="A56" s="3">
        <v>44378</v>
      </c>
      <c r="B56" s="2">
        <v>0.05</v>
      </c>
    </row>
    <row r="57" spans="1:2" x14ac:dyDescent="0.2">
      <c r="A57" s="3">
        <v>44409</v>
      </c>
      <c r="B57" s="2">
        <v>0.05</v>
      </c>
    </row>
    <row r="58" spans="1:2" x14ac:dyDescent="0.2">
      <c r="A58" s="3">
        <v>44440</v>
      </c>
      <c r="B58" s="2">
        <v>0.04</v>
      </c>
    </row>
    <row r="59" spans="1:2" x14ac:dyDescent="0.2">
      <c r="A59" s="3">
        <v>44470</v>
      </c>
      <c r="B59" s="2">
        <v>0.05</v>
      </c>
    </row>
    <row r="60" spans="1:2" x14ac:dyDescent="0.2">
      <c r="A60" s="3">
        <v>44501</v>
      </c>
      <c r="B60" s="2">
        <v>0.05</v>
      </c>
    </row>
    <row r="61" spans="1:2" x14ac:dyDescent="0.2">
      <c r="A61" s="3">
        <v>44531</v>
      </c>
      <c r="B61" s="2">
        <v>0.06</v>
      </c>
    </row>
    <row r="62" spans="1:2" x14ac:dyDescent="0.2">
      <c r="A62" s="3">
        <v>44562</v>
      </c>
      <c r="B62" s="2">
        <v>0.15</v>
      </c>
    </row>
    <row r="63" spans="1:2" x14ac:dyDescent="0.2">
      <c r="A63" s="3">
        <v>44593</v>
      </c>
      <c r="B63" s="2">
        <v>0.33</v>
      </c>
    </row>
    <row r="64" spans="1:2" x14ac:dyDescent="0.2">
      <c r="A64" s="3">
        <v>44621</v>
      </c>
      <c r="B64" s="2">
        <v>0.44</v>
      </c>
    </row>
    <row r="65" spans="1:2" x14ac:dyDescent="0.2">
      <c r="A65" s="3">
        <v>44652</v>
      </c>
      <c r="B65" s="2">
        <v>0.76</v>
      </c>
    </row>
    <row r="66" spans="1:2" x14ac:dyDescent="0.2">
      <c r="A66" s="3">
        <v>44682</v>
      </c>
      <c r="B66" s="2">
        <v>0.98</v>
      </c>
    </row>
    <row r="67" spans="1:2" x14ac:dyDescent="0.2">
      <c r="A67" s="3">
        <v>44713</v>
      </c>
      <c r="B67" s="2">
        <v>1.49</v>
      </c>
    </row>
    <row r="68" spans="1:2" x14ac:dyDescent="0.2">
      <c r="A68" s="3">
        <v>44743</v>
      </c>
      <c r="B68" s="2">
        <v>2.23</v>
      </c>
    </row>
    <row r="69" spans="1:2" x14ac:dyDescent="0.2">
      <c r="A69" s="3">
        <v>44774</v>
      </c>
      <c r="B69" s="2">
        <v>2.63</v>
      </c>
    </row>
    <row r="70" spans="1:2" x14ac:dyDescent="0.2">
      <c r="A70" s="3">
        <v>44805</v>
      </c>
      <c r="B70" s="2">
        <v>3.13</v>
      </c>
    </row>
    <row r="71" spans="1:2" x14ac:dyDescent="0.2">
      <c r="A71" s="3">
        <v>44835</v>
      </c>
      <c r="B71" s="2">
        <v>3.72</v>
      </c>
    </row>
    <row r="72" spans="1:2" x14ac:dyDescent="0.2">
      <c r="A72" s="3">
        <v>44866</v>
      </c>
      <c r="B72" s="2">
        <v>4.1500000000000004</v>
      </c>
    </row>
    <row r="73" spans="1:2" x14ac:dyDescent="0.2">
      <c r="A73" s="3">
        <v>44896</v>
      </c>
      <c r="B73" s="2">
        <v>4.25</v>
      </c>
    </row>
    <row r="74" spans="1:2" x14ac:dyDescent="0.2">
      <c r="A74" s="3">
        <v>44927</v>
      </c>
      <c r="B74" s="2">
        <v>4.54</v>
      </c>
    </row>
    <row r="75" spans="1:2" x14ac:dyDescent="0.2">
      <c r="A75" s="3">
        <v>44958</v>
      </c>
      <c r="B75" s="2">
        <v>4.6500000000000004</v>
      </c>
    </row>
    <row r="76" spans="1:2" x14ac:dyDescent="0.2">
      <c r="A76" s="3">
        <v>44986</v>
      </c>
      <c r="B76" s="2">
        <v>4.6900000000000004</v>
      </c>
    </row>
    <row r="77" spans="1:2" x14ac:dyDescent="0.2">
      <c r="A77" s="3">
        <v>45017</v>
      </c>
      <c r="B77" s="2">
        <v>4.92</v>
      </c>
    </row>
    <row r="78" spans="1:2" x14ac:dyDescent="0.2">
      <c r="A78" s="3">
        <v>45047</v>
      </c>
      <c r="B78" s="2">
        <v>5.14</v>
      </c>
    </row>
    <row r="79" spans="1:2" x14ac:dyDescent="0.2">
      <c r="A79" s="3">
        <v>45078</v>
      </c>
      <c r="B79" s="2">
        <v>5.16</v>
      </c>
    </row>
    <row r="80" spans="1:2" x14ac:dyDescent="0.2">
      <c r="A80" s="3">
        <v>45108</v>
      </c>
      <c r="B80" s="2">
        <v>5.25</v>
      </c>
    </row>
    <row r="81" spans="1:2" x14ac:dyDescent="0.2">
      <c r="A81" s="3">
        <v>45139</v>
      </c>
      <c r="B81" s="2">
        <v>5.3</v>
      </c>
    </row>
    <row r="82" spans="1:2" x14ac:dyDescent="0.2">
      <c r="A82" s="3">
        <v>45170</v>
      </c>
      <c r="B82" s="2">
        <v>5.32</v>
      </c>
    </row>
    <row r="83" spans="1:2" x14ac:dyDescent="0.2">
      <c r="A83" s="3">
        <v>45200</v>
      </c>
      <c r="B83" s="2">
        <v>5.34</v>
      </c>
    </row>
    <row r="84" spans="1:2" x14ac:dyDescent="0.2">
      <c r="A84" s="3">
        <v>45231</v>
      </c>
      <c r="B84" s="2">
        <v>5.27</v>
      </c>
    </row>
    <row r="85" spans="1:2" x14ac:dyDescent="0.2">
      <c r="A85" s="3">
        <v>45261</v>
      </c>
      <c r="B85" s="2">
        <v>5.24</v>
      </c>
    </row>
    <row r="86" spans="1:2" x14ac:dyDescent="0.2">
      <c r="A86" s="3">
        <v>45292</v>
      </c>
      <c r="B86" s="2">
        <v>5.22</v>
      </c>
    </row>
    <row r="87" spans="1:2" x14ac:dyDescent="0.2">
      <c r="A87" s="3">
        <v>45323</v>
      </c>
      <c r="B87" s="2">
        <v>5.24</v>
      </c>
    </row>
    <row r="88" spans="1:2" x14ac:dyDescent="0.2">
      <c r="A88" s="3">
        <v>45352</v>
      </c>
      <c r="B88" s="2">
        <v>5.24</v>
      </c>
    </row>
    <row r="89" spans="1:2" x14ac:dyDescent="0.2">
      <c r="A89" s="3">
        <v>45383</v>
      </c>
      <c r="B89" s="2">
        <v>5.24</v>
      </c>
    </row>
    <row r="90" spans="1:2" x14ac:dyDescent="0.2">
      <c r="A90" s="3">
        <v>45413</v>
      </c>
      <c r="B90" s="2">
        <v>5.25</v>
      </c>
    </row>
    <row r="91" spans="1:2" x14ac:dyDescent="0.2">
      <c r="A91" s="3">
        <v>45444</v>
      </c>
      <c r="B91" s="2">
        <v>5.24</v>
      </c>
    </row>
    <row r="92" spans="1:2" x14ac:dyDescent="0.2">
      <c r="A92" s="3">
        <v>45474</v>
      </c>
      <c r="B92" s="2">
        <v>5.2</v>
      </c>
    </row>
    <row r="93" spans="1:2" x14ac:dyDescent="0.2">
      <c r="A93" s="3">
        <v>45505</v>
      </c>
      <c r="B93" s="2">
        <v>5.05</v>
      </c>
    </row>
    <row r="94" spans="1:2" x14ac:dyDescent="0.2">
      <c r="A94" s="3">
        <v>45536</v>
      </c>
      <c r="B94" s="2">
        <v>4.72</v>
      </c>
    </row>
    <row r="95" spans="1:2" x14ac:dyDescent="0.2">
      <c r="A95" s="3">
        <v>45566</v>
      </c>
      <c r="B95" s="2">
        <v>4.51</v>
      </c>
    </row>
    <row r="96" spans="1:2" x14ac:dyDescent="0.2">
      <c r="A96" s="3">
        <v>45597</v>
      </c>
      <c r="B96" s="2">
        <v>4.42</v>
      </c>
    </row>
    <row r="97" spans="1:2" x14ac:dyDescent="0.2">
      <c r="A97" s="3">
        <v>45627</v>
      </c>
      <c r="B97" s="2">
        <v>4.2699999999999996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73CA-68B1-4B98-958C-0A8FA109A816}">
  <dimension ref="A1:B97"/>
  <sheetViews>
    <sheetView workbookViewId="0">
      <selection activeCell="B27" sqref="B27:B31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80</v>
      </c>
      <c r="B2">
        <v>18.61</v>
      </c>
    </row>
    <row r="3" spans="1:2" x14ac:dyDescent="0.2">
      <c r="A3" t="s">
        <v>81</v>
      </c>
      <c r="B3">
        <v>19.12</v>
      </c>
    </row>
    <row r="4" spans="1:2" x14ac:dyDescent="0.2">
      <c r="A4" t="s">
        <v>82</v>
      </c>
      <c r="B4">
        <v>19.25</v>
      </c>
    </row>
    <row r="5" spans="1:2" x14ac:dyDescent="0.2">
      <c r="A5" t="s">
        <v>83</v>
      </c>
      <c r="B5">
        <v>19.62</v>
      </c>
    </row>
    <row r="6" spans="1:2" x14ac:dyDescent="0.2">
      <c r="A6" t="s">
        <v>84</v>
      </c>
      <c r="B6">
        <v>19.920000000000002</v>
      </c>
    </row>
    <row r="7" spans="1:2" x14ac:dyDescent="0.2">
      <c r="A7" t="s">
        <v>85</v>
      </c>
      <c r="B7">
        <v>20.16</v>
      </c>
    </row>
    <row r="8" spans="1:2" x14ac:dyDescent="0.2">
      <c r="A8" t="s">
        <v>86</v>
      </c>
      <c r="B8">
        <v>20.69</v>
      </c>
    </row>
    <row r="9" spans="1:2" x14ac:dyDescent="0.2">
      <c r="A9" t="s">
        <v>87</v>
      </c>
      <c r="B9">
        <v>20.63</v>
      </c>
    </row>
    <row r="10" spans="1:2" x14ac:dyDescent="0.2">
      <c r="A10" t="s">
        <v>88</v>
      </c>
      <c r="B10">
        <v>21.37</v>
      </c>
    </row>
    <row r="11" spans="1:2" x14ac:dyDescent="0.2">
      <c r="A11" t="s">
        <v>89</v>
      </c>
      <c r="B11">
        <v>21.81</v>
      </c>
    </row>
    <row r="12" spans="1:2" x14ac:dyDescent="0.2">
      <c r="A12" t="s">
        <v>90</v>
      </c>
      <c r="B12">
        <v>22.13</v>
      </c>
    </row>
    <row r="13" spans="1:2" x14ac:dyDescent="0.2">
      <c r="A13" t="s">
        <v>91</v>
      </c>
      <c r="B13">
        <v>22.58</v>
      </c>
    </row>
    <row r="14" spans="1:2" x14ac:dyDescent="0.2">
      <c r="A14" t="s">
        <v>92</v>
      </c>
      <c r="B14">
        <v>23.92</v>
      </c>
    </row>
    <row r="15" spans="1:2" x14ac:dyDescent="0.2">
      <c r="A15" t="s">
        <v>93</v>
      </c>
      <c r="B15">
        <v>22.99</v>
      </c>
    </row>
    <row r="16" spans="1:2" x14ac:dyDescent="0.2">
      <c r="A16" t="s">
        <v>94</v>
      </c>
      <c r="B16">
        <v>22.27</v>
      </c>
    </row>
    <row r="17" spans="1:2" x14ac:dyDescent="0.2">
      <c r="A17" t="s">
        <v>95</v>
      </c>
      <c r="B17">
        <v>22.97</v>
      </c>
    </row>
    <row r="18" spans="1:2" x14ac:dyDescent="0.2">
      <c r="A18" t="s">
        <v>96</v>
      </c>
      <c r="B18">
        <v>23.26</v>
      </c>
    </row>
    <row r="19" spans="1:2" x14ac:dyDescent="0.2">
      <c r="A19" t="s">
        <v>97</v>
      </c>
      <c r="B19">
        <v>23</v>
      </c>
    </row>
    <row r="20" spans="1:2" x14ac:dyDescent="0.2">
      <c r="A20" t="s">
        <v>98</v>
      </c>
      <c r="B20">
        <v>23.57</v>
      </c>
    </row>
    <row r="21" spans="1:2" x14ac:dyDescent="0.2">
      <c r="A21" t="s">
        <v>99</v>
      </c>
      <c r="B21">
        <v>24.02</v>
      </c>
    </row>
    <row r="22" spans="1:2" x14ac:dyDescent="0.2">
      <c r="A22" t="s">
        <v>100</v>
      </c>
      <c r="B22">
        <v>23.94</v>
      </c>
    </row>
    <row r="23" spans="1:2" x14ac:dyDescent="0.2">
      <c r="A23" t="s">
        <v>101</v>
      </c>
      <c r="B23">
        <v>21.94</v>
      </c>
    </row>
    <row r="24" spans="1:2" x14ac:dyDescent="0.2">
      <c r="A24" t="s">
        <v>102</v>
      </c>
      <c r="B24">
        <v>21.75</v>
      </c>
    </row>
    <row r="25" spans="1:2" x14ac:dyDescent="0.2">
      <c r="A25" t="s">
        <v>2</v>
      </c>
      <c r="B25">
        <v>19.920000000000002</v>
      </c>
    </row>
    <row r="26" spans="1:2" x14ac:dyDescent="0.2">
      <c r="A26" t="s">
        <v>3</v>
      </c>
      <c r="B26">
        <v>21.75</v>
      </c>
    </row>
    <row r="27" spans="1:2" x14ac:dyDescent="0.2">
      <c r="A27" t="s">
        <v>4</v>
      </c>
      <c r="B27">
        <v>22.36</v>
      </c>
    </row>
    <row r="28" spans="1:2" x14ac:dyDescent="0.2">
      <c r="A28" t="s">
        <v>5</v>
      </c>
      <c r="B28">
        <v>22.32</v>
      </c>
    </row>
    <row r="29" spans="1:2" x14ac:dyDescent="0.2">
      <c r="A29" t="s">
        <v>6</v>
      </c>
      <c r="B29">
        <v>23.04</v>
      </c>
    </row>
    <row r="30" spans="1:2" x14ac:dyDescent="0.2">
      <c r="A30" t="s">
        <v>7</v>
      </c>
      <c r="B30">
        <v>21.37</v>
      </c>
    </row>
    <row r="31" spans="1:2" x14ac:dyDescent="0.2">
      <c r="A31" t="s">
        <v>8</v>
      </c>
      <c r="B31">
        <v>22.62</v>
      </c>
    </row>
    <row r="32" spans="1:2" x14ac:dyDescent="0.2">
      <c r="A32" t="s">
        <v>9</v>
      </c>
      <c r="B32">
        <v>23.02</v>
      </c>
    </row>
    <row r="33" spans="1:2" x14ac:dyDescent="0.2">
      <c r="A33" t="s">
        <v>10</v>
      </c>
      <c r="B33">
        <v>22.27</v>
      </c>
    </row>
    <row r="34" spans="1:2" x14ac:dyDescent="0.2">
      <c r="A34" t="s">
        <v>11</v>
      </c>
      <c r="B34">
        <v>22.55</v>
      </c>
    </row>
    <row r="35" spans="1:2" x14ac:dyDescent="0.2">
      <c r="A35" t="s">
        <v>12</v>
      </c>
      <c r="B35">
        <v>23.07</v>
      </c>
    </row>
    <row r="36" spans="1:2" x14ac:dyDescent="0.2">
      <c r="A36" t="s">
        <v>13</v>
      </c>
      <c r="B36">
        <v>23.78</v>
      </c>
    </row>
    <row r="37" spans="1:2" x14ac:dyDescent="0.2">
      <c r="A37" t="s">
        <v>14</v>
      </c>
      <c r="B37">
        <v>24.22</v>
      </c>
    </row>
    <row r="38" spans="1:2" x14ac:dyDescent="0.2">
      <c r="A38" t="s">
        <v>15</v>
      </c>
      <c r="B38">
        <v>24.24</v>
      </c>
    </row>
    <row r="39" spans="1:2" x14ac:dyDescent="0.2">
      <c r="A39" t="s">
        <v>16</v>
      </c>
      <c r="B39">
        <v>21.61</v>
      </c>
    </row>
    <row r="40" spans="1:2" x14ac:dyDescent="0.2">
      <c r="A40" t="s">
        <v>17</v>
      </c>
      <c r="B40">
        <v>18.559999999999999</v>
      </c>
    </row>
    <row r="41" spans="1:2" x14ac:dyDescent="0.2">
      <c r="A41" t="s">
        <v>18</v>
      </c>
      <c r="B41">
        <v>20.76</v>
      </c>
    </row>
    <row r="42" spans="1:2" x14ac:dyDescent="0.2">
      <c r="A42" t="s">
        <v>19</v>
      </c>
      <c r="B42">
        <v>21.86</v>
      </c>
    </row>
    <row r="43" spans="1:2" x14ac:dyDescent="0.2">
      <c r="A43" t="s">
        <v>20</v>
      </c>
      <c r="B43">
        <v>22.49</v>
      </c>
    </row>
    <row r="44" spans="1:2" x14ac:dyDescent="0.2">
      <c r="A44" t="s">
        <v>21</v>
      </c>
      <c r="B44">
        <v>24.01</v>
      </c>
    </row>
    <row r="45" spans="1:2" x14ac:dyDescent="0.2">
      <c r="A45" t="s">
        <v>75</v>
      </c>
      <c r="B45">
        <v>25.28</v>
      </c>
    </row>
    <row r="46" spans="1:2" x14ac:dyDescent="0.2">
      <c r="A46" t="s">
        <v>22</v>
      </c>
      <c r="B46">
        <v>24.88</v>
      </c>
    </row>
    <row r="47" spans="1:2" x14ac:dyDescent="0.2">
      <c r="A47" t="s">
        <v>23</v>
      </c>
      <c r="B47">
        <v>23.89</v>
      </c>
    </row>
    <row r="48" spans="1:2" x14ac:dyDescent="0.2">
      <c r="A48" t="s">
        <v>24</v>
      </c>
      <c r="B48">
        <v>26.55</v>
      </c>
    </row>
    <row r="49" spans="1:2" x14ac:dyDescent="0.2">
      <c r="A49" t="s">
        <v>25</v>
      </c>
      <c r="B49">
        <v>27.39</v>
      </c>
    </row>
    <row r="50" spans="1:2" x14ac:dyDescent="0.2">
      <c r="A50" t="s">
        <v>26</v>
      </c>
      <c r="B50">
        <v>27.78</v>
      </c>
    </row>
    <row r="51" spans="1:2" x14ac:dyDescent="0.2">
      <c r="A51" t="s">
        <v>27</v>
      </c>
      <c r="B51">
        <v>28.32</v>
      </c>
    </row>
    <row r="52" spans="1:2" x14ac:dyDescent="0.2">
      <c r="A52" t="s">
        <v>28</v>
      </c>
      <c r="B52">
        <v>29.04</v>
      </c>
    </row>
    <row r="53" spans="1:2" x14ac:dyDescent="0.2">
      <c r="A53" t="s">
        <v>29</v>
      </c>
      <c r="B53">
        <v>30.65</v>
      </c>
    </row>
    <row r="54" spans="1:2" x14ac:dyDescent="0.2">
      <c r="A54" t="s">
        <v>76</v>
      </c>
      <c r="B54">
        <v>30.89</v>
      </c>
    </row>
    <row r="55" spans="1:2" x14ac:dyDescent="0.2">
      <c r="A55" t="s">
        <v>30</v>
      </c>
      <c r="B55">
        <v>31.25</v>
      </c>
    </row>
    <row r="56" spans="1:2" x14ac:dyDescent="0.2">
      <c r="A56" t="s">
        <v>31</v>
      </c>
      <c r="B56">
        <v>32.049999999999997</v>
      </c>
    </row>
    <row r="57" spans="1:2" x14ac:dyDescent="0.2">
      <c r="A57" t="s">
        <v>32</v>
      </c>
      <c r="B57">
        <v>32.93</v>
      </c>
    </row>
    <row r="58" spans="1:2" x14ac:dyDescent="0.2">
      <c r="A58" t="s">
        <v>33</v>
      </c>
      <c r="B58">
        <v>31.62</v>
      </c>
    </row>
    <row r="59" spans="1:2" x14ac:dyDescent="0.2">
      <c r="A59" t="s">
        <v>34</v>
      </c>
      <c r="B59">
        <v>32.49</v>
      </c>
    </row>
    <row r="60" spans="1:2" x14ac:dyDescent="0.2">
      <c r="A60" t="s">
        <v>35</v>
      </c>
      <c r="B60">
        <v>32.25</v>
      </c>
    </row>
    <row r="61" spans="1:2" x14ac:dyDescent="0.2">
      <c r="A61" t="s">
        <v>36</v>
      </c>
      <c r="B61">
        <v>33.450000000000003</v>
      </c>
    </row>
    <row r="62" spans="1:2" x14ac:dyDescent="0.2">
      <c r="A62" t="s">
        <v>37</v>
      </c>
      <c r="B62">
        <v>30.89</v>
      </c>
    </row>
    <row r="63" spans="1:2" x14ac:dyDescent="0.2">
      <c r="A63" t="s">
        <v>38</v>
      </c>
      <c r="B63">
        <v>30.36</v>
      </c>
    </row>
    <row r="64" spans="1:2" x14ac:dyDescent="0.2">
      <c r="A64" t="s">
        <v>39</v>
      </c>
      <c r="B64">
        <v>31.61</v>
      </c>
    </row>
    <row r="65" spans="1:2" x14ac:dyDescent="0.2">
      <c r="A65" t="s">
        <v>40</v>
      </c>
      <c r="B65">
        <v>29.45</v>
      </c>
    </row>
    <row r="66" spans="1:2" x14ac:dyDescent="0.2">
      <c r="A66" t="s">
        <v>41</v>
      </c>
      <c r="B66">
        <v>28.58</v>
      </c>
    </row>
    <row r="67" spans="1:2" x14ac:dyDescent="0.2">
      <c r="A67" t="s">
        <v>42</v>
      </c>
      <c r="B67">
        <v>25.49</v>
      </c>
    </row>
    <row r="68" spans="1:2" x14ac:dyDescent="0.2">
      <c r="A68" t="s">
        <v>43</v>
      </c>
      <c r="B68">
        <v>27.37</v>
      </c>
    </row>
    <row r="69" spans="1:2" x14ac:dyDescent="0.2">
      <c r="A69" t="s">
        <v>44</v>
      </c>
      <c r="B69">
        <v>26.83</v>
      </c>
    </row>
    <row r="70" spans="1:2" x14ac:dyDescent="0.2">
      <c r="A70" t="s">
        <v>45</v>
      </c>
      <c r="B70">
        <v>24.45</v>
      </c>
    </row>
    <row r="71" spans="1:2" x14ac:dyDescent="0.2">
      <c r="A71" t="s">
        <v>46</v>
      </c>
      <c r="B71">
        <v>25.96</v>
      </c>
    </row>
    <row r="72" spans="1:2" x14ac:dyDescent="0.2">
      <c r="A72" t="s">
        <v>47</v>
      </c>
      <c r="B72">
        <v>27.1</v>
      </c>
    </row>
    <row r="73" spans="1:2" x14ac:dyDescent="0.2">
      <c r="A73" t="s">
        <v>48</v>
      </c>
      <c r="B73">
        <v>26.38</v>
      </c>
    </row>
    <row r="74" spans="1:2" x14ac:dyDescent="0.2">
      <c r="A74" t="s">
        <v>49</v>
      </c>
      <c r="B74">
        <v>28.26</v>
      </c>
    </row>
    <row r="75" spans="1:2" x14ac:dyDescent="0.2">
      <c r="A75" t="s">
        <v>50</v>
      </c>
      <c r="B75">
        <v>28.02</v>
      </c>
    </row>
    <row r="76" spans="1:2" x14ac:dyDescent="0.2">
      <c r="A76" t="s">
        <v>51</v>
      </c>
      <c r="B76">
        <v>28.28</v>
      </c>
    </row>
    <row r="77" spans="1:2" x14ac:dyDescent="0.2">
      <c r="A77" t="s">
        <v>52</v>
      </c>
      <c r="B77">
        <v>28.56</v>
      </c>
    </row>
    <row r="78" spans="1:2" x14ac:dyDescent="0.2">
      <c r="A78" t="s">
        <v>53</v>
      </c>
      <c r="B78">
        <v>28.62</v>
      </c>
    </row>
    <row r="79" spans="1:2" x14ac:dyDescent="0.2">
      <c r="A79" t="s">
        <v>54</v>
      </c>
      <c r="B79">
        <v>30.44</v>
      </c>
    </row>
    <row r="80" spans="1:2" x14ac:dyDescent="0.2">
      <c r="A80" t="s">
        <v>55</v>
      </c>
      <c r="B80">
        <v>31.36</v>
      </c>
    </row>
    <row r="81" spans="1:2" x14ac:dyDescent="0.2">
      <c r="A81" t="s">
        <v>56</v>
      </c>
      <c r="B81">
        <v>30.59</v>
      </c>
    </row>
    <row r="82" spans="1:2" x14ac:dyDescent="0.2">
      <c r="A82" t="s">
        <v>57</v>
      </c>
      <c r="B82">
        <v>29.7</v>
      </c>
    </row>
    <row r="83" spans="1:2" x14ac:dyDescent="0.2">
      <c r="A83" t="s">
        <v>58</v>
      </c>
      <c r="B83">
        <v>28.48</v>
      </c>
    </row>
    <row r="84" spans="1:2" x14ac:dyDescent="0.2">
      <c r="A84" t="s">
        <v>59</v>
      </c>
      <c r="B84">
        <v>30.98</v>
      </c>
    </row>
    <row r="85" spans="1:2" x14ac:dyDescent="0.2">
      <c r="A85" t="s">
        <v>60</v>
      </c>
      <c r="B85">
        <v>32.619999999999997</v>
      </c>
    </row>
    <row r="86" spans="1:2" x14ac:dyDescent="0.2">
      <c r="A86" t="s">
        <v>61</v>
      </c>
      <c r="B86">
        <v>33.43</v>
      </c>
    </row>
    <row r="87" spans="1:2" x14ac:dyDescent="0.2">
      <c r="A87" t="s">
        <v>62</v>
      </c>
      <c r="B87">
        <v>35.03</v>
      </c>
    </row>
    <row r="88" spans="1:2" x14ac:dyDescent="0.2">
      <c r="A88" t="s">
        <v>77</v>
      </c>
      <c r="B88">
        <v>36.340000000000003</v>
      </c>
    </row>
    <row r="89" spans="1:2" x14ac:dyDescent="0.2">
      <c r="A89" t="s">
        <v>63</v>
      </c>
      <c r="B89">
        <v>35.15</v>
      </c>
    </row>
    <row r="90" spans="1:2" x14ac:dyDescent="0.2">
      <c r="A90" t="s">
        <v>64</v>
      </c>
      <c r="B90">
        <v>36.42</v>
      </c>
    </row>
    <row r="91" spans="1:2" x14ac:dyDescent="0.2">
      <c r="A91" t="s">
        <v>65</v>
      </c>
      <c r="B91">
        <v>37.67</v>
      </c>
    </row>
    <row r="92" spans="1:2" x14ac:dyDescent="0.2">
      <c r="A92" t="s">
        <v>66</v>
      </c>
      <c r="B92">
        <v>37.659999999999997</v>
      </c>
    </row>
    <row r="93" spans="1:2" x14ac:dyDescent="0.2">
      <c r="A93" t="s">
        <v>67</v>
      </c>
      <c r="B93">
        <v>38.67</v>
      </c>
    </row>
    <row r="94" spans="1:2" x14ac:dyDescent="0.2">
      <c r="A94" t="s">
        <v>68</v>
      </c>
      <c r="B94">
        <v>38.99</v>
      </c>
    </row>
    <row r="95" spans="1:2" x14ac:dyDescent="0.2">
      <c r="A95" t="s">
        <v>69</v>
      </c>
      <c r="B95">
        <v>38.35</v>
      </c>
    </row>
    <row r="96" spans="1:2" x14ac:dyDescent="0.2">
      <c r="A96" t="s">
        <v>70</v>
      </c>
      <c r="B96">
        <v>40.17</v>
      </c>
    </row>
    <row r="97" spans="1:2" x14ac:dyDescent="0.2">
      <c r="A97" t="s">
        <v>71</v>
      </c>
      <c r="B97">
        <v>39.49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9D08-DAA3-4574-B49F-505BAADA30A2}">
  <dimension ref="A1:C97"/>
  <sheetViews>
    <sheetView workbookViewId="0">
      <selection activeCell="C2" sqref="C2"/>
    </sheetView>
  </sheetViews>
  <sheetFormatPr baseColWidth="10" defaultRowHeight="15" x14ac:dyDescent="0.2"/>
  <sheetData>
    <row r="1" spans="1:3" ht="32" x14ac:dyDescent="0.2">
      <c r="A1" s="6" t="s">
        <v>0</v>
      </c>
      <c r="B1" s="5" t="s">
        <v>74</v>
      </c>
    </row>
    <row r="2" spans="1:3" x14ac:dyDescent="0.2">
      <c r="A2" t="s">
        <v>80</v>
      </c>
      <c r="B2">
        <v>4960.508237</v>
      </c>
      <c r="C2" t="b">
        <f>A2=GSCEQBA_Monthly!A2</f>
        <v>1</v>
      </c>
    </row>
    <row r="3" spans="1:3" x14ac:dyDescent="0.2">
      <c r="A3" t="s">
        <v>81</v>
      </c>
      <c r="B3">
        <v>5098.1297530000002</v>
      </c>
      <c r="C3" t="b">
        <f>A3=GSCEQBA_Monthly!A3</f>
        <v>1</v>
      </c>
    </row>
    <row r="4" spans="1:3" x14ac:dyDescent="0.2">
      <c r="A4" t="s">
        <v>82</v>
      </c>
      <c r="B4">
        <v>5152.4345370000001</v>
      </c>
      <c r="C4" t="b">
        <f>A4=GSCEQBA_Monthly!A4</f>
        <v>1</v>
      </c>
    </row>
    <row r="5" spans="1:3" x14ac:dyDescent="0.2">
      <c r="A5" t="s">
        <v>83</v>
      </c>
      <c r="B5">
        <v>5228.7259949999998</v>
      </c>
      <c r="C5" t="b">
        <f>A5=GSCEQBA_Monthly!A5</f>
        <v>1</v>
      </c>
    </row>
    <row r="6" spans="1:3" x14ac:dyDescent="0.2">
      <c r="A6" t="s">
        <v>84</v>
      </c>
      <c r="B6">
        <v>5339.337031</v>
      </c>
      <c r="C6" t="b">
        <f>A6=GSCEQBA_Monthly!A6</f>
        <v>1</v>
      </c>
    </row>
    <row r="7" spans="1:3" x14ac:dyDescent="0.2">
      <c r="A7" t="s">
        <v>85</v>
      </c>
      <c r="B7">
        <v>5359.8801370000001</v>
      </c>
      <c r="C7" t="b">
        <f>A7=GSCEQBA_Monthly!A7</f>
        <v>1</v>
      </c>
    </row>
    <row r="8" spans="1:3" x14ac:dyDescent="0.2">
      <c r="A8" t="s">
        <v>86</v>
      </c>
      <c r="B8">
        <v>5488.1551120000004</v>
      </c>
      <c r="C8" t="b">
        <f>A8=GSCEQBA_Monthly!A8</f>
        <v>1</v>
      </c>
    </row>
    <row r="9" spans="1:3" x14ac:dyDescent="0.2">
      <c r="A9" t="s">
        <v>87</v>
      </c>
      <c r="B9">
        <v>5495.8833759999998</v>
      </c>
      <c r="C9" t="b">
        <f>A9=GSCEQBA_Monthly!A9</f>
        <v>1</v>
      </c>
    </row>
    <row r="10" spans="1:3" x14ac:dyDescent="0.2">
      <c r="A10" t="s">
        <v>88</v>
      </c>
      <c r="B10">
        <v>5619.2342669999998</v>
      </c>
      <c r="C10" t="b">
        <f>A10=GSCEQBA_Monthly!A10</f>
        <v>1</v>
      </c>
    </row>
    <row r="11" spans="1:3" x14ac:dyDescent="0.2">
      <c r="A11" t="s">
        <v>89</v>
      </c>
      <c r="B11">
        <v>5725.4292050000004</v>
      </c>
      <c r="C11" t="b">
        <f>A11=GSCEQBA_Monthly!A11</f>
        <v>1</v>
      </c>
    </row>
    <row r="12" spans="1:3" x14ac:dyDescent="0.2">
      <c r="A12" t="s">
        <v>90</v>
      </c>
      <c r="B12">
        <v>5849.4851500000004</v>
      </c>
      <c r="C12" t="b">
        <f>A12=GSCEQBA_Monthly!A12</f>
        <v>1</v>
      </c>
    </row>
    <row r="13" spans="1:3" x14ac:dyDescent="0.2">
      <c r="A13" t="s">
        <v>91</v>
      </c>
      <c r="B13">
        <v>5928.5905890000004</v>
      </c>
      <c r="C13" t="b">
        <f>A13=GSCEQBA_Monthly!A13</f>
        <v>1</v>
      </c>
    </row>
    <row r="14" spans="1:3" x14ac:dyDescent="0.2">
      <c r="A14" t="s">
        <v>92</v>
      </c>
      <c r="B14">
        <v>6241.6213879999996</v>
      </c>
      <c r="C14" t="b">
        <f>A14=GSCEQBA_Monthly!A14</f>
        <v>1</v>
      </c>
    </row>
    <row r="15" spans="1:3" x14ac:dyDescent="0.2">
      <c r="A15" t="s">
        <v>93</v>
      </c>
      <c r="B15">
        <v>5983.0467289999997</v>
      </c>
      <c r="C15" t="b">
        <f>A15=GSCEQBA_Monthly!A15</f>
        <v>1</v>
      </c>
    </row>
    <row r="16" spans="1:3" x14ac:dyDescent="0.2">
      <c r="A16" t="s">
        <v>94</v>
      </c>
      <c r="B16">
        <v>5852.6375939999998</v>
      </c>
      <c r="C16" t="b">
        <f>A16=GSCEQBA_Monthly!A16</f>
        <v>1</v>
      </c>
    </row>
    <row r="17" spans="1:3" x14ac:dyDescent="0.2">
      <c r="A17" t="s">
        <v>95</v>
      </c>
      <c r="B17">
        <v>5919.891267</v>
      </c>
      <c r="C17" t="b">
        <f>A17=GSCEQBA_Monthly!A17</f>
        <v>1</v>
      </c>
    </row>
    <row r="18" spans="1:3" x14ac:dyDescent="0.2">
      <c r="A18" t="s">
        <v>96</v>
      </c>
      <c r="B18">
        <v>5956.9878559999997</v>
      </c>
      <c r="C18" t="b">
        <f>A18=GSCEQBA_Monthly!A18</f>
        <v>1</v>
      </c>
    </row>
    <row r="19" spans="1:3" x14ac:dyDescent="0.2">
      <c r="A19" t="s">
        <v>97</v>
      </c>
      <c r="B19">
        <v>5954.146307</v>
      </c>
      <c r="C19" t="b">
        <f>A19=GSCEQBA_Monthly!A19</f>
        <v>1</v>
      </c>
    </row>
    <row r="20" spans="1:3" x14ac:dyDescent="0.2">
      <c r="A20" t="s">
        <v>98</v>
      </c>
      <c r="B20">
        <v>6140.1154040000001</v>
      </c>
      <c r="C20" t="b">
        <f>A20=GSCEQBA_Monthly!A20</f>
        <v>1</v>
      </c>
    </row>
    <row r="21" spans="1:3" x14ac:dyDescent="0.2">
      <c r="A21" t="s">
        <v>99</v>
      </c>
      <c r="B21">
        <v>6216.0861050000003</v>
      </c>
      <c r="C21" t="b">
        <f>A21=GSCEQBA_Monthly!A21</f>
        <v>1</v>
      </c>
    </row>
    <row r="22" spans="1:3" x14ac:dyDescent="0.2">
      <c r="A22" t="s">
        <v>100</v>
      </c>
      <c r="B22">
        <v>6250.6981239999996</v>
      </c>
      <c r="C22" t="b">
        <f>A22=GSCEQBA_Monthly!A22</f>
        <v>1</v>
      </c>
    </row>
    <row r="23" spans="1:3" x14ac:dyDescent="0.2">
      <c r="A23" t="s">
        <v>101</v>
      </c>
      <c r="B23">
        <v>5791.7225600000002</v>
      </c>
      <c r="C23" t="b">
        <f>A23=GSCEQBA_Monthly!A23</f>
        <v>1</v>
      </c>
    </row>
    <row r="24" spans="1:3" x14ac:dyDescent="0.2">
      <c r="A24" t="s">
        <v>102</v>
      </c>
      <c r="B24">
        <v>5857.5160020000003</v>
      </c>
      <c r="C24" t="b">
        <f>A24=GSCEQBA_Monthly!A24</f>
        <v>1</v>
      </c>
    </row>
    <row r="25" spans="1:3" x14ac:dyDescent="0.2">
      <c r="A25" t="s">
        <v>2</v>
      </c>
      <c r="B25">
        <v>5412.122265</v>
      </c>
      <c r="C25" t="b">
        <f>A25=GSCEQBA_Monthly!A25</f>
        <v>1</v>
      </c>
    </row>
    <row r="26" spans="1:3" x14ac:dyDescent="0.2">
      <c r="A26" t="s">
        <v>3</v>
      </c>
      <c r="B26">
        <v>5833.2166969999998</v>
      </c>
      <c r="C26" t="b">
        <f>A26=GSCEQBA_Monthly!A26</f>
        <v>1</v>
      </c>
    </row>
    <row r="27" spans="1:3" x14ac:dyDescent="0.2">
      <c r="A27" t="s">
        <v>4</v>
      </c>
      <c r="B27">
        <v>6008.6205250000003</v>
      </c>
      <c r="C27" t="b">
        <f>A27=GSCEQBA_Monthly!A27</f>
        <v>1</v>
      </c>
    </row>
    <row r="28" spans="1:3" x14ac:dyDescent="0.2">
      <c r="A28" t="s">
        <v>5</v>
      </c>
      <c r="B28">
        <v>6087.5405780000001</v>
      </c>
      <c r="C28" t="b">
        <f>A28=GSCEQBA_Monthly!A28</f>
        <v>1</v>
      </c>
    </row>
    <row r="29" spans="1:3" x14ac:dyDescent="0.2">
      <c r="A29" t="s">
        <v>6</v>
      </c>
      <c r="B29">
        <v>6303.4005770000003</v>
      </c>
      <c r="C29" t="b">
        <f>A29=GSCEQBA_Monthly!A29</f>
        <v>1</v>
      </c>
    </row>
    <row r="30" spans="1:3" x14ac:dyDescent="0.2">
      <c r="A30" t="s">
        <v>7</v>
      </c>
      <c r="B30">
        <v>5939.6889540000002</v>
      </c>
      <c r="C30" t="b">
        <f>A30=GSCEQBA_Monthly!A30</f>
        <v>1</v>
      </c>
    </row>
    <row r="31" spans="1:3" x14ac:dyDescent="0.2">
      <c r="A31" t="s">
        <v>8</v>
      </c>
      <c r="B31">
        <v>6331.0841520000004</v>
      </c>
      <c r="C31" t="b">
        <f>A31=GSCEQBA_Monthly!A31</f>
        <v>1</v>
      </c>
    </row>
    <row r="32" spans="1:3" x14ac:dyDescent="0.2">
      <c r="A32" t="s">
        <v>9</v>
      </c>
      <c r="B32">
        <v>6362.4442049999998</v>
      </c>
      <c r="C32" t="b">
        <f>A32=GSCEQBA_Monthly!A32</f>
        <v>1</v>
      </c>
    </row>
    <row r="33" spans="1:3" x14ac:dyDescent="0.2">
      <c r="A33" t="s">
        <v>10</v>
      </c>
      <c r="B33">
        <v>6232.3033569999998</v>
      </c>
      <c r="C33" t="b">
        <f>A33=GSCEQBA_Monthly!A33</f>
        <v>1</v>
      </c>
    </row>
    <row r="34" spans="1:3" x14ac:dyDescent="0.2">
      <c r="A34" t="s">
        <v>11</v>
      </c>
      <c r="B34">
        <v>6364.9328020000003</v>
      </c>
      <c r="C34" t="b">
        <f>A34=GSCEQBA_Monthly!A34</f>
        <v>1</v>
      </c>
    </row>
    <row r="35" spans="1:3" x14ac:dyDescent="0.2">
      <c r="A35" t="s">
        <v>12</v>
      </c>
      <c r="B35">
        <v>6526.9043300000003</v>
      </c>
      <c r="C35" t="b">
        <f>A35=GSCEQBA_Monthly!A35</f>
        <v>1</v>
      </c>
    </row>
    <row r="36" spans="1:3" x14ac:dyDescent="0.2">
      <c r="A36" t="s">
        <v>13</v>
      </c>
      <c r="B36">
        <v>6708.6796709999999</v>
      </c>
      <c r="C36" t="b">
        <f>A36=GSCEQBA_Monthly!A36</f>
        <v>1</v>
      </c>
    </row>
    <row r="37" spans="1:3" x14ac:dyDescent="0.2">
      <c r="A37" t="s">
        <v>14</v>
      </c>
      <c r="B37">
        <v>6909.6599249999999</v>
      </c>
      <c r="C37" t="b">
        <f>A37=GSCEQBA_Monthly!A37</f>
        <v>1</v>
      </c>
    </row>
    <row r="38" spans="1:3" x14ac:dyDescent="0.2">
      <c r="A38" t="s">
        <v>15</v>
      </c>
      <c r="B38">
        <v>6867.6031700000003</v>
      </c>
      <c r="C38" t="b">
        <f>A38=GSCEQBA_Monthly!A38</f>
        <v>1</v>
      </c>
    </row>
    <row r="39" spans="1:3" x14ac:dyDescent="0.2">
      <c r="A39" t="s">
        <v>16</v>
      </c>
      <c r="B39">
        <v>6287.1173120000003</v>
      </c>
      <c r="C39" t="b">
        <f>A39=GSCEQBA_Monthly!A39</f>
        <v>1</v>
      </c>
    </row>
    <row r="40" spans="1:3" x14ac:dyDescent="0.2">
      <c r="A40" t="s">
        <v>17</v>
      </c>
      <c r="B40">
        <v>5455.0630090000004</v>
      </c>
      <c r="C40" t="b">
        <f>A40=GSCEQBA_Monthly!A40</f>
        <v>1</v>
      </c>
    </row>
    <row r="41" spans="1:3" x14ac:dyDescent="0.2">
      <c r="A41" t="s">
        <v>18</v>
      </c>
      <c r="B41">
        <v>6050.9972959999996</v>
      </c>
      <c r="C41" t="b">
        <f>A41=GSCEQBA_Monthly!A41</f>
        <v>1</v>
      </c>
    </row>
    <row r="42" spans="1:3" x14ac:dyDescent="0.2">
      <c r="A42" t="s">
        <v>19</v>
      </c>
      <c r="B42">
        <v>6343.3098609999997</v>
      </c>
      <c r="C42" t="b">
        <f>A42=GSCEQBA_Monthly!A42</f>
        <v>1</v>
      </c>
    </row>
    <row r="43" spans="1:3" x14ac:dyDescent="0.2">
      <c r="A43" t="s">
        <v>20</v>
      </c>
      <c r="B43">
        <v>6511.0970690000004</v>
      </c>
      <c r="C43" t="b">
        <f>A43=GSCEQBA_Monthly!A43</f>
        <v>1</v>
      </c>
    </row>
    <row r="44" spans="1:3" x14ac:dyDescent="0.2">
      <c r="A44" t="s">
        <v>21</v>
      </c>
      <c r="B44">
        <v>6822.5967840000003</v>
      </c>
      <c r="C44" t="b">
        <f>A44=GSCEQBA_Monthly!A44</f>
        <v>1</v>
      </c>
    </row>
    <row r="45" spans="1:3" x14ac:dyDescent="0.2">
      <c r="A45" t="s">
        <v>75</v>
      </c>
      <c r="B45">
        <v>7278.4442790000003</v>
      </c>
      <c r="C45" t="b">
        <f>A45=GSCEQBA_Monthly!A45</f>
        <v>1</v>
      </c>
    </row>
    <row r="46" spans="1:3" x14ac:dyDescent="0.2">
      <c r="A46" t="s">
        <v>22</v>
      </c>
      <c r="B46">
        <v>7027.3442759999998</v>
      </c>
      <c r="C46" t="b">
        <f>A46=GSCEQBA_Monthly!A46</f>
        <v>1</v>
      </c>
    </row>
    <row r="47" spans="1:3" x14ac:dyDescent="0.2">
      <c r="A47" t="s">
        <v>23</v>
      </c>
      <c r="B47">
        <v>6811.780377</v>
      </c>
      <c r="C47" t="b">
        <f>A47=GSCEQBA_Monthly!A47</f>
        <v>1</v>
      </c>
    </row>
    <row r="48" spans="1:3" x14ac:dyDescent="0.2">
      <c r="A48" t="s">
        <v>24</v>
      </c>
      <c r="B48">
        <v>7682.7449470000001</v>
      </c>
      <c r="C48" t="b">
        <f>A48=GSCEQBA_Monthly!A48</f>
        <v>1</v>
      </c>
    </row>
    <row r="49" spans="1:3" x14ac:dyDescent="0.2">
      <c r="A49" t="s">
        <v>25</v>
      </c>
      <c r="B49">
        <v>8008.4680799999996</v>
      </c>
      <c r="C49" t="b">
        <f>A49=GSCEQBA_Monthly!A49</f>
        <v>1</v>
      </c>
    </row>
    <row r="50" spans="1:3" x14ac:dyDescent="0.2">
      <c r="A50" t="s">
        <v>26</v>
      </c>
      <c r="B50">
        <v>7928.8745250000002</v>
      </c>
      <c r="C50" t="b">
        <f>A50=GSCEQBA_Monthly!A50</f>
        <v>1</v>
      </c>
    </row>
    <row r="51" spans="1:3" x14ac:dyDescent="0.2">
      <c r="A51" t="s">
        <v>27</v>
      </c>
      <c r="B51">
        <v>8132.0469270000003</v>
      </c>
      <c r="C51" t="b">
        <f>A51=GSCEQBA_Monthly!A51</f>
        <v>1</v>
      </c>
    </row>
    <row r="52" spans="1:3" x14ac:dyDescent="0.2">
      <c r="A52" t="s">
        <v>28</v>
      </c>
      <c r="B52">
        <v>8402.6172839999999</v>
      </c>
      <c r="C52" t="b">
        <f>A52=GSCEQBA_Monthly!A52</f>
        <v>1</v>
      </c>
    </row>
    <row r="53" spans="1:3" x14ac:dyDescent="0.2">
      <c r="A53" t="s">
        <v>29</v>
      </c>
      <c r="B53">
        <v>8793.6760520000007</v>
      </c>
      <c r="C53" t="b">
        <f>A53=GSCEQBA_Monthly!A53</f>
        <v>1</v>
      </c>
    </row>
    <row r="54" spans="1:3" x14ac:dyDescent="0.2">
      <c r="A54" t="s">
        <v>76</v>
      </c>
      <c r="B54">
        <v>8920.3528370000004</v>
      </c>
      <c r="C54" t="b">
        <f>A54=GSCEQBA_Monthly!A54</f>
        <v>1</v>
      </c>
    </row>
    <row r="55" spans="1:3" x14ac:dyDescent="0.2">
      <c r="A55" t="s">
        <v>30</v>
      </c>
      <c r="B55">
        <v>9053.3092159999997</v>
      </c>
      <c r="C55" t="b">
        <f>A55=GSCEQBA_Monthly!A55</f>
        <v>1</v>
      </c>
    </row>
    <row r="56" spans="1:3" x14ac:dyDescent="0.2">
      <c r="A56" t="s">
        <v>31</v>
      </c>
      <c r="B56">
        <v>9215.4796239999996</v>
      </c>
      <c r="C56" t="b">
        <f>A56=GSCEQBA_Monthly!A56</f>
        <v>1</v>
      </c>
    </row>
    <row r="57" spans="1:3" x14ac:dyDescent="0.2">
      <c r="A57" t="s">
        <v>32</v>
      </c>
      <c r="B57">
        <v>9444.8377830000009</v>
      </c>
      <c r="C57" t="b">
        <f>A57=GSCEQBA_Monthly!A57</f>
        <v>1</v>
      </c>
    </row>
    <row r="58" spans="1:3" x14ac:dyDescent="0.2">
      <c r="A58" t="s">
        <v>33</v>
      </c>
      <c r="B58">
        <v>9052.6830699999991</v>
      </c>
      <c r="C58" t="b">
        <f>A58=GSCEQBA_Monthly!A58</f>
        <v>1</v>
      </c>
    </row>
    <row r="59" spans="1:3" x14ac:dyDescent="0.2">
      <c r="A59" t="s">
        <v>34</v>
      </c>
      <c r="B59">
        <v>9565.4316469999994</v>
      </c>
      <c r="C59" t="b">
        <f>A59=GSCEQBA_Monthly!A59</f>
        <v>1</v>
      </c>
    </row>
    <row r="60" spans="1:3" x14ac:dyDescent="0.2">
      <c r="A60" t="s">
        <v>35</v>
      </c>
      <c r="B60">
        <v>9355.8247090000004</v>
      </c>
      <c r="C60" t="b">
        <f>A60=GSCEQBA_Monthly!A60</f>
        <v>1</v>
      </c>
    </row>
    <row r="61" spans="1:3" x14ac:dyDescent="0.2">
      <c r="A61" t="s">
        <v>36</v>
      </c>
      <c r="B61">
        <v>9755.6944120000007</v>
      </c>
      <c r="C61" t="b">
        <f>A61=GSCEQBA_Monthly!A61</f>
        <v>1</v>
      </c>
    </row>
    <row r="62" spans="1:3" x14ac:dyDescent="0.2">
      <c r="A62" t="s">
        <v>37</v>
      </c>
      <c r="B62">
        <v>9239.5117740000005</v>
      </c>
      <c r="C62" t="b">
        <f>A62=GSCEQBA_Monthly!A62</f>
        <v>1</v>
      </c>
    </row>
    <row r="63" spans="1:3" x14ac:dyDescent="0.2">
      <c r="A63" t="s">
        <v>38</v>
      </c>
      <c r="B63">
        <v>9005.8332809999993</v>
      </c>
      <c r="C63" t="b">
        <f>A63=GSCEQBA_Monthly!A63</f>
        <v>1</v>
      </c>
    </row>
    <row r="64" spans="1:3" x14ac:dyDescent="0.2">
      <c r="A64" t="s">
        <v>39</v>
      </c>
      <c r="B64">
        <v>9252.9836140000007</v>
      </c>
      <c r="C64" t="b">
        <f>A64=GSCEQBA_Monthly!A64</f>
        <v>1</v>
      </c>
    </row>
    <row r="65" spans="1:3" x14ac:dyDescent="0.2">
      <c r="A65" t="s">
        <v>40</v>
      </c>
      <c r="B65">
        <v>8484.3073420000001</v>
      </c>
      <c r="C65" t="b">
        <f>A65=GSCEQBA_Monthly!A65</f>
        <v>1</v>
      </c>
    </row>
    <row r="66" spans="1:3" x14ac:dyDescent="0.2">
      <c r="A66" t="s">
        <v>41</v>
      </c>
      <c r="B66">
        <v>8490.7329769999997</v>
      </c>
      <c r="C66" t="b">
        <f>A66=GSCEQBA_Monthly!A66</f>
        <v>1</v>
      </c>
    </row>
    <row r="67" spans="1:3" x14ac:dyDescent="0.2">
      <c r="A67" t="s">
        <v>42</v>
      </c>
      <c r="B67">
        <v>7755.2487279999996</v>
      </c>
      <c r="C67" t="b">
        <f>A67=GSCEQBA_Monthly!A67</f>
        <v>1</v>
      </c>
    </row>
    <row r="68" spans="1:3" x14ac:dyDescent="0.2">
      <c r="A68" t="s">
        <v>43</v>
      </c>
      <c r="B68">
        <v>8370.9868600000009</v>
      </c>
      <c r="C68" t="b">
        <f>A68=GSCEQBA_Monthly!A68</f>
        <v>1</v>
      </c>
    </row>
    <row r="69" spans="1:3" x14ac:dyDescent="0.2">
      <c r="A69" t="s">
        <v>44</v>
      </c>
      <c r="B69">
        <v>8021.0142690000002</v>
      </c>
      <c r="C69" t="b">
        <f>A69=GSCEQBA_Monthly!A69</f>
        <v>1</v>
      </c>
    </row>
    <row r="70" spans="1:3" x14ac:dyDescent="0.2">
      <c r="A70" t="s">
        <v>45</v>
      </c>
      <c r="B70">
        <v>7275.3815860000004</v>
      </c>
      <c r="C70" t="b">
        <f>A70=GSCEQBA_Monthly!A70</f>
        <v>1</v>
      </c>
    </row>
    <row r="71" spans="1:3" x14ac:dyDescent="0.2">
      <c r="A71" t="s">
        <v>46</v>
      </c>
      <c r="B71">
        <v>7797.8480239999999</v>
      </c>
      <c r="C71" t="b">
        <f>A71=GSCEQBA_Monthly!A71</f>
        <v>1</v>
      </c>
    </row>
    <row r="72" spans="1:3" x14ac:dyDescent="0.2">
      <c r="A72" t="s">
        <v>47</v>
      </c>
      <c r="B72">
        <v>8340.0357280000007</v>
      </c>
      <c r="C72" t="b">
        <f>A72=GSCEQBA_Monthly!A72</f>
        <v>1</v>
      </c>
    </row>
    <row r="73" spans="1:3" x14ac:dyDescent="0.2">
      <c r="A73" t="s">
        <v>48</v>
      </c>
      <c r="B73">
        <v>7985.8569200000002</v>
      </c>
      <c r="C73" t="b">
        <f>A73=GSCEQBA_Monthly!A73</f>
        <v>1</v>
      </c>
    </row>
    <row r="74" spans="1:3" x14ac:dyDescent="0.2">
      <c r="A74" t="s">
        <v>49</v>
      </c>
      <c r="B74">
        <v>8550.9047050000008</v>
      </c>
      <c r="C74" t="b">
        <f>A74=GSCEQBA_Monthly!A74</f>
        <v>1</v>
      </c>
    </row>
    <row r="75" spans="1:3" x14ac:dyDescent="0.2">
      <c r="A75" t="s">
        <v>50</v>
      </c>
      <c r="B75">
        <v>8345.3537199999992</v>
      </c>
      <c r="C75" t="b">
        <f>A75=GSCEQBA_Monthly!A75</f>
        <v>1</v>
      </c>
    </row>
    <row r="76" spans="1:3" x14ac:dyDescent="0.2">
      <c r="A76" t="s">
        <v>51</v>
      </c>
      <c r="B76">
        <v>8603.2225639999997</v>
      </c>
      <c r="C76" t="b">
        <f>A76=GSCEQBA_Monthly!A76</f>
        <v>1</v>
      </c>
    </row>
    <row r="77" spans="1:3" x14ac:dyDescent="0.2">
      <c r="A77" t="s">
        <v>52</v>
      </c>
      <c r="B77">
        <v>8754.0334980000007</v>
      </c>
      <c r="C77" t="b">
        <f>A77=GSCEQBA_Monthly!A77</f>
        <v>1</v>
      </c>
    </row>
    <row r="78" spans="1:3" x14ac:dyDescent="0.2">
      <c r="A78" t="s">
        <v>53</v>
      </c>
      <c r="B78">
        <v>8666.6383229999992</v>
      </c>
      <c r="C78" t="b">
        <f>A78=GSCEQBA_Monthly!A78</f>
        <v>1</v>
      </c>
    </row>
    <row r="79" spans="1:3" x14ac:dyDescent="0.2">
      <c r="A79" t="s">
        <v>54</v>
      </c>
      <c r="B79">
        <v>9190.7774420000005</v>
      </c>
      <c r="C79" t="b">
        <f>A79=GSCEQBA_Monthly!A79</f>
        <v>1</v>
      </c>
    </row>
    <row r="80" spans="1:3" x14ac:dyDescent="0.2">
      <c r="A80" t="s">
        <v>55</v>
      </c>
      <c r="B80">
        <v>9499.5210160000006</v>
      </c>
      <c r="C80" t="b">
        <f>A80=GSCEQBA_Monthly!A80</f>
        <v>1</v>
      </c>
    </row>
    <row r="81" spans="1:3" x14ac:dyDescent="0.2">
      <c r="A81" t="s">
        <v>56</v>
      </c>
      <c r="B81">
        <v>9272.6180789999999</v>
      </c>
      <c r="C81" t="b">
        <f>A81=GSCEQBA_Monthly!A81</f>
        <v>1</v>
      </c>
    </row>
    <row r="82" spans="1:3" x14ac:dyDescent="0.2">
      <c r="A82" t="s">
        <v>57</v>
      </c>
      <c r="B82">
        <v>8872.6123389999993</v>
      </c>
      <c r="C82" t="b">
        <f>A82=GSCEQBA_Monthly!A82</f>
        <v>1</v>
      </c>
    </row>
    <row r="83" spans="1:3" x14ac:dyDescent="0.2">
      <c r="A83" t="s">
        <v>58</v>
      </c>
      <c r="B83">
        <v>8615.1660620000002</v>
      </c>
      <c r="C83" t="b">
        <f>A83=GSCEQBA_Monthly!A83</f>
        <v>1</v>
      </c>
    </row>
    <row r="84" spans="1:3" x14ac:dyDescent="0.2">
      <c r="A84" t="s">
        <v>59</v>
      </c>
      <c r="B84">
        <v>9422.8557509999991</v>
      </c>
      <c r="C84" t="b">
        <f>A84=GSCEQBA_Monthly!A84</f>
        <v>1</v>
      </c>
    </row>
    <row r="85" spans="1:3" x14ac:dyDescent="0.2">
      <c r="A85" t="s">
        <v>60</v>
      </c>
      <c r="B85">
        <v>9885.4637610000009</v>
      </c>
      <c r="C85" t="b">
        <f>A85=GSCEQBA_Monthly!A85</f>
        <v>1</v>
      </c>
    </row>
    <row r="86" spans="1:3" x14ac:dyDescent="0.2">
      <c r="A86" t="s">
        <v>61</v>
      </c>
      <c r="B86">
        <v>10004.094090000001</v>
      </c>
      <c r="C86" t="b">
        <f>A86=GSCEQBA_Monthly!A86</f>
        <v>1</v>
      </c>
    </row>
    <row r="87" spans="1:3" x14ac:dyDescent="0.2">
      <c r="A87" t="s">
        <v>62</v>
      </c>
      <c r="B87">
        <v>10428.244322</v>
      </c>
      <c r="C87" t="b">
        <f>A87=GSCEQBA_Monthly!A87</f>
        <v>1</v>
      </c>
    </row>
    <row r="88" spans="1:3" x14ac:dyDescent="0.2">
      <c r="A88" t="s">
        <v>77</v>
      </c>
      <c r="B88">
        <v>10763.354051</v>
      </c>
      <c r="C88" t="b">
        <f>A88=GSCEQBA_Monthly!A88</f>
        <v>1</v>
      </c>
    </row>
    <row r="89" spans="1:3" x14ac:dyDescent="0.2">
      <c r="A89" t="s">
        <v>63</v>
      </c>
      <c r="B89">
        <v>10363.552441</v>
      </c>
      <c r="C89" t="b">
        <f>A89=GSCEQBA_Monthly!A89</f>
        <v>1</v>
      </c>
    </row>
    <row r="90" spans="1:3" x14ac:dyDescent="0.2">
      <c r="A90" t="s">
        <v>64</v>
      </c>
      <c r="B90">
        <v>10826.305639</v>
      </c>
      <c r="C90" t="b">
        <f>A90=GSCEQBA_Monthly!A90</f>
        <v>1</v>
      </c>
    </row>
    <row r="91" spans="1:3" x14ac:dyDescent="0.2">
      <c r="A91" t="s">
        <v>65</v>
      </c>
      <c r="B91">
        <v>11046.598228999999</v>
      </c>
      <c r="C91" t="b">
        <f>A91=GSCEQBA_Monthly!A91</f>
        <v>1</v>
      </c>
    </row>
    <row r="92" spans="1:3" x14ac:dyDescent="0.2">
      <c r="A92" t="s">
        <v>66</v>
      </c>
      <c r="B92">
        <v>11241.266073999999</v>
      </c>
      <c r="C92" t="b">
        <f>A92=GSCEQBA_Monthly!A92</f>
        <v>1</v>
      </c>
    </row>
    <row r="93" spans="1:3" x14ac:dyDescent="0.2">
      <c r="A93" t="s">
        <v>67</v>
      </c>
      <c r="B93">
        <v>11538.378269999999</v>
      </c>
      <c r="C93" t="b">
        <f>A93=GSCEQBA_Monthly!A93</f>
        <v>1</v>
      </c>
    </row>
    <row r="94" spans="1:3" x14ac:dyDescent="0.2">
      <c r="A94" t="s">
        <v>68</v>
      </c>
      <c r="B94">
        <v>11749.691392999999</v>
      </c>
      <c r="C94" t="b">
        <f>A94=GSCEQBA_Monthly!A94</f>
        <v>1</v>
      </c>
    </row>
    <row r="95" spans="1:3" x14ac:dyDescent="0.2">
      <c r="A95" t="s">
        <v>69</v>
      </c>
      <c r="B95">
        <v>11516.613707</v>
      </c>
      <c r="C95" t="b">
        <f>A95=GSCEQBA_Monthly!A95</f>
        <v>1</v>
      </c>
    </row>
    <row r="96" spans="1:3" x14ac:dyDescent="0.2">
      <c r="A96" t="s">
        <v>70</v>
      </c>
      <c r="B96">
        <v>12045.071732</v>
      </c>
      <c r="C96" t="b">
        <f>A96=GSCEQBA_Monthly!A96</f>
        <v>1</v>
      </c>
    </row>
    <row r="97" spans="1:3" x14ac:dyDescent="0.2">
      <c r="A97" t="s">
        <v>71</v>
      </c>
      <c r="B97">
        <v>11731.170265000001</v>
      </c>
      <c r="C97" t="b">
        <f>A97=GSCEQBA_Monthly!A97</f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102A-C93F-4C61-BE1F-72D2D9AA741C}">
  <dimension ref="A1:Q73"/>
  <sheetViews>
    <sheetView workbookViewId="0">
      <selection activeCell="M26" sqref="M26"/>
    </sheetView>
  </sheetViews>
  <sheetFormatPr baseColWidth="10" defaultRowHeight="15" x14ac:dyDescent="0.2"/>
  <cols>
    <col min="9" max="9" width="12.6640625" bestFit="1" customWidth="1"/>
    <col min="10" max="10" width="12" bestFit="1" customWidth="1"/>
  </cols>
  <sheetData>
    <row r="1" spans="1:17" ht="48" x14ac:dyDescent="0.2">
      <c r="A1" s="7" t="s">
        <v>0</v>
      </c>
      <c r="B1" s="7" t="s">
        <v>103</v>
      </c>
      <c r="C1" s="7" t="s">
        <v>104</v>
      </c>
      <c r="D1" s="8" t="s">
        <v>105</v>
      </c>
      <c r="E1" s="8" t="s">
        <v>106</v>
      </c>
      <c r="F1" s="8" t="s">
        <v>107</v>
      </c>
      <c r="G1" s="8" t="s">
        <v>108</v>
      </c>
      <c r="H1" s="8" t="s">
        <v>109</v>
      </c>
      <c r="I1" s="8" t="s">
        <v>73</v>
      </c>
      <c r="J1" s="8" t="s">
        <v>72</v>
      </c>
      <c r="K1" s="8"/>
      <c r="L1" s="8"/>
      <c r="M1" s="8"/>
      <c r="N1" s="8"/>
      <c r="O1" s="7"/>
      <c r="P1" s="7"/>
      <c r="Q1" s="7"/>
    </row>
    <row r="2" spans="1:17" x14ac:dyDescent="0.2">
      <c r="A2" t="str">
        <f>MSCI_World_Index_Monthly!A26</f>
        <v>2019-01-31</v>
      </c>
      <c r="B2">
        <f>GSCEQBA_Monthly!B26</f>
        <v>21.75</v>
      </c>
      <c r="C2">
        <f>MSCI_World_Index_Monthly!B26</f>
        <v>5833.2166969999998</v>
      </c>
      <c r="F2">
        <f>(1+'Risk-free rate'!B26/100)^(1/12)-1</f>
        <v>1.9538658918776264E-3</v>
      </c>
    </row>
    <row r="3" spans="1:17" x14ac:dyDescent="0.2">
      <c r="A3" t="str">
        <f>MSCI_World_Index_Monthly!A27</f>
        <v>2019-02-28</v>
      </c>
      <c r="B3">
        <f>GSCEQBA_Monthly!B27</f>
        <v>22.36</v>
      </c>
      <c r="C3">
        <f>MSCI_World_Index_Monthly!B27</f>
        <v>6008.6205250000003</v>
      </c>
      <c r="D3">
        <f>(GSCEQBA_Monthly!B27-GSCEQBA_Monthly!B26)/GSCEQBA_Monthly!B26</f>
        <v>2.8045977011494225E-2</v>
      </c>
      <c r="E3">
        <f>(MSCI_World_Index_Monthly!B27-MSCI_World_Index_Monthly!B26)/MSCI_World_Index_Monthly!B26</f>
        <v>3.0069828897357768E-2</v>
      </c>
      <c r="F3">
        <f>(1+'Risk-free rate'!B27/100)^(1/12)-1</f>
        <v>1.970177053312705E-3</v>
      </c>
      <c r="G3">
        <f t="shared" ref="G3:H43" si="0">D3-$F3</f>
        <v>2.607579995818152E-2</v>
      </c>
      <c r="H3">
        <f t="shared" si="0"/>
        <v>2.8099651844045063E-2</v>
      </c>
    </row>
    <row r="4" spans="1:17" x14ac:dyDescent="0.2">
      <c r="A4" t="str">
        <f>MSCI_World_Index_Monthly!A28</f>
        <v>2019-03-29</v>
      </c>
      <c r="B4">
        <f>GSCEQBA_Monthly!B28</f>
        <v>22.32</v>
      </c>
      <c r="C4">
        <f>MSCI_World_Index_Monthly!B28</f>
        <v>6087.5405780000001</v>
      </c>
      <c r="D4">
        <f>(GSCEQBA_Monthly!B28-GSCEQBA_Monthly!B27)/GSCEQBA_Monthly!B27</f>
        <v>-1.7889087656529135E-3</v>
      </c>
      <c r="E4">
        <f>(MSCI_World_Index_Monthly!B28-MSCI_World_Index_Monthly!B27)/MSCI_World_Index_Monthly!B27</f>
        <v>1.3134471160499825E-2</v>
      </c>
      <c r="F4">
        <f>(1+'Risk-free rate'!B28/100)^(1/12)-1</f>
        <v>1.9783315388433032E-3</v>
      </c>
      <c r="G4">
        <f t="shared" si="0"/>
        <v>-3.7672403044962167E-3</v>
      </c>
      <c r="H4">
        <f t="shared" si="0"/>
        <v>1.1156139621656522E-2</v>
      </c>
    </row>
    <row r="5" spans="1:17" x14ac:dyDescent="0.2">
      <c r="A5" t="str">
        <f>MSCI_World_Index_Monthly!A29</f>
        <v>2019-04-30</v>
      </c>
      <c r="B5">
        <f>GSCEQBA_Monthly!B29</f>
        <v>23.04</v>
      </c>
      <c r="C5">
        <f>MSCI_World_Index_Monthly!B29</f>
        <v>6303.4005770000003</v>
      </c>
      <c r="D5">
        <f>(GSCEQBA_Monthly!B29-GSCEQBA_Monthly!B28)/GSCEQBA_Monthly!B28</f>
        <v>3.2258064516128983E-2</v>
      </c>
      <c r="E5">
        <f>(MSCI_World_Index_Monthly!B29-MSCI_World_Index_Monthly!B28)/MSCI_World_Index_Monthly!B28</f>
        <v>3.5459311726003945E-2</v>
      </c>
      <c r="F5">
        <f>(1+'Risk-free rate'!B29/100)^(1/12)-1</f>
        <v>1.9620218377029985E-3</v>
      </c>
      <c r="G5">
        <f t="shared" si="0"/>
        <v>3.0296042678425984E-2</v>
      </c>
      <c r="H5">
        <f t="shared" si="0"/>
        <v>3.3497289888300946E-2</v>
      </c>
    </row>
    <row r="6" spans="1:17" x14ac:dyDescent="0.2">
      <c r="A6" t="str">
        <f>MSCI_World_Index_Monthly!A30</f>
        <v>2019-05-31</v>
      </c>
      <c r="B6">
        <f>GSCEQBA_Monthly!B30</f>
        <v>21.37</v>
      </c>
      <c r="C6">
        <f>MSCI_World_Index_Monthly!B30</f>
        <v>5939.6889540000002</v>
      </c>
      <c r="D6">
        <f>(GSCEQBA_Monthly!B30-GSCEQBA_Monthly!B29)/GSCEQBA_Monthly!B29</f>
        <v>-7.2482638888888812E-2</v>
      </c>
      <c r="E6">
        <f>(MSCI_World_Index_Monthly!B30-MSCI_World_Index_Monthly!B29)/MSCI_World_Index_Monthly!B29</f>
        <v>-5.7700858220421508E-2</v>
      </c>
      <c r="F6">
        <f>(1+'Risk-free rate'!B30/100)^(1/12)-1</f>
        <v>1.937551809032545E-3</v>
      </c>
      <c r="G6">
        <f t="shared" si="0"/>
        <v>-7.4420190697921357E-2</v>
      </c>
      <c r="H6">
        <f t="shared" si="0"/>
        <v>-5.9638410029454053E-2</v>
      </c>
    </row>
    <row r="7" spans="1:17" x14ac:dyDescent="0.2">
      <c r="A7" t="str">
        <f>MSCI_World_Index_Monthly!A31</f>
        <v>2019-06-28</v>
      </c>
      <c r="B7">
        <f>GSCEQBA_Monthly!B31</f>
        <v>22.62</v>
      </c>
      <c r="C7">
        <f>MSCI_World_Index_Monthly!B31</f>
        <v>6331.0841520000004</v>
      </c>
      <c r="D7">
        <f>(GSCEQBA_Monthly!B31-GSCEQBA_Monthly!B30)/GSCEQBA_Monthly!B30</f>
        <v>5.8493214787084698E-2</v>
      </c>
      <c r="E7">
        <f>(MSCI_World_Index_Monthly!B31-MSCI_World_Index_Monthly!B30)/MSCI_World_Index_Monthly!B30</f>
        <v>6.5894898037787072E-2</v>
      </c>
      <c r="F7">
        <f>(1+'Risk-free rate'!B31/100)^(1/12)-1</f>
        <v>1.7905934192179451E-3</v>
      </c>
      <c r="G7">
        <f t="shared" si="0"/>
        <v>5.6702621367866753E-2</v>
      </c>
      <c r="H7">
        <f t="shared" si="0"/>
        <v>6.4104304618569127E-2</v>
      </c>
    </row>
    <row r="8" spans="1:17" x14ac:dyDescent="0.2">
      <c r="A8" t="str">
        <f>MSCI_World_Index_Monthly!A32</f>
        <v>2019-07-31</v>
      </c>
      <c r="B8">
        <f>GSCEQBA_Monthly!B32</f>
        <v>23.02</v>
      </c>
      <c r="C8">
        <f>MSCI_World_Index_Monthly!B32</f>
        <v>6362.4442049999998</v>
      </c>
      <c r="D8">
        <f>(GSCEQBA_Monthly!B32-GSCEQBA_Monthly!B31)/GSCEQBA_Monthly!B31</f>
        <v>1.7683465959327963E-2</v>
      </c>
      <c r="E8">
        <f>(MSCI_World_Index_Monthly!B32-MSCI_World_Index_Monthly!B31)/MSCI_World_Index_Monthly!B31</f>
        <v>4.9533464169944303E-3</v>
      </c>
      <c r="F8">
        <f>(1+'Risk-free rate'!B32/100)^(1/12)-1</f>
        <v>1.73337883251512E-3</v>
      </c>
      <c r="G8">
        <f t="shared" si="0"/>
        <v>1.5950087126812843E-2</v>
      </c>
      <c r="H8">
        <f t="shared" si="0"/>
        <v>3.2199675844793102E-3</v>
      </c>
    </row>
    <row r="9" spans="1:17" x14ac:dyDescent="0.2">
      <c r="A9" t="str">
        <f>MSCI_World_Index_Monthly!A33</f>
        <v>2019-08-30</v>
      </c>
      <c r="B9">
        <f>GSCEQBA_Monthly!B33</f>
        <v>22.27</v>
      </c>
      <c r="C9">
        <f>MSCI_World_Index_Monthly!B33</f>
        <v>6232.3033569999998</v>
      </c>
      <c r="D9">
        <f>(GSCEQBA_Monthly!B33-GSCEQBA_Monthly!B32)/GSCEQBA_Monthly!B32</f>
        <v>-3.2580364900086881E-2</v>
      </c>
      <c r="E9">
        <f>(MSCI_World_Index_Monthly!B33-MSCI_World_Index_Monthly!B32)/MSCI_World_Index_Monthly!B32</f>
        <v>-2.0454536622533732E-2</v>
      </c>
      <c r="F9">
        <f>(1+'Risk-free rate'!B33/100)^(1/12)-1</f>
        <v>1.6106549662961989E-3</v>
      </c>
      <c r="G9">
        <f t="shared" si="0"/>
        <v>-3.4191019866383079E-2</v>
      </c>
      <c r="H9">
        <f t="shared" si="0"/>
        <v>-2.2065191588829931E-2</v>
      </c>
    </row>
    <row r="10" spans="1:17" x14ac:dyDescent="0.2">
      <c r="A10" t="str">
        <f>MSCI_World_Index_Monthly!A34</f>
        <v>2019-09-30</v>
      </c>
      <c r="B10">
        <f>GSCEQBA_Monthly!B34</f>
        <v>22.55</v>
      </c>
      <c r="C10">
        <f>MSCI_World_Index_Monthly!B34</f>
        <v>6364.9328020000003</v>
      </c>
      <c r="D10">
        <f>(GSCEQBA_Monthly!B34-GSCEQBA_Monthly!B33)/GSCEQBA_Monthly!B33</f>
        <v>1.2572968118545179E-2</v>
      </c>
      <c r="E10">
        <f>(MSCI_World_Index_Monthly!B34-MSCI_World_Index_Monthly!B33)/MSCI_World_Index_Monthly!B33</f>
        <v>2.1280967469440287E-2</v>
      </c>
      <c r="F10">
        <f>(1+'Risk-free rate'!B34/100)^(1/12)-1</f>
        <v>1.5615190697231274E-3</v>
      </c>
      <c r="G10">
        <f t="shared" si="0"/>
        <v>1.1011449048822052E-2</v>
      </c>
      <c r="H10">
        <f t="shared" si="0"/>
        <v>1.9719448399717159E-2</v>
      </c>
    </row>
    <row r="11" spans="1:17" x14ac:dyDescent="0.2">
      <c r="A11" t="str">
        <f>MSCI_World_Index_Monthly!A35</f>
        <v>2019-10-31</v>
      </c>
      <c r="B11">
        <f>GSCEQBA_Monthly!B35</f>
        <v>23.07</v>
      </c>
      <c r="C11">
        <f>MSCI_World_Index_Monthly!B35</f>
        <v>6526.9043300000003</v>
      </c>
      <c r="D11">
        <f>(GSCEQBA_Monthly!B35-GSCEQBA_Monthly!B34)/GSCEQBA_Monthly!B34</f>
        <v>2.3059866962305966E-2</v>
      </c>
      <c r="E11">
        <f>(MSCI_World_Index_Monthly!B35-MSCI_World_Index_Monthly!B34)/MSCI_World_Index_Monthly!B34</f>
        <v>2.5447484370786297E-2</v>
      </c>
      <c r="F11">
        <f>(1+'Risk-free rate'!B35/100)^(1/12)-1</f>
        <v>1.364709877352599E-3</v>
      </c>
      <c r="G11">
        <f t="shared" si="0"/>
        <v>2.1695157084953367E-2</v>
      </c>
      <c r="H11">
        <f t="shared" si="0"/>
        <v>2.4082774493433698E-2</v>
      </c>
    </row>
    <row r="12" spans="1:17" x14ac:dyDescent="0.2">
      <c r="A12" t="str">
        <f>MSCI_World_Index_Monthly!A36</f>
        <v>2019-11-29</v>
      </c>
      <c r="B12">
        <f>GSCEQBA_Monthly!B36</f>
        <v>23.78</v>
      </c>
      <c r="C12">
        <f>MSCI_World_Index_Monthly!B36</f>
        <v>6708.6796709999999</v>
      </c>
      <c r="D12">
        <f>(GSCEQBA_Monthly!B36-GSCEQBA_Monthly!B35)/GSCEQBA_Monthly!B35</f>
        <v>3.0775899436497653E-2</v>
      </c>
      <c r="E12">
        <f>(MSCI_World_Index_Monthly!B36-MSCI_World_Index_Monthly!B35)/MSCI_World_Index_Monthly!B35</f>
        <v>2.7850161701389542E-2</v>
      </c>
      <c r="F12">
        <f>(1+'Risk-free rate'!B36/100)^(1/12)-1</f>
        <v>1.2743632726075482E-3</v>
      </c>
      <c r="G12">
        <f t="shared" si="0"/>
        <v>2.9501536163890105E-2</v>
      </c>
      <c r="H12">
        <f t="shared" si="0"/>
        <v>2.6575798428781994E-2</v>
      </c>
    </row>
    <row r="13" spans="1:17" x14ac:dyDescent="0.2">
      <c r="A13" t="str">
        <f>MSCI_World_Index_Monthly!A37</f>
        <v>2019-12-31</v>
      </c>
      <c r="B13">
        <f>GSCEQBA_Monthly!B37</f>
        <v>24.22</v>
      </c>
      <c r="C13">
        <f>MSCI_World_Index_Monthly!B37</f>
        <v>6909.6599249999999</v>
      </c>
      <c r="D13">
        <f>(GSCEQBA_Monthly!B37-GSCEQBA_Monthly!B36)/GSCEQBA_Monthly!B36</f>
        <v>1.8502943650126061E-2</v>
      </c>
      <c r="E13">
        <f>(MSCI_World_Index_Monthly!B37-MSCI_World_Index_Monthly!B36)/MSCI_World_Index_Monthly!B36</f>
        <v>2.9958242732737575E-2</v>
      </c>
      <c r="F13">
        <f>(1+'Risk-free rate'!B37/100)^(1/12)-1</f>
        <v>1.2743632726075482E-3</v>
      </c>
      <c r="G13">
        <f t="shared" si="0"/>
        <v>1.7228580377518513E-2</v>
      </c>
      <c r="H13">
        <f t="shared" si="0"/>
        <v>2.8683879460130027E-2</v>
      </c>
    </row>
    <row r="14" spans="1:17" x14ac:dyDescent="0.2">
      <c r="A14" t="str">
        <f>MSCI_World_Index_Monthly!A38</f>
        <v>2020-01-31</v>
      </c>
      <c r="B14">
        <f>GSCEQBA_Monthly!B38</f>
        <v>24.24</v>
      </c>
      <c r="C14">
        <f>MSCI_World_Index_Monthly!B38</f>
        <v>6867.6031700000003</v>
      </c>
      <c r="D14">
        <f>(GSCEQBA_Monthly!B38-GSCEQBA_Monthly!B37)/GSCEQBA_Monthly!B37</f>
        <v>8.2576383154416076E-4</v>
      </c>
      <c r="E14">
        <f>(MSCI_World_Index_Monthly!B38-MSCI_World_Index_Monthly!B37)/MSCI_World_Index_Monthly!B37</f>
        <v>-6.0866606253417912E-3</v>
      </c>
      <c r="F14">
        <f>(1+'Risk-free rate'!B38/100)^(1/12)-1</f>
        <v>1.2579269787644787E-3</v>
      </c>
      <c r="G14">
        <f t="shared" si="0"/>
        <v>-4.3216314722031792E-4</v>
      </c>
      <c r="H14">
        <f t="shared" si="0"/>
        <v>-7.3445876041062699E-3</v>
      </c>
      <c r="I14">
        <f>((1+INDEX(LINEST(G3:G14,H3:H14,TRUE,TRUE),1,2))^12)-1</f>
        <v>-6.0104607807454302E-2</v>
      </c>
      <c r="J14">
        <f>INDEX(LINEST(G3:G14, H3:H14, TRUE, TRUE), 1, 1)</f>
        <v>1.0492132350389254</v>
      </c>
    </row>
    <row r="15" spans="1:17" x14ac:dyDescent="0.2">
      <c r="A15" t="str">
        <f>MSCI_World_Index_Monthly!A39</f>
        <v>2020-02-28</v>
      </c>
      <c r="B15">
        <f>GSCEQBA_Monthly!B39</f>
        <v>21.61</v>
      </c>
      <c r="C15">
        <f>MSCI_World_Index_Monthly!B39</f>
        <v>6287.1173120000003</v>
      </c>
      <c r="D15">
        <f>(GSCEQBA_Monthly!B39-GSCEQBA_Monthly!B38)/GSCEQBA_Monthly!B38</f>
        <v>-0.10849834983498347</v>
      </c>
      <c r="E15">
        <f>(MSCI_World_Index_Monthly!B39-MSCI_World_Index_Monthly!B38)/MSCI_World_Index_Monthly!B38</f>
        <v>-8.4525247547172999E-2</v>
      </c>
      <c r="F15">
        <f>(1+'Risk-free rate'!B39/100)^(1/12)-1</f>
        <v>1.2579269787644787E-3</v>
      </c>
      <c r="G15">
        <f t="shared" si="0"/>
        <v>-0.10975627681374794</v>
      </c>
      <c r="H15">
        <f t="shared" si="0"/>
        <v>-8.5783174525937478E-2</v>
      </c>
      <c r="I15">
        <f t="shared" ref="I15:I73" si="1">((1+INDEX(LINEST(G4:G15,H4:H15,TRUE,TRUE),1,2))^12)-1</f>
        <v>-7.7625470813579733E-2</v>
      </c>
      <c r="J15">
        <f t="shared" ref="J15:J73" si="2">INDEX(LINEST(G4:G15, H4:H15, TRUE, TRUE), 1, 1)</f>
        <v>1.1144166349164375</v>
      </c>
    </row>
    <row r="16" spans="1:17" x14ac:dyDescent="0.2">
      <c r="A16" t="str">
        <f>MSCI_World_Index_Monthly!A40</f>
        <v>2020-03-31</v>
      </c>
      <c r="B16">
        <f>GSCEQBA_Monthly!B40</f>
        <v>18.559999999999999</v>
      </c>
      <c r="C16">
        <f>MSCI_World_Index_Monthly!B40</f>
        <v>5455.0630090000004</v>
      </c>
      <c r="D16">
        <f>(GSCEQBA_Monthly!B40-GSCEQBA_Monthly!B39)/GSCEQBA_Monthly!B39</f>
        <v>-0.1411383618695049</v>
      </c>
      <c r="E16">
        <f>(MSCI_World_Index_Monthly!B40-MSCI_World_Index_Monthly!B39)/MSCI_World_Index_Monthly!B39</f>
        <v>-0.13234273542373498</v>
      </c>
      <c r="F16">
        <f>(1+'Risk-free rate'!B40/100)^(1/12)-1</f>
        <v>2.4134604527370485E-4</v>
      </c>
      <c r="G16">
        <f t="shared" si="0"/>
        <v>-0.14137970791477861</v>
      </c>
      <c r="H16">
        <f t="shared" si="0"/>
        <v>-0.13258408146900869</v>
      </c>
      <c r="I16">
        <f t="shared" si="1"/>
        <v>-6.0497351328801963E-2</v>
      </c>
      <c r="J16">
        <f t="shared" si="2"/>
        <v>1.0745754369582226</v>
      </c>
    </row>
    <row r="17" spans="1:10" x14ac:dyDescent="0.2">
      <c r="A17" t="str">
        <f>MSCI_World_Index_Monthly!A41</f>
        <v>2020-04-30</v>
      </c>
      <c r="B17">
        <f>GSCEQBA_Monthly!B41</f>
        <v>20.76</v>
      </c>
      <c r="C17">
        <f>MSCI_World_Index_Monthly!B41</f>
        <v>6050.9972959999996</v>
      </c>
      <c r="D17">
        <f>(GSCEQBA_Monthly!B41-GSCEQBA_Monthly!B40)/GSCEQBA_Monthly!B40</f>
        <v>0.11853448275862086</v>
      </c>
      <c r="E17">
        <f>(MSCI_World_Index_Monthly!B41-MSCI_World_Index_Monthly!B40)/MSCI_World_Index_Monthly!B40</f>
        <v>0.10924425364414687</v>
      </c>
      <c r="F17">
        <f>(1+'Risk-free rate'!B41/100)^(1/12)-1</f>
        <v>1.1659187244639213E-4</v>
      </c>
      <c r="G17">
        <f t="shared" si="0"/>
        <v>0.11841789088617447</v>
      </c>
      <c r="H17">
        <f t="shared" si="0"/>
        <v>0.10912766177170048</v>
      </c>
      <c r="I17">
        <f t="shared" si="1"/>
        <v>-5.3542054967420705E-2</v>
      </c>
      <c r="J17">
        <f t="shared" si="2"/>
        <v>1.0898909260696694</v>
      </c>
    </row>
    <row r="18" spans="1:10" x14ac:dyDescent="0.2">
      <c r="A18" t="str">
        <f>MSCI_World_Index_Monthly!A42</f>
        <v>2020-05-29</v>
      </c>
      <c r="B18">
        <f>GSCEQBA_Monthly!B42</f>
        <v>21.86</v>
      </c>
      <c r="C18">
        <f>MSCI_World_Index_Monthly!B42</f>
        <v>6343.3098609999997</v>
      </c>
      <c r="D18">
        <f>(GSCEQBA_Monthly!B42-GSCEQBA_Monthly!B41)/GSCEQBA_Monthly!B41</f>
        <v>5.2986512524084671E-2</v>
      </c>
      <c r="E18">
        <f>(MSCI_World_Index_Monthly!B42-MSCI_World_Index_Monthly!B41)/MSCI_World_Index_Monthly!B41</f>
        <v>4.8308163216868871E-2</v>
      </c>
      <c r="F18">
        <f>(1+'Risk-free rate'!B42/100)^(1/12)-1</f>
        <v>1.0826883828274347E-4</v>
      </c>
      <c r="G18">
        <f t="shared" si="0"/>
        <v>5.2878243685801928E-2</v>
      </c>
      <c r="H18">
        <f t="shared" si="0"/>
        <v>4.8199894378586128E-2</v>
      </c>
      <c r="I18">
        <f t="shared" si="1"/>
        <v>-4.4033633675444883E-2</v>
      </c>
      <c r="J18">
        <f t="shared" si="2"/>
        <v>1.0874130861425657</v>
      </c>
    </row>
    <row r="19" spans="1:10" x14ac:dyDescent="0.2">
      <c r="A19" t="str">
        <f>MSCI_World_Index_Monthly!A43</f>
        <v>2020-06-30</v>
      </c>
      <c r="B19">
        <f>GSCEQBA_Monthly!B43</f>
        <v>22.49</v>
      </c>
      <c r="C19">
        <f>MSCI_World_Index_Monthly!B43</f>
        <v>6511.0970690000004</v>
      </c>
      <c r="D19">
        <f>(GSCEQBA_Monthly!B43-GSCEQBA_Monthly!B42)/GSCEQBA_Monthly!B42</f>
        <v>2.8819762122598309E-2</v>
      </c>
      <c r="E19">
        <f>(MSCI_World_Index_Monthly!B43-MSCI_World_Index_Monthly!B42)/MSCI_World_Index_Monthly!B42</f>
        <v>2.6451050268187531E-2</v>
      </c>
      <c r="F19">
        <f>(1+'Risk-free rate'!B43/100)^(1/12)-1</f>
        <v>1.3323565538980731E-4</v>
      </c>
      <c r="G19">
        <f t="shared" si="0"/>
        <v>2.8686526467208501E-2</v>
      </c>
      <c r="H19">
        <f t="shared" si="0"/>
        <v>2.6317814612797724E-2</v>
      </c>
      <c r="I19">
        <f t="shared" si="1"/>
        <v>-3.1977889610327881E-2</v>
      </c>
      <c r="J19">
        <f t="shared" si="2"/>
        <v>1.1026594289698852</v>
      </c>
    </row>
    <row r="20" spans="1:10" x14ac:dyDescent="0.2">
      <c r="A20" t="str">
        <f>MSCI_World_Index_Monthly!A44</f>
        <v>2020-07-31</v>
      </c>
      <c r="B20">
        <f>GSCEQBA_Monthly!B44</f>
        <v>24.01</v>
      </c>
      <c r="C20">
        <f>MSCI_World_Index_Monthly!B44</f>
        <v>6822.5967840000003</v>
      </c>
      <c r="D20">
        <f>(GSCEQBA_Monthly!B44-GSCEQBA_Monthly!B43)/GSCEQBA_Monthly!B43</f>
        <v>6.7585593597154436E-2</v>
      </c>
      <c r="E20">
        <f>(MSCI_World_Index_Monthly!B44-MSCI_World_Index_Monthly!B43)/MSCI_World_Index_Monthly!B43</f>
        <v>4.7841356333494386E-2</v>
      </c>
      <c r="F20">
        <f>(1+'Risk-free rate'!B44/100)^(1/12)-1</f>
        <v>1.0826883828274347E-4</v>
      </c>
      <c r="G20">
        <f t="shared" si="0"/>
        <v>6.7477324758871693E-2</v>
      </c>
      <c r="H20">
        <f t="shared" si="0"/>
        <v>4.7733087495211643E-2</v>
      </c>
      <c r="I20">
        <f t="shared" si="1"/>
        <v>-3.0993629815763923E-2</v>
      </c>
      <c r="J20">
        <f t="shared" si="2"/>
        <v>1.1199690944447558</v>
      </c>
    </row>
    <row r="21" spans="1:10" x14ac:dyDescent="0.2">
      <c r="A21" t="str">
        <f>MSCI_World_Index_Monthly!A45</f>
        <v>2020-08-31</v>
      </c>
      <c r="B21">
        <f>GSCEQBA_Monthly!B45</f>
        <v>25.28</v>
      </c>
      <c r="C21">
        <f>MSCI_World_Index_Monthly!B45</f>
        <v>7278.4442790000003</v>
      </c>
      <c r="D21">
        <f>(GSCEQBA_Monthly!B45-GSCEQBA_Monthly!B44)/GSCEQBA_Monthly!B44</f>
        <v>5.2894627238650543E-2</v>
      </c>
      <c r="E21">
        <f>(MSCI_World_Index_Monthly!B45-MSCI_World_Index_Monthly!B44)/MSCI_World_Index_Monthly!B44</f>
        <v>6.6814368404275307E-2</v>
      </c>
      <c r="F21">
        <f>(1+'Risk-free rate'!B45/100)^(1/12)-1</f>
        <v>8.3295163273211514E-5</v>
      </c>
      <c r="G21">
        <f t="shared" si="0"/>
        <v>5.2811332075377332E-2</v>
      </c>
      <c r="H21">
        <f t="shared" si="0"/>
        <v>6.6731073241002095E-2</v>
      </c>
      <c r="I21">
        <f t="shared" si="1"/>
        <v>-3.8557899281547625E-2</v>
      </c>
      <c r="J21">
        <f t="shared" si="2"/>
        <v>1.0929483473239374</v>
      </c>
    </row>
    <row r="22" spans="1:10" x14ac:dyDescent="0.2">
      <c r="A22" t="str">
        <f>MSCI_World_Index_Monthly!A46</f>
        <v>2020-09-30</v>
      </c>
      <c r="B22">
        <f>GSCEQBA_Monthly!B46</f>
        <v>24.88</v>
      </c>
      <c r="C22">
        <f>MSCI_World_Index_Monthly!B46</f>
        <v>7027.3442759999998</v>
      </c>
      <c r="D22">
        <f>(GSCEQBA_Monthly!B46-GSCEQBA_Monthly!B45)/GSCEQBA_Monthly!B45</f>
        <v>-1.5822784810126667E-2</v>
      </c>
      <c r="E22">
        <f>(MSCI_World_Index_Monthly!B46-MSCI_World_Index_Monthly!B45)/MSCI_World_Index_Monthly!B45</f>
        <v>-3.4499131047067602E-2</v>
      </c>
      <c r="F22">
        <f>(1+'Risk-free rate'!B46/100)^(1/12)-1</f>
        <v>9.1620483841925449E-5</v>
      </c>
      <c r="G22">
        <f t="shared" si="0"/>
        <v>-1.5914405293968592E-2</v>
      </c>
      <c r="H22">
        <f t="shared" si="0"/>
        <v>-3.4590751530909528E-2</v>
      </c>
      <c r="I22">
        <f t="shared" si="1"/>
        <v>-4.3106884117204425E-3</v>
      </c>
      <c r="J22">
        <f t="shared" si="2"/>
        <v>1.0715657023471419</v>
      </c>
    </row>
    <row r="23" spans="1:10" x14ac:dyDescent="0.2">
      <c r="A23" t="str">
        <f>MSCI_World_Index_Monthly!A47</f>
        <v>2020-10-30</v>
      </c>
      <c r="B23">
        <f>GSCEQBA_Monthly!B47</f>
        <v>23.89</v>
      </c>
      <c r="C23">
        <f>MSCI_World_Index_Monthly!B47</f>
        <v>6811.780377</v>
      </c>
      <c r="D23">
        <f>(GSCEQBA_Monthly!B47-GSCEQBA_Monthly!B46)/GSCEQBA_Monthly!B46</f>
        <v>-3.9790996784565852E-2</v>
      </c>
      <c r="E23">
        <f>(MSCI_World_Index_Monthly!B47-MSCI_World_Index_Monthly!B46)/MSCI_World_Index_Monthly!B46</f>
        <v>-3.0675016127529167E-2</v>
      </c>
      <c r="F23">
        <f>(1+'Risk-free rate'!B47/100)^(1/12)-1</f>
        <v>8.3295163273211514E-5</v>
      </c>
      <c r="G23">
        <f t="shared" si="0"/>
        <v>-3.9874291947839063E-2</v>
      </c>
      <c r="H23">
        <f t="shared" si="0"/>
        <v>-3.0758311290802379E-2</v>
      </c>
      <c r="I23">
        <f t="shared" si="1"/>
        <v>-7.4790880773168977E-3</v>
      </c>
      <c r="J23">
        <f t="shared" si="2"/>
        <v>1.0776964711647299</v>
      </c>
    </row>
    <row r="24" spans="1:10" x14ac:dyDescent="0.2">
      <c r="A24" t="str">
        <f>MSCI_World_Index_Monthly!A48</f>
        <v>2020-11-30</v>
      </c>
      <c r="B24">
        <f>GSCEQBA_Monthly!B48</f>
        <v>26.55</v>
      </c>
      <c r="C24">
        <f>MSCI_World_Index_Monthly!B48</f>
        <v>7682.7449470000001</v>
      </c>
      <c r="D24">
        <f>(GSCEQBA_Monthly!B48-GSCEQBA_Monthly!B47)/GSCEQBA_Monthly!B47</f>
        <v>0.11134365843449143</v>
      </c>
      <c r="E24">
        <f>(MSCI_World_Index_Monthly!B48-MSCI_World_Index_Monthly!B47)/MSCI_World_Index_Monthly!B47</f>
        <v>0.12786151663679807</v>
      </c>
      <c r="F24">
        <f>(1+'Risk-free rate'!B48/100)^(1/12)-1</f>
        <v>7.4969080277487166E-5</v>
      </c>
      <c r="G24">
        <f t="shared" si="0"/>
        <v>0.11126868935421394</v>
      </c>
      <c r="H24">
        <f t="shared" si="0"/>
        <v>0.12778654755652058</v>
      </c>
      <c r="I24">
        <f t="shared" si="1"/>
        <v>-2.6861076737813461E-2</v>
      </c>
      <c r="J24">
        <f t="shared" si="2"/>
        <v>1.0311294081754965</v>
      </c>
    </row>
    <row r="25" spans="1:10" x14ac:dyDescent="0.2">
      <c r="A25" t="str">
        <f>MSCI_World_Index_Monthly!A49</f>
        <v>2020-12-31</v>
      </c>
      <c r="B25">
        <f>GSCEQBA_Monthly!B49</f>
        <v>27.39</v>
      </c>
      <c r="C25">
        <f>MSCI_World_Index_Monthly!B49</f>
        <v>8008.4680799999996</v>
      </c>
      <c r="D25">
        <f>(GSCEQBA_Monthly!B49-GSCEQBA_Monthly!B48)/GSCEQBA_Monthly!B48</f>
        <v>3.1638418079096037E-2</v>
      </c>
      <c r="E25">
        <f>(MSCI_World_Index_Monthly!B49-MSCI_World_Index_Monthly!B48)/MSCI_World_Index_Monthly!B48</f>
        <v>4.239671305594879E-2</v>
      </c>
      <c r="F25">
        <f>(1+'Risk-free rate'!B49/100)^(1/12)-1</f>
        <v>7.4969080277487166E-5</v>
      </c>
      <c r="G25">
        <f t="shared" si="0"/>
        <v>3.156344899881855E-2</v>
      </c>
      <c r="H25">
        <f t="shared" si="0"/>
        <v>4.2321743975671303E-2</v>
      </c>
      <c r="I25">
        <f t="shared" si="1"/>
        <v>-2.6245822289137966E-2</v>
      </c>
      <c r="J25">
        <f t="shared" si="2"/>
        <v>1.0291077208024639</v>
      </c>
    </row>
    <row r="26" spans="1:10" x14ac:dyDescent="0.2">
      <c r="A26" t="str">
        <f>MSCI_World_Index_Monthly!A50</f>
        <v>2021-01-29</v>
      </c>
      <c r="B26">
        <f>GSCEQBA_Monthly!B50</f>
        <v>27.78</v>
      </c>
      <c r="C26">
        <f>MSCI_World_Index_Monthly!B50</f>
        <v>7928.8745250000002</v>
      </c>
      <c r="D26">
        <f>(GSCEQBA_Monthly!B50-GSCEQBA_Monthly!B49)/GSCEQBA_Monthly!B49</f>
        <v>1.4238773274917873E-2</v>
      </c>
      <c r="E26">
        <f>(MSCI_World_Index_Monthly!B50-MSCI_World_Index_Monthly!B49)/MSCI_World_Index_Monthly!B49</f>
        <v>-9.9386741889841528E-3</v>
      </c>
      <c r="F26">
        <f>(1+'Risk-free rate'!B50/100)^(1/12)-1</f>
        <v>6.6642234708869097E-5</v>
      </c>
      <c r="G26">
        <f t="shared" si="0"/>
        <v>1.4172131040209004E-2</v>
      </c>
      <c r="H26">
        <f t="shared" si="0"/>
        <v>-1.0005316423693022E-2</v>
      </c>
      <c r="I26">
        <f t="shared" si="1"/>
        <v>-7.9747372465858168E-3</v>
      </c>
      <c r="J26">
        <f t="shared" si="2"/>
        <v>1.0221136779282614</v>
      </c>
    </row>
    <row r="27" spans="1:10" x14ac:dyDescent="0.2">
      <c r="A27" t="str">
        <f>MSCI_World_Index_Monthly!A51</f>
        <v>2021-02-26</v>
      </c>
      <c r="B27">
        <f>GSCEQBA_Monthly!B51</f>
        <v>28.32</v>
      </c>
      <c r="C27">
        <f>MSCI_World_Index_Monthly!B51</f>
        <v>8132.0469270000003</v>
      </c>
      <c r="D27">
        <f>(GSCEQBA_Monthly!B51-GSCEQBA_Monthly!B50)/GSCEQBA_Monthly!B50</f>
        <v>1.9438444924406016E-2</v>
      </c>
      <c r="E27">
        <f>(MSCI_World_Index_Monthly!B51-MSCI_World_Index_Monthly!B50)/MSCI_World_Index_Monthly!B50</f>
        <v>2.5624368421948276E-2</v>
      </c>
      <c r="F27">
        <f>(1+'Risk-free rate'!B51/100)^(1/12)-1</f>
        <v>3.3327223783574667E-5</v>
      </c>
      <c r="G27">
        <f t="shared" si="0"/>
        <v>1.9405117700622442E-2</v>
      </c>
      <c r="H27">
        <f t="shared" si="0"/>
        <v>2.5591041198164702E-2</v>
      </c>
      <c r="I27">
        <f t="shared" si="1"/>
        <v>2.0112866891611514E-2</v>
      </c>
      <c r="J27">
        <f t="shared" si="2"/>
        <v>0.97800433273782994</v>
      </c>
    </row>
    <row r="28" spans="1:10" x14ac:dyDescent="0.2">
      <c r="A28" t="str">
        <f>MSCI_World_Index_Monthly!A52</f>
        <v>2021-03-31</v>
      </c>
      <c r="B28">
        <f>GSCEQBA_Monthly!B52</f>
        <v>29.04</v>
      </c>
      <c r="C28">
        <f>MSCI_World_Index_Monthly!B52</f>
        <v>8402.6172839999999</v>
      </c>
      <c r="D28">
        <f>(GSCEQBA_Monthly!B52-GSCEQBA_Monthly!B51)/GSCEQBA_Monthly!B51</f>
        <v>2.5423728813559282E-2</v>
      </c>
      <c r="E28">
        <f>(MSCI_World_Index_Monthly!B52-MSCI_World_Index_Monthly!B51)/MSCI_World_Index_Monthly!B51</f>
        <v>3.327210964580795E-2</v>
      </c>
      <c r="F28">
        <f>(1+'Risk-free rate'!B52/100)^(1/12)-1</f>
        <v>2.4996563158685703E-5</v>
      </c>
      <c r="G28">
        <f t="shared" si="0"/>
        <v>2.5398732250400596E-2</v>
      </c>
      <c r="H28">
        <f t="shared" si="0"/>
        <v>3.3247113082649264E-2</v>
      </c>
      <c r="I28">
        <f t="shared" si="1"/>
        <v>6.4083028657208496E-2</v>
      </c>
      <c r="J28">
        <f t="shared" si="2"/>
        <v>0.8944318294226995</v>
      </c>
    </row>
    <row r="29" spans="1:10" x14ac:dyDescent="0.2">
      <c r="A29" t="str">
        <f>MSCI_World_Index_Monthly!A53</f>
        <v>2021-04-30</v>
      </c>
      <c r="B29">
        <f>GSCEQBA_Monthly!B53</f>
        <v>30.65</v>
      </c>
      <c r="C29">
        <f>MSCI_World_Index_Monthly!B53</f>
        <v>8793.6760520000007</v>
      </c>
      <c r="D29">
        <f>(GSCEQBA_Monthly!B53-GSCEQBA_Monthly!B52)/GSCEQBA_Monthly!B52</f>
        <v>5.5440771349862243E-2</v>
      </c>
      <c r="E29">
        <f>(MSCI_World_Index_Monthly!B53-MSCI_World_Index_Monthly!B52)/MSCI_World_Index_Monthly!B52</f>
        <v>4.6540114202826138E-2</v>
      </c>
      <c r="F29">
        <f>(1+'Risk-free rate'!B53/100)^(1/12)-1</f>
        <v>1.6665139084048874E-5</v>
      </c>
      <c r="G29">
        <f t="shared" si="0"/>
        <v>5.5424106210778194E-2</v>
      </c>
      <c r="H29">
        <f t="shared" si="0"/>
        <v>4.6523449063742089E-2</v>
      </c>
      <c r="I29">
        <f t="shared" si="1"/>
        <v>7.7454624266266592E-2</v>
      </c>
      <c r="J29">
        <f t="shared" si="2"/>
        <v>0.84416695089230642</v>
      </c>
    </row>
    <row r="30" spans="1:10" x14ac:dyDescent="0.2">
      <c r="A30" t="str">
        <f>MSCI_World_Index_Monthly!A54</f>
        <v>2021-05-31</v>
      </c>
      <c r="B30">
        <f>GSCEQBA_Monthly!B54</f>
        <v>30.89</v>
      </c>
      <c r="C30">
        <f>MSCI_World_Index_Monthly!B54</f>
        <v>8920.3528370000004</v>
      </c>
      <c r="D30">
        <f>(GSCEQBA_Monthly!B54-GSCEQBA_Monthly!B53)/GSCEQBA_Monthly!B53</f>
        <v>7.8303425774878307E-3</v>
      </c>
      <c r="E30">
        <f>(MSCI_World_Index_Monthly!B54-MSCI_World_Index_Monthly!B53)/MSCI_World_Index_Monthly!B53</f>
        <v>1.4405441393441911E-2</v>
      </c>
      <c r="F30">
        <f>(1+'Risk-free rate'!B54/100)^(1/12)-1</f>
        <v>1.6665139084048874E-5</v>
      </c>
      <c r="G30">
        <f t="shared" si="0"/>
        <v>7.8136774384037818E-3</v>
      </c>
      <c r="H30">
        <f t="shared" si="0"/>
        <v>1.4388776254357862E-2</v>
      </c>
      <c r="I30">
        <f t="shared" si="1"/>
        <v>5.901747413858871E-2</v>
      </c>
      <c r="J30">
        <f t="shared" si="2"/>
        <v>0.84651062795598053</v>
      </c>
    </row>
    <row r="31" spans="1:10" x14ac:dyDescent="0.2">
      <c r="A31" t="str">
        <f>MSCI_World_Index_Monthly!A55</f>
        <v>2021-06-30</v>
      </c>
      <c r="B31">
        <f>GSCEQBA_Monthly!B55</f>
        <v>31.25</v>
      </c>
      <c r="C31">
        <f>MSCI_World_Index_Monthly!B55</f>
        <v>9053.3092159999997</v>
      </c>
      <c r="D31">
        <f>(GSCEQBA_Monthly!B55-GSCEQBA_Monthly!B54)/GSCEQBA_Monthly!B54</f>
        <v>1.165425704111361E-2</v>
      </c>
      <c r="E31">
        <f>(MSCI_World_Index_Monthly!B55-MSCI_World_Index_Monthly!B54)/MSCI_World_Index_Monthly!B54</f>
        <v>1.4904834083302223E-2</v>
      </c>
      <c r="F31">
        <f>(1+'Risk-free rate'!B55/100)^(1/12)-1</f>
        <v>3.3327223783574667E-5</v>
      </c>
      <c r="G31">
        <f t="shared" si="0"/>
        <v>1.1620929817330036E-2</v>
      </c>
      <c r="H31">
        <f t="shared" si="0"/>
        <v>1.4871506859518649E-2</v>
      </c>
      <c r="I31">
        <f t="shared" si="1"/>
        <v>4.9884439573929962E-2</v>
      </c>
      <c r="J31">
        <f t="shared" si="2"/>
        <v>0.85036020522969669</v>
      </c>
    </row>
    <row r="32" spans="1:10" x14ac:dyDescent="0.2">
      <c r="A32" t="str">
        <f>MSCI_World_Index_Monthly!A56</f>
        <v>2021-07-30</v>
      </c>
      <c r="B32">
        <f>GSCEQBA_Monthly!B56</f>
        <v>32.049999999999997</v>
      </c>
      <c r="C32">
        <f>MSCI_World_Index_Monthly!B56</f>
        <v>9215.4796239999996</v>
      </c>
      <c r="D32">
        <f>(GSCEQBA_Monthly!B56-GSCEQBA_Monthly!B55)/GSCEQBA_Monthly!B55</f>
        <v>2.5599999999999908E-2</v>
      </c>
      <c r="E32">
        <f>(MSCI_World_Index_Monthly!B56-MSCI_World_Index_Monthly!B55)/MSCI_World_Index_Monthly!B55</f>
        <v>1.7912832107114449E-2</v>
      </c>
      <c r="F32">
        <f>(1+'Risk-free rate'!B56/100)^(1/12)-1</f>
        <v>4.1657121104599071E-5</v>
      </c>
      <c r="G32">
        <f t="shared" si="0"/>
        <v>2.5558342878895308E-2</v>
      </c>
      <c r="H32">
        <f t="shared" si="0"/>
        <v>1.787117498600985E-2</v>
      </c>
      <c r="I32">
        <f t="shared" si="1"/>
        <v>4.1041439146280778E-2</v>
      </c>
      <c r="J32">
        <f t="shared" si="2"/>
        <v>0.82476700005657588</v>
      </c>
    </row>
    <row r="33" spans="1:10" x14ac:dyDescent="0.2">
      <c r="A33" t="str">
        <f>MSCI_World_Index_Monthly!A57</f>
        <v>2021-08-31</v>
      </c>
      <c r="B33">
        <f>GSCEQBA_Monthly!B57</f>
        <v>32.93</v>
      </c>
      <c r="C33">
        <f>MSCI_World_Index_Monthly!B57</f>
        <v>9444.8377830000009</v>
      </c>
      <c r="D33">
        <f>(GSCEQBA_Monthly!B57-GSCEQBA_Monthly!B56)/GSCEQBA_Monthly!B56</f>
        <v>2.745709828393144E-2</v>
      </c>
      <c r="E33">
        <f>(MSCI_World_Index_Monthly!B57-MSCI_World_Index_Monthly!B56)/MSCI_World_Index_Monthly!B56</f>
        <v>2.4888358322954853E-2</v>
      </c>
      <c r="F33">
        <f>(1+'Risk-free rate'!B57/100)^(1/12)-1</f>
        <v>4.1657121104599071E-5</v>
      </c>
      <c r="G33">
        <f t="shared" si="0"/>
        <v>2.7415441162826841E-2</v>
      </c>
      <c r="H33">
        <f t="shared" si="0"/>
        <v>2.4846701201850254E-2</v>
      </c>
      <c r="I33">
        <f t="shared" si="1"/>
        <v>4.6872197130245707E-2</v>
      </c>
      <c r="J33">
        <f t="shared" si="2"/>
        <v>0.83779059476769213</v>
      </c>
    </row>
    <row r="34" spans="1:10" x14ac:dyDescent="0.2">
      <c r="A34" t="str">
        <f>MSCI_World_Index_Monthly!A58</f>
        <v>2021-09-30</v>
      </c>
      <c r="B34">
        <f>GSCEQBA_Monthly!B58</f>
        <v>31.62</v>
      </c>
      <c r="C34">
        <f>MSCI_World_Index_Monthly!B58</f>
        <v>9052.6830699999991</v>
      </c>
      <c r="D34">
        <f>(GSCEQBA_Monthly!B58-GSCEQBA_Monthly!B57)/GSCEQBA_Monthly!B57</f>
        <v>-3.9781354388095921E-2</v>
      </c>
      <c r="E34">
        <f>(MSCI_World_Index_Monthly!B58-MSCI_World_Index_Monthly!B57)/MSCI_World_Index_Monthly!B57</f>
        <v>-4.1520534498310897E-2</v>
      </c>
      <c r="F34">
        <f>(1+'Risk-free rate'!B58/100)^(1/12)-1</f>
        <v>3.3327223783574667E-5</v>
      </c>
      <c r="G34">
        <f t="shared" si="0"/>
        <v>-3.9814681611879496E-2</v>
      </c>
      <c r="H34">
        <f t="shared" si="0"/>
        <v>-4.1553861722094472E-2</v>
      </c>
      <c r="I34">
        <f t="shared" si="1"/>
        <v>1.3753169667378717E-2</v>
      </c>
      <c r="J34">
        <f t="shared" si="2"/>
        <v>0.89120020266194055</v>
      </c>
    </row>
    <row r="35" spans="1:10" x14ac:dyDescent="0.2">
      <c r="A35" t="str">
        <f>MSCI_World_Index_Monthly!A59</f>
        <v>2021-10-29</v>
      </c>
      <c r="B35">
        <f>GSCEQBA_Monthly!B59</f>
        <v>32.49</v>
      </c>
      <c r="C35">
        <f>MSCI_World_Index_Monthly!B59</f>
        <v>9565.4316469999994</v>
      </c>
      <c r="D35">
        <f>(GSCEQBA_Monthly!B59-GSCEQBA_Monthly!B58)/GSCEQBA_Monthly!B58</f>
        <v>2.7514231499051266E-2</v>
      </c>
      <c r="E35">
        <f>(MSCI_World_Index_Monthly!B59-MSCI_World_Index_Monthly!B58)/MSCI_World_Index_Monthly!B58</f>
        <v>5.664050901099317E-2</v>
      </c>
      <c r="F35">
        <f>(1+'Risk-free rate'!B59/100)^(1/12)-1</f>
        <v>4.1657121104599071E-5</v>
      </c>
      <c r="G35">
        <f t="shared" si="0"/>
        <v>2.7472574377946667E-2</v>
      </c>
      <c r="H35">
        <f t="shared" si="0"/>
        <v>5.6598851889888571E-2</v>
      </c>
      <c r="I35">
        <f t="shared" si="1"/>
        <v>3.236246997496961E-2</v>
      </c>
      <c r="J35">
        <f t="shared" si="2"/>
        <v>0.80969164720767817</v>
      </c>
    </row>
    <row r="36" spans="1:10" x14ac:dyDescent="0.2">
      <c r="A36" t="str">
        <f>MSCI_World_Index_Monthly!A60</f>
        <v>2021-11-30</v>
      </c>
      <c r="B36">
        <f>GSCEQBA_Monthly!B60</f>
        <v>32.25</v>
      </c>
      <c r="C36">
        <f>MSCI_World_Index_Monthly!B60</f>
        <v>9355.8247090000004</v>
      </c>
      <c r="D36">
        <f>(GSCEQBA_Monthly!B60-GSCEQBA_Monthly!B59)/GSCEQBA_Monthly!B59</f>
        <v>-7.3868882733149266E-3</v>
      </c>
      <c r="E36">
        <f>(MSCI_World_Index_Monthly!B60-MSCI_World_Index_Monthly!B59)/MSCI_World_Index_Monthly!B59</f>
        <v>-2.1912961770600065E-2</v>
      </c>
      <c r="F36">
        <f>(1+'Risk-free rate'!B60/100)^(1/12)-1</f>
        <v>4.1657121104599071E-5</v>
      </c>
      <c r="G36">
        <f t="shared" si="0"/>
        <v>-7.4285453944195256E-3</v>
      </c>
      <c r="H36">
        <f t="shared" si="0"/>
        <v>-2.1954618891704664E-2</v>
      </c>
      <c r="I36">
        <f t="shared" si="1"/>
        <v>5.4999792115951518E-2</v>
      </c>
      <c r="J36">
        <f t="shared" si="2"/>
        <v>0.71488800963654808</v>
      </c>
    </row>
    <row r="37" spans="1:10" x14ac:dyDescent="0.2">
      <c r="A37" t="str">
        <f>MSCI_World_Index_Monthly!A61</f>
        <v>2021-12-31</v>
      </c>
      <c r="B37">
        <f>GSCEQBA_Monthly!B61</f>
        <v>33.450000000000003</v>
      </c>
      <c r="C37">
        <f>MSCI_World_Index_Monthly!B61</f>
        <v>9755.6944120000007</v>
      </c>
      <c r="D37">
        <f>(GSCEQBA_Monthly!B61-GSCEQBA_Monthly!B60)/GSCEQBA_Monthly!B60</f>
        <v>3.7209302325581485E-2</v>
      </c>
      <c r="E37">
        <f>(MSCI_World_Index_Monthly!B61-MSCI_World_Index_Monthly!B60)/MSCI_World_Index_Monthly!B60</f>
        <v>4.2740187576979567E-2</v>
      </c>
      <c r="F37">
        <f>(1+'Risk-free rate'!B61/100)^(1/12)-1</f>
        <v>4.99862552685304E-5</v>
      </c>
      <c r="G37">
        <f t="shared" si="0"/>
        <v>3.7159316070312955E-2</v>
      </c>
      <c r="H37">
        <f t="shared" si="0"/>
        <v>4.2690201321711037E-2</v>
      </c>
      <c r="I37">
        <f t="shared" si="1"/>
        <v>5.7439691422679351E-2</v>
      </c>
      <c r="J37">
        <f t="shared" si="2"/>
        <v>0.72971644147761716</v>
      </c>
    </row>
    <row r="38" spans="1:10" x14ac:dyDescent="0.2">
      <c r="A38" t="str">
        <f>MSCI_World_Index_Monthly!A62</f>
        <v>2022-01-31</v>
      </c>
      <c r="B38">
        <f>GSCEQBA_Monthly!B62</f>
        <v>30.89</v>
      </c>
      <c r="C38">
        <f>MSCI_World_Index_Monthly!B62</f>
        <v>9239.5117740000005</v>
      </c>
      <c r="D38">
        <f>(GSCEQBA_Monthly!B62-GSCEQBA_Monthly!B61)/GSCEQBA_Monthly!B61</f>
        <v>-7.6532137518684665E-2</v>
      </c>
      <c r="E38">
        <f>(MSCI_World_Index_Monthly!B62-MSCI_World_Index_Monthly!B61)/MSCI_World_Index_Monthly!B61</f>
        <v>-5.2910906820233042E-2</v>
      </c>
      <c r="F38">
        <f>(1+'Risk-free rate'!B62/100)^(1/12)-1</f>
        <v>1.2491414476678564E-4</v>
      </c>
      <c r="G38">
        <f t="shared" si="0"/>
        <v>-7.665705166345145E-2</v>
      </c>
      <c r="H38">
        <f t="shared" si="0"/>
        <v>-5.3035820964999827E-2</v>
      </c>
      <c r="I38">
        <f t="shared" si="1"/>
        <v>-4.1693490799114774E-2</v>
      </c>
      <c r="J38">
        <f t="shared" si="2"/>
        <v>0.97373617594969253</v>
      </c>
    </row>
    <row r="39" spans="1:10" x14ac:dyDescent="0.2">
      <c r="A39" t="str">
        <f>MSCI_World_Index_Monthly!A63</f>
        <v>2022-02-28</v>
      </c>
      <c r="B39">
        <f>GSCEQBA_Monthly!B63</f>
        <v>30.36</v>
      </c>
      <c r="C39">
        <f>MSCI_World_Index_Monthly!B63</f>
        <v>9005.8332809999993</v>
      </c>
      <c r="D39">
        <f>(GSCEQBA_Monthly!B63-GSCEQBA_Monthly!B62)/GSCEQBA_Monthly!B62</f>
        <v>-1.7157656199417323E-2</v>
      </c>
      <c r="E39">
        <f>(MSCI_World_Index_Monthly!B63-MSCI_World_Index_Monthly!B62)/MSCI_World_Index_Monthly!B62</f>
        <v>-2.5291216539987844E-2</v>
      </c>
      <c r="F39">
        <f>(1+'Risk-free rate'!B63/100)^(1/12)-1</f>
        <v>2.7458493733023559E-4</v>
      </c>
      <c r="G39">
        <f t="shared" si="0"/>
        <v>-1.7432241136747559E-2</v>
      </c>
      <c r="H39">
        <f t="shared" si="0"/>
        <v>-2.556580147731808E-2</v>
      </c>
      <c r="I39">
        <f t="shared" si="1"/>
        <v>-2.6559919685189559E-2</v>
      </c>
      <c r="J39">
        <f t="shared" si="2"/>
        <v>0.94943218053258138</v>
      </c>
    </row>
    <row r="40" spans="1:10" x14ac:dyDescent="0.2">
      <c r="A40" t="str">
        <f>MSCI_World_Index_Monthly!A64</f>
        <v>2022-03-31</v>
      </c>
      <c r="B40">
        <f>GSCEQBA_Monthly!B64</f>
        <v>31.61</v>
      </c>
      <c r="C40">
        <f>MSCI_World_Index_Monthly!B64</f>
        <v>9252.9836140000007</v>
      </c>
      <c r="D40">
        <f>(GSCEQBA_Monthly!B64-GSCEQBA_Monthly!B63)/GSCEQBA_Monthly!B63</f>
        <v>4.1172595520421608E-2</v>
      </c>
      <c r="E40">
        <f>(MSCI_World_Index_Monthly!B64-MSCI_World_Index_Monthly!B63)/MSCI_World_Index_Monthly!B63</f>
        <v>2.744336090713841E-2</v>
      </c>
      <c r="F40">
        <f>(1+'Risk-free rate'!B64/100)^(1/12)-1</f>
        <v>3.6592929423662213E-4</v>
      </c>
      <c r="G40">
        <f t="shared" si="0"/>
        <v>4.0806666226184986E-2</v>
      </c>
      <c r="H40">
        <f t="shared" si="0"/>
        <v>2.7077431612901787E-2</v>
      </c>
      <c r="I40">
        <f t="shared" si="1"/>
        <v>-8.6382351677092295E-3</v>
      </c>
      <c r="J40">
        <f t="shared" si="2"/>
        <v>0.97910789984825064</v>
      </c>
    </row>
    <row r="41" spans="1:10" x14ac:dyDescent="0.2">
      <c r="A41" t="str">
        <f>MSCI_World_Index_Monthly!A65</f>
        <v>2022-04-29</v>
      </c>
      <c r="B41">
        <f>GSCEQBA_Monthly!B65</f>
        <v>29.45</v>
      </c>
      <c r="C41">
        <f>MSCI_World_Index_Monthly!B65</f>
        <v>8484.3073420000001</v>
      </c>
      <c r="D41">
        <f>(GSCEQBA_Monthly!B65-GSCEQBA_Monthly!B64)/GSCEQBA_Monthly!B64</f>
        <v>-6.8332806074027211E-2</v>
      </c>
      <c r="E41">
        <f>(MSCI_World_Index_Monthly!B65-MSCI_World_Index_Monthly!B64)/MSCI_World_Index_Monthly!B64</f>
        <v>-8.3073341969067557E-2</v>
      </c>
      <c r="F41">
        <f>(1+'Risk-free rate'!B65/100)^(1/12)-1</f>
        <v>6.3113787510671315E-4</v>
      </c>
      <c r="G41">
        <f t="shared" si="0"/>
        <v>-6.8963943949133924E-2</v>
      </c>
      <c r="H41">
        <f t="shared" si="0"/>
        <v>-8.370447984417427E-2</v>
      </c>
      <c r="I41">
        <f t="shared" si="1"/>
        <v>-7.7986706132744388E-3</v>
      </c>
      <c r="J41">
        <f t="shared" si="2"/>
        <v>0.89635547401198212</v>
      </c>
    </row>
    <row r="42" spans="1:10" x14ac:dyDescent="0.2">
      <c r="A42" t="str">
        <f>MSCI_World_Index_Monthly!A66</f>
        <v>2022-05-31</v>
      </c>
      <c r="B42">
        <f>GSCEQBA_Monthly!B66</f>
        <v>28.58</v>
      </c>
      <c r="C42">
        <f>MSCI_World_Index_Monthly!B66</f>
        <v>8490.7329769999997</v>
      </c>
      <c r="D42">
        <f>(GSCEQBA_Monthly!B66-GSCEQBA_Monthly!B65)/GSCEQBA_Monthly!B65</f>
        <v>-2.9541595925297148E-2</v>
      </c>
      <c r="E42">
        <f>(MSCI_World_Index_Monthly!B66-MSCI_World_Index_Monthly!B65)/MSCI_World_Index_Monthly!B65</f>
        <v>7.5735528440732931E-4</v>
      </c>
      <c r="F42">
        <f>(1+'Risk-free rate'!B66/100)^(1/12)-1</f>
        <v>8.1302127632687515E-4</v>
      </c>
      <c r="G42">
        <f t="shared" si="0"/>
        <v>-3.0354617201624023E-2</v>
      </c>
      <c r="H42">
        <f t="shared" si="0"/>
        <v>-5.5665991919545839E-5</v>
      </c>
      <c r="I42">
        <f t="shared" si="1"/>
        <v>-3.2599029793967671E-2</v>
      </c>
      <c r="J42">
        <f t="shared" si="2"/>
        <v>0.89518963774087257</v>
      </c>
    </row>
    <row r="43" spans="1:10" x14ac:dyDescent="0.2">
      <c r="A43" t="str">
        <f>MSCI_World_Index_Monthly!A67</f>
        <v>2022-06-30</v>
      </c>
      <c r="B43">
        <f>GSCEQBA_Monthly!B67</f>
        <v>25.49</v>
      </c>
      <c r="C43">
        <f>MSCI_World_Index_Monthly!B67</f>
        <v>7755.2487279999996</v>
      </c>
      <c r="D43">
        <f>(GSCEQBA_Monthly!B67-GSCEQBA_Monthly!B66)/GSCEQBA_Monthly!B66</f>
        <v>-0.10811756473058083</v>
      </c>
      <c r="E43">
        <f>(MSCI_World_Index_Monthly!B67-MSCI_World_Index_Monthly!B66)/MSCI_World_Index_Monthly!B66</f>
        <v>-8.6621997298973602E-2</v>
      </c>
      <c r="F43">
        <f>(1+'Risk-free rate'!B67/100)^(1/12)-1</f>
        <v>1.2332669717645128E-3</v>
      </c>
      <c r="G43">
        <f t="shared" si="0"/>
        <v>-0.10935083170234534</v>
      </c>
      <c r="H43">
        <f t="shared" si="0"/>
        <v>-8.7855264270738115E-2</v>
      </c>
      <c r="I43">
        <f t="shared" si="1"/>
        <v>-4.9048115068760945E-2</v>
      </c>
      <c r="J43">
        <f t="shared" si="2"/>
        <v>0.97761250493739105</v>
      </c>
    </row>
    <row r="44" spans="1:10" x14ac:dyDescent="0.2">
      <c r="A44" t="str">
        <f>MSCI_World_Index_Monthly!A68</f>
        <v>2022-07-29</v>
      </c>
      <c r="B44">
        <f>GSCEQBA_Monthly!B68</f>
        <v>27.37</v>
      </c>
      <c r="C44">
        <f>MSCI_World_Index_Monthly!B68</f>
        <v>8370.9868600000009</v>
      </c>
      <c r="D44">
        <f>(GSCEQBA_Monthly!B68-GSCEQBA_Monthly!B67)/GSCEQBA_Monthly!B67</f>
        <v>7.375441349548853E-2</v>
      </c>
      <c r="E44">
        <f>(MSCI_World_Index_Monthly!B68-MSCI_World_Index_Monthly!B67)/MSCI_World_Index_Monthly!B67</f>
        <v>7.9396309982541852E-2</v>
      </c>
      <c r="F44">
        <f>(1+'Risk-free rate'!B68/100)^(1/12)-1</f>
        <v>1.8396059010297172E-3</v>
      </c>
      <c r="G44">
        <f t="shared" ref="G44:H73" si="3">D44-$F44</f>
        <v>7.1914807594458813E-2</v>
      </c>
      <c r="H44">
        <f t="shared" si="3"/>
        <v>7.7556704081512134E-2</v>
      </c>
      <c r="I44">
        <f t="shared" si="1"/>
        <v>-6.1142101636513457E-2</v>
      </c>
      <c r="J44">
        <f t="shared" si="2"/>
        <v>0.96882965089841566</v>
      </c>
    </row>
    <row r="45" spans="1:10" x14ac:dyDescent="0.2">
      <c r="A45" t="str">
        <f>MSCI_World_Index_Monthly!A69</f>
        <v>2022-08-31</v>
      </c>
      <c r="B45">
        <f>GSCEQBA_Monthly!B69</f>
        <v>26.83</v>
      </c>
      <c r="C45">
        <f>MSCI_World_Index_Monthly!B69</f>
        <v>8021.0142690000002</v>
      </c>
      <c r="D45">
        <f>(GSCEQBA_Monthly!B69-GSCEQBA_Monthly!B68)/GSCEQBA_Monthly!B68</f>
        <v>-1.9729630982828011E-2</v>
      </c>
      <c r="E45">
        <f>(MSCI_World_Index_Monthly!B69-MSCI_World_Index_Monthly!B68)/MSCI_World_Index_Monthly!B68</f>
        <v>-4.1807805561410311E-2</v>
      </c>
      <c r="F45">
        <f>(1+'Risk-free rate'!B69/100)^(1/12)-1</f>
        <v>2.1656835180154932E-3</v>
      </c>
      <c r="G45">
        <f t="shared" si="3"/>
        <v>-2.1895314500843505E-2</v>
      </c>
      <c r="H45">
        <f t="shared" si="3"/>
        <v>-4.3973489079425804E-2</v>
      </c>
      <c r="I45">
        <f t="shared" si="1"/>
        <v>-4.980353688801531E-2</v>
      </c>
      <c r="J45">
        <f t="shared" si="2"/>
        <v>0.93360546190079607</v>
      </c>
    </row>
    <row r="46" spans="1:10" x14ac:dyDescent="0.2">
      <c r="A46" t="str">
        <f>MSCI_World_Index_Monthly!A70</f>
        <v>2022-09-30</v>
      </c>
      <c r="B46">
        <f>GSCEQBA_Monthly!B70</f>
        <v>24.45</v>
      </c>
      <c r="C46">
        <f>MSCI_World_Index_Monthly!B70</f>
        <v>7275.3815860000004</v>
      </c>
      <c r="D46">
        <f>(GSCEQBA_Monthly!B70-GSCEQBA_Monthly!B69)/GSCEQBA_Monthly!B69</f>
        <v>-8.8706671636228071E-2</v>
      </c>
      <c r="E46">
        <f>(MSCI_World_Index_Monthly!B70-MSCI_World_Index_Monthly!B69)/MSCI_World_Index_Monthly!B69</f>
        <v>-9.2959899832338752E-2</v>
      </c>
      <c r="F46">
        <f>(1+'Risk-free rate'!B70/100)^(1/12)-1</f>
        <v>2.5716462189622202E-3</v>
      </c>
      <c r="G46">
        <f t="shared" si="3"/>
        <v>-9.1278317855190291E-2</v>
      </c>
      <c r="H46">
        <f t="shared" si="3"/>
        <v>-9.5531546051300972E-2</v>
      </c>
      <c r="I46">
        <f t="shared" si="1"/>
        <v>-5.1296993415862469E-2</v>
      </c>
      <c r="J46">
        <f t="shared" si="2"/>
        <v>0.93121604019262705</v>
      </c>
    </row>
    <row r="47" spans="1:10" x14ac:dyDescent="0.2">
      <c r="A47" t="str">
        <f>MSCI_World_Index_Monthly!A71</f>
        <v>2022-10-31</v>
      </c>
      <c r="B47">
        <f>GSCEQBA_Monthly!B71</f>
        <v>25.96</v>
      </c>
      <c r="C47">
        <f>MSCI_World_Index_Monthly!B71</f>
        <v>7797.8480239999999</v>
      </c>
      <c r="D47">
        <f>(GSCEQBA_Monthly!B71-GSCEQBA_Monthly!B70)/GSCEQBA_Monthly!B70</f>
        <v>6.1758691206544036E-2</v>
      </c>
      <c r="E47">
        <f>(MSCI_World_Index_Monthly!B71-MSCI_World_Index_Monthly!B70)/MSCI_World_Index_Monthly!B70</f>
        <v>7.1812925799710686E-2</v>
      </c>
      <c r="F47">
        <f>(1+'Risk-free rate'!B71/100)^(1/12)-1</f>
        <v>3.0483680766628662E-3</v>
      </c>
      <c r="G47">
        <f t="shared" si="3"/>
        <v>5.871032312988117E-2</v>
      </c>
      <c r="H47">
        <f t="shared" si="3"/>
        <v>6.876455772304782E-2</v>
      </c>
      <c r="I47">
        <f t="shared" si="1"/>
        <v>-2.5270109402593777E-2</v>
      </c>
      <c r="J47">
        <f t="shared" si="2"/>
        <v>0.96735150651529489</v>
      </c>
    </row>
    <row r="48" spans="1:10" x14ac:dyDescent="0.2">
      <c r="A48" t="str">
        <f>MSCI_World_Index_Monthly!A72</f>
        <v>2022-11-30</v>
      </c>
      <c r="B48">
        <f>GSCEQBA_Monthly!B72</f>
        <v>27.1</v>
      </c>
      <c r="C48">
        <f>MSCI_World_Index_Monthly!B72</f>
        <v>8340.0357280000007</v>
      </c>
      <c r="D48">
        <f>(GSCEQBA_Monthly!B72-GSCEQBA_Monthly!B71)/GSCEQBA_Monthly!B71</f>
        <v>4.3913713405238849E-2</v>
      </c>
      <c r="E48">
        <f>(MSCI_World_Index_Monthly!B72-MSCI_World_Index_Monthly!B71)/MSCI_World_Index_Monthly!B71</f>
        <v>6.9530427155193406E-2</v>
      </c>
      <c r="F48">
        <f>(1+'Risk-free rate'!B72/100)^(1/12)-1</f>
        <v>3.3942459274463044E-3</v>
      </c>
      <c r="G48">
        <f t="shared" si="3"/>
        <v>4.0519467477792545E-2</v>
      </c>
      <c r="H48">
        <f t="shared" si="3"/>
        <v>6.6136181227747101E-2</v>
      </c>
      <c r="I48">
        <f t="shared" si="1"/>
        <v>-6.4129572401231183E-2</v>
      </c>
      <c r="J48">
        <f t="shared" si="2"/>
        <v>0.93701403939834804</v>
      </c>
    </row>
    <row r="49" spans="1:10" x14ac:dyDescent="0.2">
      <c r="A49" t="str">
        <f>MSCI_World_Index_Monthly!A73</f>
        <v>2022-12-30</v>
      </c>
      <c r="B49">
        <f>GSCEQBA_Monthly!B73</f>
        <v>26.38</v>
      </c>
      <c r="C49">
        <f>MSCI_World_Index_Monthly!B73</f>
        <v>7985.8569200000002</v>
      </c>
      <c r="D49">
        <f>(GSCEQBA_Monthly!B73-GSCEQBA_Monthly!B72)/GSCEQBA_Monthly!B72</f>
        <v>-2.6568265682656914E-2</v>
      </c>
      <c r="E49">
        <f>(MSCI_World_Index_Monthly!B73-MSCI_World_Index_Monthly!B72)/MSCI_World_Index_Monthly!B72</f>
        <v>-4.2467301046555009E-2</v>
      </c>
      <c r="F49">
        <f>(1+'Risk-free rate'!B73/100)^(1/12)-1</f>
        <v>3.474495003497502E-3</v>
      </c>
      <c r="G49">
        <f t="shared" si="3"/>
        <v>-3.0042760686154416E-2</v>
      </c>
      <c r="H49">
        <f t="shared" si="3"/>
        <v>-4.5941796050052511E-2</v>
      </c>
      <c r="I49">
        <f t="shared" si="1"/>
        <v>-5.2104320990956854E-2</v>
      </c>
      <c r="J49">
        <f t="shared" si="2"/>
        <v>0.92098633981470657</v>
      </c>
    </row>
    <row r="50" spans="1:10" x14ac:dyDescent="0.2">
      <c r="A50" t="str">
        <f>MSCI_World_Index_Monthly!A74</f>
        <v>2023-01-31</v>
      </c>
      <c r="B50">
        <f>GSCEQBA_Monthly!B74</f>
        <v>28.26</v>
      </c>
      <c r="C50">
        <f>MSCI_World_Index_Monthly!B74</f>
        <v>8550.9047050000008</v>
      </c>
      <c r="D50">
        <f>(GSCEQBA_Monthly!B74-GSCEQBA_Monthly!B73)/GSCEQBA_Monthly!B73</f>
        <v>7.1266110689916701E-2</v>
      </c>
      <c r="E50">
        <f>(MSCI_World_Index_Monthly!B74-MSCI_World_Index_Monthly!B73)/MSCI_World_Index_Monthly!B73</f>
        <v>7.0756061705147685E-2</v>
      </c>
      <c r="F50">
        <f>(1+'Risk-free rate'!B74/100)^(1/12)-1</f>
        <v>3.7068189305531352E-3</v>
      </c>
      <c r="G50">
        <f t="shared" si="3"/>
        <v>6.7559291759363566E-2</v>
      </c>
      <c r="H50">
        <f t="shared" si="3"/>
        <v>6.704924277459455E-2</v>
      </c>
      <c r="I50">
        <f t="shared" si="1"/>
        <v>-2.0115496255432741E-2</v>
      </c>
      <c r="J50">
        <f t="shared" si="2"/>
        <v>0.91399935582635616</v>
      </c>
    </row>
    <row r="51" spans="1:10" x14ac:dyDescent="0.2">
      <c r="A51" t="str">
        <f>MSCI_World_Index_Monthly!A75</f>
        <v>2023-02-28</v>
      </c>
      <c r="B51">
        <f>GSCEQBA_Monthly!B75</f>
        <v>28.02</v>
      </c>
      <c r="C51">
        <f>MSCI_World_Index_Monthly!B75</f>
        <v>8345.3537199999992</v>
      </c>
      <c r="D51">
        <f>(GSCEQBA_Monthly!B75-GSCEQBA_Monthly!B74)/GSCEQBA_Monthly!B74</f>
        <v>-8.4925690021232115E-3</v>
      </c>
      <c r="E51">
        <f>(MSCI_World_Index_Monthly!B75-MSCI_World_Index_Monthly!B74)/MSCI_World_Index_Monthly!B74</f>
        <v>-2.4038507279798022E-2</v>
      </c>
      <c r="F51">
        <f>(1+'Risk-free rate'!B75/100)^(1/12)-1</f>
        <v>3.7947872834442897E-3</v>
      </c>
      <c r="G51">
        <f t="shared" si="3"/>
        <v>-1.2287356285567501E-2</v>
      </c>
      <c r="H51">
        <f t="shared" si="3"/>
        <v>-2.7833294563242312E-2</v>
      </c>
      <c r="I51">
        <f t="shared" si="1"/>
        <v>-1.3280668686479591E-2</v>
      </c>
      <c r="J51">
        <f t="shared" si="2"/>
        <v>0.91047240670971241</v>
      </c>
    </row>
    <row r="52" spans="1:10" x14ac:dyDescent="0.2">
      <c r="A52" t="str">
        <f>MSCI_World_Index_Monthly!A76</f>
        <v>2023-03-31</v>
      </c>
      <c r="B52">
        <f>GSCEQBA_Monthly!B76</f>
        <v>28.28</v>
      </c>
      <c r="C52">
        <f>MSCI_World_Index_Monthly!B76</f>
        <v>8603.2225639999997</v>
      </c>
      <c r="D52">
        <f>(GSCEQBA_Monthly!B76-GSCEQBA_Monthly!B75)/GSCEQBA_Monthly!B75</f>
        <v>9.2790863668808562E-3</v>
      </c>
      <c r="E52">
        <f>(MSCI_World_Index_Monthly!B76-MSCI_World_Index_Monthly!B75)/MSCI_World_Index_Monthly!B75</f>
        <v>3.0899690133206308E-2</v>
      </c>
      <c r="F52">
        <f>(1+'Risk-free rate'!B76/100)^(1/12)-1</f>
        <v>3.8267547616503972E-3</v>
      </c>
      <c r="G52">
        <f t="shared" si="3"/>
        <v>5.452331605230459E-3</v>
      </c>
      <c r="H52">
        <f t="shared" si="3"/>
        <v>2.707293537155591E-2</v>
      </c>
      <c r="I52">
        <f t="shared" si="1"/>
        <v>-4.9471741347438036E-2</v>
      </c>
      <c r="J52">
        <f t="shared" si="2"/>
        <v>0.88598395956176856</v>
      </c>
    </row>
    <row r="53" spans="1:10" x14ac:dyDescent="0.2">
      <c r="A53" t="str">
        <f>MSCI_World_Index_Monthly!A77</f>
        <v>2023-04-28</v>
      </c>
      <c r="B53">
        <f>GSCEQBA_Monthly!B77</f>
        <v>28.56</v>
      </c>
      <c r="C53">
        <f>MSCI_World_Index_Monthly!B77</f>
        <v>8754.0334980000007</v>
      </c>
      <c r="D53">
        <f>(GSCEQBA_Monthly!B77-GSCEQBA_Monthly!B76)/GSCEQBA_Monthly!B76</f>
        <v>9.9009900990098144E-3</v>
      </c>
      <c r="E53">
        <f>(MSCI_World_Index_Monthly!B77-MSCI_World_Index_Monthly!B76)/MSCI_World_Index_Monthly!B76</f>
        <v>1.7529586486703962E-2</v>
      </c>
      <c r="F53">
        <f>(1+'Risk-free rate'!B77/100)^(1/12)-1</f>
        <v>4.0103507726252374E-3</v>
      </c>
      <c r="G53">
        <f t="shared" si="3"/>
        <v>5.8906393263845769E-3</v>
      </c>
      <c r="H53">
        <f t="shared" si="3"/>
        <v>1.3519235714078724E-2</v>
      </c>
      <c r="I53">
        <f t="shared" si="1"/>
        <v>-6.0517926374924924E-2</v>
      </c>
      <c r="J53">
        <f t="shared" si="2"/>
        <v>0.9045000527819691</v>
      </c>
    </row>
    <row r="54" spans="1:10" x14ac:dyDescent="0.2">
      <c r="A54" t="str">
        <f>MSCI_World_Index_Monthly!A78</f>
        <v>2023-05-31</v>
      </c>
      <c r="B54">
        <f>GSCEQBA_Monthly!B78</f>
        <v>28.62</v>
      </c>
      <c r="C54">
        <f>MSCI_World_Index_Monthly!B78</f>
        <v>8666.6383229999992</v>
      </c>
      <c r="D54">
        <f>(GSCEQBA_Monthly!B78-GSCEQBA_Monthly!B77)/GSCEQBA_Monthly!B77</f>
        <v>2.1008403361345335E-3</v>
      </c>
      <c r="E54">
        <f>(MSCI_World_Index_Monthly!B78-MSCI_World_Index_Monthly!B77)/MSCI_World_Index_Monthly!B77</f>
        <v>-9.9834179318560191E-3</v>
      </c>
      <c r="F54">
        <f>(1+'Risk-free rate'!B78/100)^(1/12)-1</f>
        <v>4.1856194553282489E-3</v>
      </c>
      <c r="G54">
        <f t="shared" si="3"/>
        <v>-2.0847791191937154E-3</v>
      </c>
      <c r="H54">
        <f t="shared" si="3"/>
        <v>-1.4169037387184268E-2</v>
      </c>
      <c r="I54">
        <f t="shared" si="1"/>
        <v>-2.0996722438091697E-2</v>
      </c>
      <c r="J54">
        <f t="shared" si="2"/>
        <v>0.89875925177774885</v>
      </c>
    </row>
    <row r="55" spans="1:10" x14ac:dyDescent="0.2">
      <c r="A55" t="str">
        <f>MSCI_World_Index_Monthly!A79</f>
        <v>2023-06-30</v>
      </c>
      <c r="B55">
        <f>GSCEQBA_Monthly!B79</f>
        <v>30.44</v>
      </c>
      <c r="C55">
        <f>MSCI_World_Index_Monthly!B79</f>
        <v>9190.7774420000005</v>
      </c>
      <c r="D55">
        <f>(GSCEQBA_Monthly!B79-GSCEQBA_Monthly!B78)/GSCEQBA_Monthly!B78</f>
        <v>6.3591893780573033E-2</v>
      </c>
      <c r="E55">
        <f>(MSCI_World_Index_Monthly!B79-MSCI_World_Index_Monthly!B78)/MSCI_World_Index_Monthly!B78</f>
        <v>6.0477788441801274E-2</v>
      </c>
      <c r="F55">
        <f>(1+'Risk-free rate'!B79/100)^(1/12)-1</f>
        <v>4.2015362976310922E-3</v>
      </c>
      <c r="G55">
        <f t="shared" si="3"/>
        <v>5.9390357482941941E-2</v>
      </c>
      <c r="H55">
        <f t="shared" si="3"/>
        <v>5.6276252144170182E-2</v>
      </c>
      <c r="I55">
        <f t="shared" si="1"/>
        <v>2.8315663854230788E-2</v>
      </c>
      <c r="J55">
        <f t="shared" si="2"/>
        <v>0.83191678057385376</v>
      </c>
    </row>
    <row r="56" spans="1:10" x14ac:dyDescent="0.2">
      <c r="A56" t="str">
        <f>MSCI_World_Index_Monthly!A80</f>
        <v>2023-07-31</v>
      </c>
      <c r="B56">
        <f>GSCEQBA_Monthly!B80</f>
        <v>31.36</v>
      </c>
      <c r="C56">
        <f>MSCI_World_Index_Monthly!B80</f>
        <v>9499.5210160000006</v>
      </c>
      <c r="D56">
        <f>(GSCEQBA_Monthly!B80-GSCEQBA_Monthly!B79)/GSCEQBA_Monthly!B79</f>
        <v>3.0223390275952632E-2</v>
      </c>
      <c r="E56">
        <f>(MSCI_World_Index_Monthly!B80-MSCI_World_Index_Monthly!B79)/MSCI_World_Index_Monthly!B79</f>
        <v>3.3592759257677615E-2</v>
      </c>
      <c r="F56">
        <f>(1+'Risk-free rate'!B80/100)^(1/12)-1</f>
        <v>4.2731277661580691E-3</v>
      </c>
      <c r="G56">
        <f t="shared" si="3"/>
        <v>2.5950262509794562E-2</v>
      </c>
      <c r="H56">
        <f t="shared" si="3"/>
        <v>2.9319631491519546E-2</v>
      </c>
      <c r="I56">
        <f t="shared" si="1"/>
        <v>2.3528047069409475E-2</v>
      </c>
      <c r="J56">
        <f t="shared" si="2"/>
        <v>0.82040909356967162</v>
      </c>
    </row>
    <row r="57" spans="1:10" x14ac:dyDescent="0.2">
      <c r="A57" t="str">
        <f>MSCI_World_Index_Monthly!A81</f>
        <v>2023-08-31</v>
      </c>
      <c r="B57">
        <f>GSCEQBA_Monthly!B81</f>
        <v>30.59</v>
      </c>
      <c r="C57">
        <f>MSCI_World_Index_Monthly!B81</f>
        <v>9272.6180789999999</v>
      </c>
      <c r="D57">
        <f>(GSCEQBA_Monthly!B81-GSCEQBA_Monthly!B80)/GSCEQBA_Monthly!B80</f>
        <v>-2.4553571428571414E-2</v>
      </c>
      <c r="E57">
        <f>(MSCI_World_Index_Monthly!B81-MSCI_World_Index_Monthly!B80)/MSCI_World_Index_Monthly!B80</f>
        <v>-2.3885723987328324E-2</v>
      </c>
      <c r="F57">
        <f>(1+'Risk-free rate'!B81/100)^(1/12)-1</f>
        <v>4.3128765598297036E-3</v>
      </c>
      <c r="G57">
        <f t="shared" si="3"/>
        <v>-2.8866447988401118E-2</v>
      </c>
      <c r="H57">
        <f t="shared" si="3"/>
        <v>-2.8198600547158028E-2</v>
      </c>
      <c r="I57">
        <f t="shared" si="1"/>
        <v>-2.6414641205874112E-4</v>
      </c>
      <c r="J57">
        <f t="shared" si="2"/>
        <v>0.85157123709785376</v>
      </c>
    </row>
    <row r="58" spans="1:10" x14ac:dyDescent="0.2">
      <c r="A58" t="str">
        <f>MSCI_World_Index_Monthly!A82</f>
        <v>2023-09-29</v>
      </c>
      <c r="B58">
        <f>GSCEQBA_Monthly!B82</f>
        <v>29.7</v>
      </c>
      <c r="C58">
        <f>MSCI_World_Index_Monthly!B82</f>
        <v>8872.6123389999993</v>
      </c>
      <c r="D58">
        <f>(GSCEQBA_Monthly!B82-GSCEQBA_Monthly!B81)/GSCEQBA_Monthly!B81</f>
        <v>-2.9094475318731629E-2</v>
      </c>
      <c r="E58">
        <f>(MSCI_World_Index_Monthly!B82-MSCI_World_Index_Monthly!B81)/MSCI_World_Index_Monthly!B81</f>
        <v>-4.3138381910272625E-2</v>
      </c>
      <c r="F58">
        <f>(1+'Risk-free rate'!B82/100)^(1/12)-1</f>
        <v>4.3287712331259165E-3</v>
      </c>
      <c r="G58">
        <f t="shared" si="3"/>
        <v>-3.3423246551857549E-2</v>
      </c>
      <c r="H58">
        <f t="shared" si="3"/>
        <v>-4.7467153143398541E-2</v>
      </c>
      <c r="I58">
        <f t="shared" si="1"/>
        <v>2.8108691652838802E-2</v>
      </c>
      <c r="J58">
        <f t="shared" si="2"/>
        <v>0.78415239565999006</v>
      </c>
    </row>
    <row r="59" spans="1:10" x14ac:dyDescent="0.2">
      <c r="A59" t="str">
        <f>MSCI_World_Index_Monthly!A83</f>
        <v>2023-10-31</v>
      </c>
      <c r="B59">
        <f>GSCEQBA_Monthly!B83</f>
        <v>28.48</v>
      </c>
      <c r="C59">
        <f>MSCI_World_Index_Monthly!B83</f>
        <v>8615.1660620000002</v>
      </c>
      <c r="D59">
        <f>(GSCEQBA_Monthly!B83-GSCEQBA_Monthly!B82)/GSCEQBA_Monthly!B82</f>
        <v>-4.1077441077441039E-2</v>
      </c>
      <c r="E59">
        <f>(MSCI_World_Index_Monthly!B83-MSCI_World_Index_Monthly!B82)/MSCI_World_Index_Monthly!B82</f>
        <v>-2.9015837406575453E-2</v>
      </c>
      <c r="F59">
        <f>(1+'Risk-free rate'!B83/100)^(1/12)-1</f>
        <v>4.3446631398347257E-3</v>
      </c>
      <c r="G59">
        <f t="shared" si="3"/>
        <v>-4.5422104217275765E-2</v>
      </c>
      <c r="H59">
        <f t="shared" si="3"/>
        <v>-3.3360500546410182E-2</v>
      </c>
      <c r="I59">
        <f t="shared" si="1"/>
        <v>1.6731674970416055E-3</v>
      </c>
      <c r="J59">
        <f t="shared" si="2"/>
        <v>0.81668654946779506</v>
      </c>
    </row>
    <row r="60" spans="1:10" x14ac:dyDescent="0.2">
      <c r="A60" t="str">
        <f>MSCI_World_Index_Monthly!A84</f>
        <v>2023-11-30</v>
      </c>
      <c r="B60">
        <f>GSCEQBA_Monthly!B84</f>
        <v>30.98</v>
      </c>
      <c r="C60">
        <f>MSCI_World_Index_Monthly!B84</f>
        <v>9422.8557509999991</v>
      </c>
      <c r="D60">
        <f>(GSCEQBA_Monthly!B84-GSCEQBA_Monthly!B83)/GSCEQBA_Monthly!B83</f>
        <v>8.7780898876404487E-2</v>
      </c>
      <c r="E60">
        <f>(MSCI_World_Index_Monthly!B84-MSCI_World_Index_Monthly!B83)/MSCI_World_Index_Monthly!B83</f>
        <v>9.3752074328848717E-2</v>
      </c>
      <c r="F60">
        <f>(1+'Risk-free rate'!B84/100)^(1/12)-1</f>
        <v>4.2890293603305985E-3</v>
      </c>
      <c r="G60">
        <f t="shared" si="3"/>
        <v>8.3491869516073888E-2</v>
      </c>
      <c r="H60">
        <f t="shared" si="3"/>
        <v>8.9463044968518118E-2</v>
      </c>
      <c r="I60">
        <f t="shared" si="1"/>
        <v>1.9893154119329459E-2</v>
      </c>
      <c r="J60">
        <f t="shared" si="2"/>
        <v>0.88526823566854729</v>
      </c>
    </row>
    <row r="61" spans="1:10" x14ac:dyDescent="0.2">
      <c r="A61" t="str">
        <f>MSCI_World_Index_Monthly!A85</f>
        <v>2023-12-29</v>
      </c>
      <c r="B61">
        <f>GSCEQBA_Monthly!B85</f>
        <v>32.619999999999997</v>
      </c>
      <c r="C61">
        <f>MSCI_World_Index_Monthly!B85</f>
        <v>9885.4637610000009</v>
      </c>
      <c r="D61">
        <f>(GSCEQBA_Monthly!B85-GSCEQBA_Monthly!B84)/GSCEQBA_Monthly!B84</f>
        <v>5.293737895416388E-2</v>
      </c>
      <c r="E61">
        <f>(MSCI_World_Index_Monthly!B85-MSCI_World_Index_Monthly!B84)/MSCI_World_Index_Monthly!B84</f>
        <v>4.909424724568319E-2</v>
      </c>
      <c r="F61">
        <f>(1+'Risk-free rate'!B85/100)^(1/12)-1</f>
        <v>4.2651759303415915E-3</v>
      </c>
      <c r="G61">
        <f t="shared" si="3"/>
        <v>4.8672203023822289E-2</v>
      </c>
      <c r="H61">
        <f t="shared" si="3"/>
        <v>4.4829071315341598E-2</v>
      </c>
      <c r="I61">
        <f t="shared" si="1"/>
        <v>1.1988914386267702E-2</v>
      </c>
      <c r="J61">
        <f t="shared" si="2"/>
        <v>0.92010607981875081</v>
      </c>
    </row>
    <row r="62" spans="1:10" x14ac:dyDescent="0.2">
      <c r="A62" t="str">
        <f>MSCI_World_Index_Monthly!A86</f>
        <v>2024-01-31</v>
      </c>
      <c r="B62">
        <f>GSCEQBA_Monthly!B86</f>
        <v>33.43</v>
      </c>
      <c r="C62">
        <f>MSCI_World_Index_Monthly!B86</f>
        <v>10004.094090000001</v>
      </c>
      <c r="D62">
        <f>(GSCEQBA_Monthly!B86-GSCEQBA_Monthly!B85)/GSCEQBA_Monthly!B85</f>
        <v>2.4831391784181554E-2</v>
      </c>
      <c r="E62">
        <f>(MSCI_World_Index_Monthly!B86-MSCI_World_Index_Monthly!B85)/MSCI_World_Index_Monthly!B85</f>
        <v>1.2000481906374327E-2</v>
      </c>
      <c r="F62">
        <f>(1+'Risk-free rate'!B86/100)^(1/12)-1</f>
        <v>4.2492701806178257E-3</v>
      </c>
      <c r="G62">
        <f t="shared" si="3"/>
        <v>2.0582121603563729E-2</v>
      </c>
      <c r="H62">
        <f t="shared" si="3"/>
        <v>7.7512117257565009E-3</v>
      </c>
      <c r="I62">
        <f t="shared" si="1"/>
        <v>2.1593744821189587E-2</v>
      </c>
      <c r="J62">
        <f t="shared" si="2"/>
        <v>0.90409890035375362</v>
      </c>
    </row>
    <row r="63" spans="1:10" x14ac:dyDescent="0.2">
      <c r="A63" t="str">
        <f>MSCI_World_Index_Monthly!A87</f>
        <v>2024-02-29</v>
      </c>
      <c r="B63">
        <f>GSCEQBA_Monthly!B87</f>
        <v>35.03</v>
      </c>
      <c r="C63">
        <f>MSCI_World_Index_Monthly!B87</f>
        <v>10428.244322</v>
      </c>
      <c r="D63">
        <f>(GSCEQBA_Monthly!B87-GSCEQBA_Monthly!B86)/GSCEQBA_Monthly!B86</f>
        <v>4.7861202512713176E-2</v>
      </c>
      <c r="E63">
        <f>(MSCI_World_Index_Monthly!B87-MSCI_World_Index_Monthly!B86)/MSCI_World_Index_Monthly!B86</f>
        <v>4.239766521428228E-2</v>
      </c>
      <c r="F63">
        <f>(1+'Risk-free rate'!B87/100)^(1/12)-1</f>
        <v>4.2651759303415915E-3</v>
      </c>
      <c r="G63">
        <f t="shared" si="3"/>
        <v>4.3596026582371585E-2</v>
      </c>
      <c r="H63">
        <f t="shared" si="3"/>
        <v>3.8132489283940689E-2</v>
      </c>
      <c r="I63">
        <f t="shared" si="1"/>
        <v>1.1122621842100333E-2</v>
      </c>
      <c r="J63">
        <f t="shared" si="2"/>
        <v>0.93991509644692561</v>
      </c>
    </row>
    <row r="64" spans="1:10" x14ac:dyDescent="0.2">
      <c r="A64" t="str">
        <f>MSCI_World_Index_Monthly!A88</f>
        <v>2024-03-29</v>
      </c>
      <c r="B64">
        <f>GSCEQBA_Monthly!B88</f>
        <v>36.340000000000003</v>
      </c>
      <c r="C64">
        <f>MSCI_World_Index_Monthly!B88</f>
        <v>10763.354051</v>
      </c>
      <c r="D64">
        <f>(GSCEQBA_Monthly!B88-GSCEQBA_Monthly!B87)/GSCEQBA_Monthly!B87</f>
        <v>3.7396517270910715E-2</v>
      </c>
      <c r="E64">
        <f>(MSCI_World_Index_Monthly!B88-MSCI_World_Index_Monthly!B87)/MSCI_World_Index_Monthly!B87</f>
        <v>3.2134817583150961E-2</v>
      </c>
      <c r="F64">
        <f>(1+'Risk-free rate'!B88/100)^(1/12)-1</f>
        <v>4.2651759303415915E-3</v>
      </c>
      <c r="G64">
        <f t="shared" si="3"/>
        <v>3.3131341340569123E-2</v>
      </c>
      <c r="H64">
        <f t="shared" si="3"/>
        <v>2.786964165280937E-2</v>
      </c>
      <c r="I64">
        <f t="shared" si="1"/>
        <v>3.5283691874564038E-2</v>
      </c>
      <c r="J64">
        <f t="shared" si="2"/>
        <v>0.95769485241541363</v>
      </c>
    </row>
    <row r="65" spans="1:10" x14ac:dyDescent="0.2">
      <c r="A65" t="str">
        <f>MSCI_World_Index_Monthly!A89</f>
        <v>2024-04-30</v>
      </c>
      <c r="B65">
        <f>GSCEQBA_Monthly!B89</f>
        <v>35.15</v>
      </c>
      <c r="C65">
        <f>MSCI_World_Index_Monthly!B89</f>
        <v>10363.552441</v>
      </c>
      <c r="D65">
        <f>(GSCEQBA_Monthly!B89-GSCEQBA_Monthly!B88)/GSCEQBA_Monthly!B88</f>
        <v>-3.2746285085305575E-2</v>
      </c>
      <c r="E65">
        <f>(MSCI_World_Index_Monthly!B89-MSCI_World_Index_Monthly!B88)/MSCI_World_Index_Monthly!B88</f>
        <v>-3.7144704903845076E-2</v>
      </c>
      <c r="F65">
        <f>(1+'Risk-free rate'!B89/100)^(1/12)-1</f>
        <v>4.2651759303415915E-3</v>
      </c>
      <c r="G65">
        <f t="shared" si="3"/>
        <v>-3.7011461015647167E-2</v>
      </c>
      <c r="H65">
        <f t="shared" si="3"/>
        <v>-4.1409880834186667E-2</v>
      </c>
      <c r="I65">
        <f t="shared" si="1"/>
        <v>4.5086438776351656E-2</v>
      </c>
      <c r="J65">
        <f t="shared" si="2"/>
        <v>0.95961785668467403</v>
      </c>
    </row>
    <row r="66" spans="1:10" x14ac:dyDescent="0.2">
      <c r="A66" t="str">
        <f>MSCI_World_Index_Monthly!A90</f>
        <v>2024-05-31</v>
      </c>
      <c r="B66">
        <f>GSCEQBA_Monthly!B90</f>
        <v>36.42</v>
      </c>
      <c r="C66">
        <f>MSCI_World_Index_Monthly!B90</f>
        <v>10826.305639</v>
      </c>
      <c r="D66">
        <f>(GSCEQBA_Monthly!B90-GSCEQBA_Monthly!B89)/GSCEQBA_Monthly!B89</f>
        <v>3.6130867709815169E-2</v>
      </c>
      <c r="E66">
        <f>(MSCI_World_Index_Monthly!B90-MSCI_World_Index_Monthly!B89)/MSCI_World_Index_Monthly!B89</f>
        <v>4.4651985951194587E-2</v>
      </c>
      <c r="F66">
        <f>(1+'Risk-free rate'!B90/100)^(1/12)-1</f>
        <v>4.2731277661580691E-3</v>
      </c>
      <c r="G66">
        <f t="shared" si="3"/>
        <v>3.18577399436571E-2</v>
      </c>
      <c r="H66">
        <f t="shared" si="3"/>
        <v>4.0378858185036517E-2</v>
      </c>
      <c r="I66">
        <f t="shared" si="1"/>
        <v>2.6392511405629371E-2</v>
      </c>
      <c r="J66">
        <f t="shared" si="2"/>
        <v>0.95798144113092187</v>
      </c>
    </row>
    <row r="67" spans="1:10" x14ac:dyDescent="0.2">
      <c r="A67" t="str">
        <f>MSCI_World_Index_Monthly!A91</f>
        <v>2024-06-28</v>
      </c>
      <c r="B67">
        <f>GSCEQBA_Monthly!B91</f>
        <v>37.67</v>
      </c>
      <c r="C67">
        <f>MSCI_World_Index_Monthly!B91</f>
        <v>11046.598228999999</v>
      </c>
      <c r="D67">
        <f>(GSCEQBA_Monthly!B91-GSCEQBA_Monthly!B90)/GSCEQBA_Monthly!B90</f>
        <v>3.4321801208127403E-2</v>
      </c>
      <c r="E67">
        <f>(MSCI_World_Index_Monthly!B91-MSCI_World_Index_Monthly!B90)/MSCI_World_Index_Monthly!B90</f>
        <v>2.0347900506931096E-2</v>
      </c>
      <c r="F67">
        <f>(1+'Risk-free rate'!B91/100)^(1/12)-1</f>
        <v>4.2651759303415915E-3</v>
      </c>
      <c r="G67">
        <f t="shared" si="3"/>
        <v>3.0056625277785812E-2</v>
      </c>
      <c r="H67">
        <f t="shared" si="3"/>
        <v>1.6082724576589505E-2</v>
      </c>
      <c r="I67">
        <f t="shared" si="1"/>
        <v>3.6556593495157275E-2</v>
      </c>
      <c r="J67">
        <f t="shared" si="2"/>
        <v>0.95303995007322195</v>
      </c>
    </row>
    <row r="68" spans="1:10" x14ac:dyDescent="0.2">
      <c r="A68" t="str">
        <f>MSCI_World_Index_Monthly!A92</f>
        <v>2024-07-31</v>
      </c>
      <c r="B68">
        <f>GSCEQBA_Monthly!B92</f>
        <v>37.659999999999997</v>
      </c>
      <c r="C68">
        <f>MSCI_World_Index_Monthly!B92</f>
        <v>11241.266073999999</v>
      </c>
      <c r="D68">
        <f>(GSCEQBA_Monthly!B92-GSCEQBA_Monthly!B91)/GSCEQBA_Monthly!B91</f>
        <v>-2.6546323334231792E-4</v>
      </c>
      <c r="E68">
        <f>(MSCI_World_Index_Monthly!B92-MSCI_World_Index_Monthly!B91)/MSCI_World_Index_Monthly!B91</f>
        <v>1.7622424656393281E-2</v>
      </c>
      <c r="F68">
        <f>(1+'Risk-free rate'!B92/100)^(1/12)-1</f>
        <v>4.2333616592649115E-3</v>
      </c>
      <c r="G68">
        <f t="shared" si="3"/>
        <v>-4.4988248926072297E-3</v>
      </c>
      <c r="H68">
        <f t="shared" si="3"/>
        <v>1.338906299712837E-2</v>
      </c>
      <c r="I68">
        <f t="shared" si="1"/>
        <v>2.0632844338336565E-2</v>
      </c>
      <c r="J68">
        <f t="shared" si="2"/>
        <v>0.95501029597959963</v>
      </c>
    </row>
    <row r="69" spans="1:10" x14ac:dyDescent="0.2">
      <c r="A69" t="str">
        <f>MSCI_World_Index_Monthly!A93</f>
        <v>2024-08-30</v>
      </c>
      <c r="B69">
        <f>GSCEQBA_Monthly!B93</f>
        <v>38.67</v>
      </c>
      <c r="C69">
        <f>MSCI_World_Index_Monthly!B93</f>
        <v>11538.378269999999</v>
      </c>
      <c r="D69">
        <f>(GSCEQBA_Monthly!B93-GSCEQBA_Monthly!B92)/GSCEQBA_Monthly!B92</f>
        <v>2.6818906001062272E-2</v>
      </c>
      <c r="E69">
        <f>(MSCI_World_Index_Monthly!B93-MSCI_World_Index_Monthly!B92)/MSCI_World_Index_Monthly!B92</f>
        <v>2.6430492263428661E-2</v>
      </c>
      <c r="F69">
        <f>(1+'Risk-free rate'!B93/100)^(1/12)-1</f>
        <v>4.1139593013970188E-3</v>
      </c>
      <c r="G69">
        <f t="shared" si="3"/>
        <v>2.2704946699665253E-2</v>
      </c>
      <c r="H69">
        <f t="shared" si="3"/>
        <v>2.2316532962031642E-2</v>
      </c>
      <c r="I69">
        <f t="shared" si="1"/>
        <v>2.5701144061099024E-2</v>
      </c>
      <c r="J69">
        <f t="shared" si="2"/>
        <v>0.94582872494501702</v>
      </c>
    </row>
    <row r="70" spans="1:10" x14ac:dyDescent="0.2">
      <c r="A70" t="str">
        <f>MSCI_World_Index_Monthly!A94</f>
        <v>2024-09-30</v>
      </c>
      <c r="B70">
        <f>GSCEQBA_Monthly!B94</f>
        <v>38.99</v>
      </c>
      <c r="C70">
        <f>MSCI_World_Index_Monthly!B94</f>
        <v>11749.691392999999</v>
      </c>
      <c r="D70">
        <f>(GSCEQBA_Monthly!B94-GSCEQBA_Monthly!B93)/GSCEQBA_Monthly!B93</f>
        <v>8.2751486940781036E-3</v>
      </c>
      <c r="E70">
        <f>(MSCI_World_Index_Monthly!B94-MSCI_World_Index_Monthly!B93)/MSCI_World_Index_Monthly!B93</f>
        <v>1.8313936157685003E-2</v>
      </c>
      <c r="F70">
        <f>(1+'Risk-free rate'!B94/100)^(1/12)-1</f>
        <v>3.8507230235700352E-3</v>
      </c>
      <c r="G70">
        <f t="shared" si="3"/>
        <v>4.4244256705080684E-3</v>
      </c>
      <c r="H70">
        <f t="shared" si="3"/>
        <v>1.4463213134114968E-2</v>
      </c>
      <c r="I70">
        <f t="shared" si="1"/>
        <v>-7.9937210521452418E-3</v>
      </c>
      <c r="J70">
        <f t="shared" si="2"/>
        <v>0.99876034056053709</v>
      </c>
    </row>
    <row r="71" spans="1:10" x14ac:dyDescent="0.2">
      <c r="A71" t="str">
        <f>MSCI_World_Index_Monthly!A95</f>
        <v>2024-10-31</v>
      </c>
      <c r="B71">
        <f>GSCEQBA_Monthly!B95</f>
        <v>38.35</v>
      </c>
      <c r="C71">
        <f>MSCI_World_Index_Monthly!B95</f>
        <v>11516.613707</v>
      </c>
      <c r="D71">
        <f>(GSCEQBA_Monthly!B95-GSCEQBA_Monthly!B94)/GSCEQBA_Monthly!B94</f>
        <v>-1.6414465247499371E-2</v>
      </c>
      <c r="E71">
        <f>(MSCI_World_Index_Monthly!B95-MSCI_World_Index_Monthly!B94)/MSCI_World_Index_Monthly!B94</f>
        <v>-1.9836919813813764E-2</v>
      </c>
      <c r="F71">
        <f>(1+'Risk-free rate'!B95/100)^(1/12)-1</f>
        <v>3.6828128357737633E-3</v>
      </c>
      <c r="G71">
        <f t="shared" si="3"/>
        <v>-2.0097278083273135E-2</v>
      </c>
      <c r="H71">
        <f t="shared" si="3"/>
        <v>-2.3519732649587528E-2</v>
      </c>
      <c r="I71">
        <f t="shared" si="1"/>
        <v>2.4170838604135936E-2</v>
      </c>
      <c r="J71">
        <f t="shared" si="2"/>
        <v>0.93295742052254593</v>
      </c>
    </row>
    <row r="72" spans="1:10" x14ac:dyDescent="0.2">
      <c r="A72" t="str">
        <f>MSCI_World_Index_Monthly!A96</f>
        <v>2024-11-29</v>
      </c>
      <c r="B72">
        <f>GSCEQBA_Monthly!B96</f>
        <v>40.17</v>
      </c>
      <c r="C72">
        <f>MSCI_World_Index_Monthly!B96</f>
        <v>12045.071732</v>
      </c>
      <c r="D72">
        <f>(GSCEQBA_Monthly!B96-GSCEQBA_Monthly!B95)/GSCEQBA_Monthly!B95</f>
        <v>4.7457627118644076E-2</v>
      </c>
      <c r="E72">
        <f>(MSCI_World_Index_Monthly!B96-MSCI_World_Index_Monthly!B95)/MSCI_World_Index_Monthly!B95</f>
        <v>4.5886580764517078E-2</v>
      </c>
      <c r="F72">
        <f>(1+'Risk-free rate'!B96/100)^(1/12)-1</f>
        <v>3.6107566318024364E-3</v>
      </c>
      <c r="G72">
        <f t="shared" si="3"/>
        <v>4.384687048684164E-2</v>
      </c>
      <c r="H72">
        <f t="shared" si="3"/>
        <v>4.2275824132714641E-2</v>
      </c>
      <c r="I72">
        <f t="shared" si="1"/>
        <v>2.3171523115105064E-2</v>
      </c>
      <c r="J72">
        <f t="shared" si="2"/>
        <v>0.95940295502969175</v>
      </c>
    </row>
    <row r="73" spans="1:10" x14ac:dyDescent="0.2">
      <c r="A73" t="str">
        <f>MSCI_World_Index_Monthly!A97</f>
        <v>2024-12-31</v>
      </c>
      <c r="B73">
        <f>GSCEQBA_Monthly!B97</f>
        <v>39.49</v>
      </c>
      <c r="C73">
        <f>MSCI_World_Index_Monthly!B97</f>
        <v>11731.170265000001</v>
      </c>
      <c r="D73">
        <f>(GSCEQBA_Monthly!B97-GSCEQBA_Monthly!B96)/GSCEQBA_Monthly!B96</f>
        <v>-1.692805576300721E-2</v>
      </c>
      <c r="E73">
        <f>(MSCI_World_Index_Monthly!B97-MSCI_World_Index_Monthly!B96)/MSCI_World_Index_Monthly!B96</f>
        <v>-2.6060572654462599E-2</v>
      </c>
      <c r="F73">
        <f>(1+'Risk-free rate'!B97/100)^(1/12)-1</f>
        <v>3.4905363507502507E-3</v>
      </c>
      <c r="G73">
        <f t="shared" si="3"/>
        <v>-2.0418592113757461E-2</v>
      </c>
      <c r="H73">
        <f t="shared" si="3"/>
        <v>-2.955110900521285E-2</v>
      </c>
      <c r="I73">
        <f t="shared" si="1"/>
        <v>3.1138926216212504E-2</v>
      </c>
      <c r="J73">
        <f t="shared" si="2"/>
        <v>0.91646006814488679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Rolling Aplha</vt:lpstr>
      <vt:lpstr>Up-Down Scatter Plot</vt:lpstr>
      <vt:lpstr>Risk-free rate</vt:lpstr>
      <vt:lpstr>GSCEQBA_Monthly</vt:lpstr>
      <vt:lpstr>MSCI_World_Index_Monthly</vt:lpstr>
      <vt:lpstr>Metrics_Monthly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Dmitriy Dyu</cp:lastModifiedBy>
  <dcterms:created xsi:type="dcterms:W3CDTF">2025-11-28T23:10:52Z</dcterms:created>
  <dcterms:modified xsi:type="dcterms:W3CDTF">2026-01-04T16:20:50Z</dcterms:modified>
</cp:coreProperties>
</file>