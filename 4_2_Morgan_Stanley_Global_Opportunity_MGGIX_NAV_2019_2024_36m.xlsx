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iy/devops/misc/thesis/4.2/"/>
    </mc:Choice>
  </mc:AlternateContent>
  <xr:revisionPtr revIDLastSave="0" documentId="13_ncr:1_{859A464B-C259-3248-98D7-15FF1AFE20EA}" xr6:coauthVersionLast="47" xr6:coauthVersionMax="47" xr10:uidLastSave="{00000000-0000-0000-0000-000000000000}"/>
  <bookViews>
    <workbookView xWindow="3900" yWindow="760" windowWidth="25820" windowHeight="17120" activeTab="1" xr2:uid="{3C074F13-82A6-F24F-81A3-7CCF9C16F82D}"/>
  </bookViews>
  <sheets>
    <sheet name="Rolling Alpha" sheetId="7" r:id="rId1"/>
    <sheet name="Up-Down Scatter Plot" sheetId="10" r:id="rId2"/>
    <sheet name="Risk-free rate" sheetId="11" r:id="rId3"/>
    <sheet name="MGGIX US_monthly" sheetId="8" r:id="rId4"/>
    <sheet name="MSCI ACWI Index_monthly" sheetId="9" r:id="rId5"/>
    <sheet name="Metrics_Monthly (2)" sheetId="12" r:id="rId6"/>
    <sheet name="Metrics (2)" sheetId="4" state="hidden" r:id="rId7"/>
    <sheet name="Metrics_Yearly (2)" sheetId="6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6" i="7"/>
  <c r="J17" i="7"/>
  <c r="J18" i="7"/>
  <c r="J19" i="7"/>
  <c r="J20" i="7"/>
  <c r="J21" i="7"/>
  <c r="J22" i="7"/>
  <c r="J23" i="7"/>
  <c r="J24" i="7"/>
  <c r="J25" i="7"/>
  <c r="J14" i="7"/>
  <c r="I15" i="7"/>
  <c r="I16" i="7"/>
  <c r="I17" i="7"/>
  <c r="I18" i="7"/>
  <c r="I19" i="7"/>
  <c r="I20" i="7"/>
  <c r="I21" i="7"/>
  <c r="I22" i="7"/>
  <c r="I23" i="7"/>
  <c r="I24" i="7"/>
  <c r="I25" i="7"/>
  <c r="I14" i="7"/>
  <c r="H4" i="7"/>
  <c r="H5" i="7"/>
  <c r="H6" i="7"/>
  <c r="H7" i="7"/>
  <c r="H8" i="7"/>
  <c r="H9" i="7"/>
  <c r="H10" i="7"/>
  <c r="H11" i="7"/>
  <c r="H12" i="7"/>
  <c r="H13" i="7"/>
  <c r="H14" i="7"/>
  <c r="H3" i="7"/>
  <c r="G4" i="7"/>
  <c r="G5" i="7"/>
  <c r="G6" i="7"/>
  <c r="G7" i="7"/>
  <c r="G8" i="7"/>
  <c r="G9" i="7"/>
  <c r="G10" i="7"/>
  <c r="G11" i="7"/>
  <c r="G12" i="7"/>
  <c r="G13" i="7"/>
  <c r="G14" i="7"/>
  <c r="G3" i="7"/>
  <c r="F3" i="7"/>
  <c r="F4" i="7"/>
  <c r="F5" i="7"/>
  <c r="F6" i="7"/>
  <c r="F7" i="7"/>
  <c r="F8" i="7"/>
  <c r="F9" i="7"/>
  <c r="F10" i="7"/>
  <c r="F11" i="7"/>
  <c r="F12" i="7"/>
  <c r="F13" i="7"/>
  <c r="F2" i="7"/>
  <c r="E4" i="7"/>
  <c r="E5" i="7"/>
  <c r="E6" i="7"/>
  <c r="E7" i="7"/>
  <c r="E8" i="7"/>
  <c r="E9" i="7"/>
  <c r="E10" i="7"/>
  <c r="E11" i="7"/>
  <c r="E12" i="7"/>
  <c r="E13" i="7"/>
  <c r="E14" i="7"/>
  <c r="E3" i="7"/>
  <c r="D3" i="7"/>
  <c r="D4" i="7"/>
  <c r="D5" i="7"/>
  <c r="D6" i="7"/>
  <c r="D7" i="7"/>
  <c r="D8" i="7"/>
  <c r="D9" i="7"/>
  <c r="D10" i="7"/>
  <c r="D11" i="7"/>
  <c r="D12" i="7"/>
  <c r="D13" i="7"/>
  <c r="D14" i="7"/>
  <c r="C3" i="7"/>
  <c r="C4" i="7"/>
  <c r="C5" i="7"/>
  <c r="C6" i="7"/>
  <c r="C7" i="7"/>
  <c r="C8" i="7"/>
  <c r="C9" i="7"/>
  <c r="C10" i="7"/>
  <c r="C11" i="7"/>
  <c r="C12" i="7"/>
  <c r="C13" i="7"/>
  <c r="C2" i="7"/>
  <c r="B3" i="7"/>
  <c r="B4" i="7"/>
  <c r="B5" i="7"/>
  <c r="B6" i="7"/>
  <c r="B7" i="7"/>
  <c r="B8" i="7"/>
  <c r="B9" i="7"/>
  <c r="B10" i="7"/>
  <c r="B11" i="7"/>
  <c r="B12" i="7"/>
  <c r="B13" i="7"/>
  <c r="B2" i="7"/>
  <c r="C4" i="10"/>
  <c r="C5" i="10"/>
  <c r="C6" i="10"/>
  <c r="C7" i="10"/>
  <c r="C8" i="10"/>
  <c r="C9" i="10"/>
  <c r="G38" i="10" s="1" a="1"/>
  <c r="G38" i="10" s="1"/>
  <c r="C10" i="10"/>
  <c r="C11" i="10"/>
  <c r="C12" i="10"/>
  <c r="C13" i="10"/>
  <c r="C14" i="10"/>
  <c r="C15" i="10"/>
  <c r="C16" i="10"/>
  <c r="C17" i="10"/>
  <c r="E48" i="10" s="1" a="1"/>
  <c r="E48" i="10" s="1"/>
  <c r="C18" i="10"/>
  <c r="C19" i="10"/>
  <c r="C20" i="10"/>
  <c r="C21" i="10"/>
  <c r="C22" i="10"/>
  <c r="C23" i="10"/>
  <c r="C24" i="10"/>
  <c r="C25" i="10"/>
  <c r="E57" i="10" s="1" a="1"/>
  <c r="E57" i="10" s="1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3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2" i="10"/>
  <c r="G97" i="12"/>
  <c r="F97" i="12"/>
  <c r="E97" i="12"/>
  <c r="H97" i="12" s="1"/>
  <c r="D97" i="12"/>
  <c r="C97" i="12"/>
  <c r="B97" i="12"/>
  <c r="A97" i="12"/>
  <c r="F96" i="12"/>
  <c r="E96" i="12"/>
  <c r="H96" i="12" s="1"/>
  <c r="D96" i="12"/>
  <c r="G96" i="12" s="1"/>
  <c r="C96" i="12"/>
  <c r="B96" i="12"/>
  <c r="A96" i="12"/>
  <c r="G95" i="12"/>
  <c r="F95" i="12"/>
  <c r="E95" i="12"/>
  <c r="H95" i="12" s="1"/>
  <c r="D95" i="12"/>
  <c r="C95" i="12"/>
  <c r="B95" i="12"/>
  <c r="A95" i="12"/>
  <c r="G94" i="12"/>
  <c r="F94" i="12"/>
  <c r="E94" i="12"/>
  <c r="H94" i="12" s="1"/>
  <c r="D94" i="12"/>
  <c r="C94" i="12"/>
  <c r="B94" i="12"/>
  <c r="A94" i="12"/>
  <c r="G93" i="12"/>
  <c r="F93" i="12"/>
  <c r="E93" i="12"/>
  <c r="H93" i="12" s="1"/>
  <c r="D93" i="12"/>
  <c r="C93" i="12"/>
  <c r="B93" i="12"/>
  <c r="A93" i="12"/>
  <c r="G92" i="12"/>
  <c r="F92" i="12"/>
  <c r="E92" i="12"/>
  <c r="H92" i="12" s="1"/>
  <c r="D92" i="12"/>
  <c r="C92" i="12"/>
  <c r="B92" i="12"/>
  <c r="A92" i="12"/>
  <c r="G91" i="12"/>
  <c r="F91" i="12"/>
  <c r="E91" i="12"/>
  <c r="H91" i="12" s="1"/>
  <c r="D91" i="12"/>
  <c r="C91" i="12"/>
  <c r="B91" i="12"/>
  <c r="A91" i="12"/>
  <c r="G90" i="12"/>
  <c r="F90" i="12"/>
  <c r="E90" i="12"/>
  <c r="H90" i="12" s="1"/>
  <c r="D90" i="12"/>
  <c r="C90" i="12"/>
  <c r="B90" i="12"/>
  <c r="A90" i="12"/>
  <c r="G89" i="12"/>
  <c r="F89" i="12"/>
  <c r="E89" i="12"/>
  <c r="H89" i="12" s="1"/>
  <c r="D89" i="12"/>
  <c r="C89" i="12"/>
  <c r="B89" i="12"/>
  <c r="A89" i="12"/>
  <c r="G88" i="12"/>
  <c r="F88" i="12"/>
  <c r="E88" i="12"/>
  <c r="H88" i="12" s="1"/>
  <c r="D88" i="12"/>
  <c r="C88" i="12"/>
  <c r="B88" i="12"/>
  <c r="A88" i="12"/>
  <c r="G87" i="12"/>
  <c r="F87" i="12"/>
  <c r="E87" i="12"/>
  <c r="H87" i="12" s="1"/>
  <c r="D87" i="12"/>
  <c r="C87" i="12"/>
  <c r="B87" i="12"/>
  <c r="A87" i="12"/>
  <c r="G86" i="12"/>
  <c r="F86" i="12"/>
  <c r="E86" i="12"/>
  <c r="H86" i="12" s="1"/>
  <c r="D86" i="12"/>
  <c r="C86" i="12"/>
  <c r="B86" i="12"/>
  <c r="A86" i="12"/>
  <c r="G85" i="12"/>
  <c r="F85" i="12"/>
  <c r="E85" i="12"/>
  <c r="H85" i="12" s="1"/>
  <c r="D85" i="12"/>
  <c r="C85" i="12"/>
  <c r="B85" i="12"/>
  <c r="A85" i="12"/>
  <c r="G84" i="12"/>
  <c r="F84" i="12"/>
  <c r="E84" i="12"/>
  <c r="H84" i="12" s="1"/>
  <c r="D84" i="12"/>
  <c r="C84" i="12"/>
  <c r="B84" i="12"/>
  <c r="A84" i="12"/>
  <c r="G83" i="12"/>
  <c r="F83" i="12"/>
  <c r="E83" i="12"/>
  <c r="H83" i="12" s="1"/>
  <c r="D83" i="12"/>
  <c r="C83" i="12"/>
  <c r="B83" i="12"/>
  <c r="A83" i="12"/>
  <c r="G82" i="12"/>
  <c r="F82" i="12"/>
  <c r="E82" i="12"/>
  <c r="H82" i="12" s="1"/>
  <c r="D82" i="12"/>
  <c r="C82" i="12"/>
  <c r="B82" i="12"/>
  <c r="A82" i="12"/>
  <c r="G81" i="12"/>
  <c r="F81" i="12"/>
  <c r="E81" i="12"/>
  <c r="H81" i="12" s="1"/>
  <c r="D81" i="12"/>
  <c r="C81" i="12"/>
  <c r="B81" i="12"/>
  <c r="A81" i="12"/>
  <c r="G80" i="12"/>
  <c r="F80" i="12"/>
  <c r="E80" i="12"/>
  <c r="H80" i="12" s="1"/>
  <c r="D80" i="12"/>
  <c r="C80" i="12"/>
  <c r="B80" i="12"/>
  <c r="A80" i="12"/>
  <c r="G79" i="12"/>
  <c r="F79" i="12"/>
  <c r="E79" i="12"/>
  <c r="H79" i="12" s="1"/>
  <c r="D79" i="12"/>
  <c r="C79" i="12"/>
  <c r="B79" i="12"/>
  <c r="A79" i="12"/>
  <c r="G78" i="12"/>
  <c r="F78" i="12"/>
  <c r="E78" i="12"/>
  <c r="H78" i="12" s="1"/>
  <c r="D78" i="12"/>
  <c r="C78" i="12"/>
  <c r="B78" i="12"/>
  <c r="A78" i="12"/>
  <c r="G77" i="12"/>
  <c r="F77" i="12"/>
  <c r="E77" i="12"/>
  <c r="H77" i="12" s="1"/>
  <c r="D77" i="12"/>
  <c r="C77" i="12"/>
  <c r="B77" i="12"/>
  <c r="A77" i="12"/>
  <c r="G76" i="12"/>
  <c r="F76" i="12"/>
  <c r="E76" i="12"/>
  <c r="H76" i="12" s="1"/>
  <c r="D76" i="12"/>
  <c r="C76" i="12"/>
  <c r="B76" i="12"/>
  <c r="A76" i="12"/>
  <c r="G75" i="12"/>
  <c r="F75" i="12"/>
  <c r="E75" i="12"/>
  <c r="H75" i="12" s="1"/>
  <c r="D75" i="12"/>
  <c r="C75" i="12"/>
  <c r="B75" i="12"/>
  <c r="A75" i="12"/>
  <c r="G74" i="12"/>
  <c r="F74" i="12"/>
  <c r="E74" i="12"/>
  <c r="H74" i="12" s="1"/>
  <c r="D74" i="12"/>
  <c r="C74" i="12"/>
  <c r="B74" i="12"/>
  <c r="A74" i="12"/>
  <c r="G73" i="12"/>
  <c r="F73" i="12"/>
  <c r="E73" i="12"/>
  <c r="H73" i="12" s="1"/>
  <c r="D73" i="12"/>
  <c r="C73" i="12"/>
  <c r="B73" i="12"/>
  <c r="A73" i="12"/>
  <c r="G72" i="12"/>
  <c r="F72" i="12"/>
  <c r="E72" i="12"/>
  <c r="H72" i="12" s="1"/>
  <c r="D72" i="12"/>
  <c r="C72" i="12"/>
  <c r="B72" i="12"/>
  <c r="A72" i="12"/>
  <c r="G71" i="12"/>
  <c r="F71" i="12"/>
  <c r="E71" i="12"/>
  <c r="H71" i="12" s="1"/>
  <c r="D71" i="12"/>
  <c r="C71" i="12"/>
  <c r="B71" i="12"/>
  <c r="A71" i="12"/>
  <c r="G70" i="12"/>
  <c r="F70" i="12"/>
  <c r="E70" i="12"/>
  <c r="H70" i="12" s="1"/>
  <c r="D70" i="12"/>
  <c r="C70" i="12"/>
  <c r="B70" i="12"/>
  <c r="A70" i="12"/>
  <c r="G69" i="12"/>
  <c r="F69" i="12"/>
  <c r="E69" i="12"/>
  <c r="H69" i="12" s="1"/>
  <c r="D69" i="12"/>
  <c r="C69" i="12"/>
  <c r="B69" i="12"/>
  <c r="A69" i="12"/>
  <c r="G68" i="12"/>
  <c r="F68" i="12"/>
  <c r="E68" i="12"/>
  <c r="H68" i="12" s="1"/>
  <c r="D68" i="12"/>
  <c r="C68" i="12"/>
  <c r="B68" i="12"/>
  <c r="A68" i="12"/>
  <c r="G67" i="12"/>
  <c r="F67" i="12"/>
  <c r="E67" i="12"/>
  <c r="H67" i="12" s="1"/>
  <c r="D67" i="12"/>
  <c r="C67" i="12"/>
  <c r="B67" i="12"/>
  <c r="A67" i="12"/>
  <c r="G66" i="12"/>
  <c r="F66" i="12"/>
  <c r="E66" i="12"/>
  <c r="H66" i="12" s="1"/>
  <c r="D66" i="12"/>
  <c r="C66" i="12"/>
  <c r="B66" i="12"/>
  <c r="A66" i="12"/>
  <c r="G65" i="12"/>
  <c r="F65" i="12"/>
  <c r="E65" i="12"/>
  <c r="H65" i="12" s="1"/>
  <c r="D65" i="12"/>
  <c r="C65" i="12"/>
  <c r="B65" i="12"/>
  <c r="A65" i="12"/>
  <c r="G64" i="12"/>
  <c r="F64" i="12"/>
  <c r="E64" i="12"/>
  <c r="H64" i="12" s="1"/>
  <c r="D64" i="12"/>
  <c r="C64" i="12"/>
  <c r="B64" i="12"/>
  <c r="A64" i="12"/>
  <c r="G63" i="12"/>
  <c r="F63" i="12"/>
  <c r="E63" i="12"/>
  <c r="H63" i="12" s="1"/>
  <c r="D63" i="12"/>
  <c r="C63" i="12"/>
  <c r="B63" i="12"/>
  <c r="A63" i="12"/>
  <c r="G62" i="12"/>
  <c r="F62" i="12"/>
  <c r="E62" i="12"/>
  <c r="H62" i="12" s="1"/>
  <c r="D62" i="12"/>
  <c r="C62" i="12"/>
  <c r="B62" i="12"/>
  <c r="A62" i="12"/>
  <c r="G61" i="12"/>
  <c r="F61" i="12"/>
  <c r="E61" i="12"/>
  <c r="H61" i="12" s="1"/>
  <c r="D61" i="12"/>
  <c r="C61" i="12"/>
  <c r="B61" i="12"/>
  <c r="A61" i="12"/>
  <c r="G60" i="12"/>
  <c r="F60" i="12"/>
  <c r="E60" i="12"/>
  <c r="H60" i="12" s="1"/>
  <c r="D60" i="12"/>
  <c r="C60" i="12"/>
  <c r="B60" i="12"/>
  <c r="A60" i="12"/>
  <c r="G59" i="12"/>
  <c r="F59" i="12"/>
  <c r="E59" i="12"/>
  <c r="H59" i="12" s="1"/>
  <c r="D59" i="12"/>
  <c r="C59" i="12"/>
  <c r="B59" i="12"/>
  <c r="A59" i="12"/>
  <c r="G58" i="12"/>
  <c r="F58" i="12"/>
  <c r="E58" i="12"/>
  <c r="H58" i="12" s="1"/>
  <c r="D58" i="12"/>
  <c r="C58" i="12"/>
  <c r="B58" i="12"/>
  <c r="A58" i="12"/>
  <c r="G57" i="12"/>
  <c r="F57" i="12"/>
  <c r="E57" i="12"/>
  <c r="H57" i="12" s="1"/>
  <c r="D57" i="12"/>
  <c r="C57" i="12"/>
  <c r="B57" i="12"/>
  <c r="A57" i="12"/>
  <c r="F56" i="12"/>
  <c r="G56" i="12" s="1"/>
  <c r="E56" i="12"/>
  <c r="H56" i="12" s="1"/>
  <c r="D56" i="12"/>
  <c r="C56" i="12"/>
  <c r="B56" i="12"/>
  <c r="A56" i="12"/>
  <c r="G55" i="12"/>
  <c r="F55" i="12"/>
  <c r="E55" i="12"/>
  <c r="H55" i="12" s="1"/>
  <c r="D55" i="12"/>
  <c r="C55" i="12"/>
  <c r="B55" i="12"/>
  <c r="A55" i="12"/>
  <c r="G54" i="12"/>
  <c r="F54" i="12"/>
  <c r="E54" i="12"/>
  <c r="H54" i="12" s="1"/>
  <c r="D54" i="12"/>
  <c r="C54" i="12"/>
  <c r="B54" i="12"/>
  <c r="A54" i="12"/>
  <c r="G53" i="12"/>
  <c r="F53" i="12"/>
  <c r="E53" i="12"/>
  <c r="H53" i="12" s="1"/>
  <c r="D53" i="12"/>
  <c r="C53" i="12"/>
  <c r="B53" i="12"/>
  <c r="A53" i="12"/>
  <c r="F52" i="12"/>
  <c r="G52" i="12" s="1"/>
  <c r="E52" i="12"/>
  <c r="H52" i="12" s="1"/>
  <c r="D52" i="12"/>
  <c r="C52" i="12"/>
  <c r="B52" i="12"/>
  <c r="A52" i="12"/>
  <c r="G51" i="12"/>
  <c r="F51" i="12"/>
  <c r="E51" i="12"/>
  <c r="H51" i="12" s="1"/>
  <c r="D51" i="12"/>
  <c r="C51" i="12"/>
  <c r="B51" i="12"/>
  <c r="A51" i="12"/>
  <c r="G50" i="12"/>
  <c r="F50" i="12"/>
  <c r="E50" i="12"/>
  <c r="H50" i="12" s="1"/>
  <c r="D50" i="12"/>
  <c r="C50" i="12"/>
  <c r="B50" i="12"/>
  <c r="A50" i="12"/>
  <c r="G49" i="12"/>
  <c r="F49" i="12"/>
  <c r="E49" i="12"/>
  <c r="H49" i="12" s="1"/>
  <c r="D49" i="12"/>
  <c r="C49" i="12"/>
  <c r="B49" i="12"/>
  <c r="A49" i="12"/>
  <c r="F48" i="12"/>
  <c r="G48" i="12" s="1"/>
  <c r="E48" i="12"/>
  <c r="H48" i="12" s="1"/>
  <c r="D48" i="12"/>
  <c r="C48" i="12"/>
  <c r="B48" i="12"/>
  <c r="A48" i="12"/>
  <c r="G47" i="12"/>
  <c r="F47" i="12"/>
  <c r="E47" i="12"/>
  <c r="H47" i="12" s="1"/>
  <c r="D47" i="12"/>
  <c r="C47" i="12"/>
  <c r="B47" i="12"/>
  <c r="A47" i="12"/>
  <c r="G46" i="12"/>
  <c r="F46" i="12"/>
  <c r="E46" i="12"/>
  <c r="H46" i="12" s="1"/>
  <c r="D46" i="12"/>
  <c r="C46" i="12"/>
  <c r="B46" i="12"/>
  <c r="A46" i="12"/>
  <c r="G45" i="12"/>
  <c r="F45" i="12"/>
  <c r="E45" i="12"/>
  <c r="H45" i="12" s="1"/>
  <c r="D45" i="12"/>
  <c r="C45" i="12"/>
  <c r="B45" i="12"/>
  <c r="A45" i="12"/>
  <c r="F44" i="12"/>
  <c r="G44" i="12" s="1"/>
  <c r="E44" i="12"/>
  <c r="H44" i="12" s="1"/>
  <c r="D44" i="12"/>
  <c r="C44" i="12"/>
  <c r="B44" i="12"/>
  <c r="A44" i="12"/>
  <c r="G43" i="12"/>
  <c r="F43" i="12"/>
  <c r="E43" i="12"/>
  <c r="H43" i="12" s="1"/>
  <c r="D43" i="12"/>
  <c r="C43" i="12"/>
  <c r="B43" i="12"/>
  <c r="A43" i="12"/>
  <c r="G42" i="12"/>
  <c r="F42" i="12"/>
  <c r="E42" i="12"/>
  <c r="H42" i="12" s="1"/>
  <c r="D42" i="12"/>
  <c r="C42" i="12"/>
  <c r="B42" i="12"/>
  <c r="A42" i="12"/>
  <c r="G41" i="12"/>
  <c r="F41" i="12"/>
  <c r="E41" i="12"/>
  <c r="H41" i="12" s="1"/>
  <c r="D41" i="12"/>
  <c r="C41" i="12"/>
  <c r="B41" i="12"/>
  <c r="A41" i="12"/>
  <c r="F40" i="12"/>
  <c r="G40" i="12" s="1"/>
  <c r="E40" i="12"/>
  <c r="H40" i="12" s="1"/>
  <c r="D40" i="12"/>
  <c r="C40" i="12"/>
  <c r="B40" i="12"/>
  <c r="A40" i="12"/>
  <c r="G39" i="12"/>
  <c r="F39" i="12"/>
  <c r="E39" i="12"/>
  <c r="H39" i="12" s="1"/>
  <c r="D39" i="12"/>
  <c r="C39" i="12"/>
  <c r="B39" i="12"/>
  <c r="A39" i="12"/>
  <c r="G38" i="12"/>
  <c r="F38" i="12"/>
  <c r="E38" i="12"/>
  <c r="H38" i="12" s="1"/>
  <c r="D38" i="12"/>
  <c r="C38" i="12"/>
  <c r="B38" i="12"/>
  <c r="A38" i="12"/>
  <c r="G37" i="12"/>
  <c r="F37" i="12"/>
  <c r="E37" i="12"/>
  <c r="H37" i="12" s="1"/>
  <c r="D37" i="12"/>
  <c r="C37" i="12"/>
  <c r="B37" i="12"/>
  <c r="A37" i="12"/>
  <c r="G36" i="12"/>
  <c r="F36" i="12"/>
  <c r="E36" i="12"/>
  <c r="H36" i="12" s="1"/>
  <c r="D36" i="12"/>
  <c r="C36" i="12"/>
  <c r="B36" i="12"/>
  <c r="A36" i="12"/>
  <c r="G35" i="12"/>
  <c r="F35" i="12"/>
  <c r="E35" i="12"/>
  <c r="H35" i="12" s="1"/>
  <c r="D35" i="12"/>
  <c r="C35" i="12"/>
  <c r="B35" i="12"/>
  <c r="A35" i="12"/>
  <c r="G34" i="12"/>
  <c r="F34" i="12"/>
  <c r="E34" i="12"/>
  <c r="H34" i="12" s="1"/>
  <c r="D34" i="12"/>
  <c r="C34" i="12"/>
  <c r="B34" i="12"/>
  <c r="A34" i="12"/>
  <c r="G33" i="12"/>
  <c r="F33" i="12"/>
  <c r="E33" i="12"/>
  <c r="H33" i="12" s="1"/>
  <c r="D33" i="12"/>
  <c r="C33" i="12"/>
  <c r="B33" i="12"/>
  <c r="A33" i="12"/>
  <c r="G32" i="12"/>
  <c r="F32" i="12"/>
  <c r="E32" i="12"/>
  <c r="H32" i="12" s="1"/>
  <c r="D32" i="12"/>
  <c r="C32" i="12"/>
  <c r="B32" i="12"/>
  <c r="A32" i="12"/>
  <c r="G31" i="12"/>
  <c r="F31" i="12"/>
  <c r="E31" i="12"/>
  <c r="H31" i="12" s="1"/>
  <c r="D31" i="12"/>
  <c r="C31" i="12"/>
  <c r="B31" i="12"/>
  <c r="A31" i="12"/>
  <c r="G30" i="12"/>
  <c r="F30" i="12"/>
  <c r="E30" i="12"/>
  <c r="H30" i="12" s="1"/>
  <c r="D30" i="12"/>
  <c r="C30" i="12"/>
  <c r="B30" i="12"/>
  <c r="A30" i="12"/>
  <c r="G29" i="12"/>
  <c r="F29" i="12"/>
  <c r="E29" i="12"/>
  <c r="H29" i="12" s="1"/>
  <c r="D29" i="12"/>
  <c r="C29" i="12"/>
  <c r="B29" i="12"/>
  <c r="A29" i="12"/>
  <c r="G28" i="12"/>
  <c r="F28" i="12"/>
  <c r="E28" i="12"/>
  <c r="H28" i="12" s="1"/>
  <c r="D28" i="12"/>
  <c r="C28" i="12"/>
  <c r="B28" i="12"/>
  <c r="A28" i="12"/>
  <c r="G27" i="12"/>
  <c r="F27" i="12"/>
  <c r="E27" i="12"/>
  <c r="H27" i="12" s="1"/>
  <c r="D27" i="12"/>
  <c r="C27" i="12"/>
  <c r="B27" i="12"/>
  <c r="A27" i="12"/>
  <c r="G26" i="12"/>
  <c r="F26" i="12"/>
  <c r="E26" i="12"/>
  <c r="H26" i="12" s="1"/>
  <c r="D26" i="12"/>
  <c r="C26" i="12"/>
  <c r="B26" i="12"/>
  <c r="A26" i="12"/>
  <c r="G25" i="12"/>
  <c r="F25" i="12"/>
  <c r="E25" i="12"/>
  <c r="H25" i="12" s="1"/>
  <c r="D25" i="12"/>
  <c r="C25" i="12"/>
  <c r="B25" i="12"/>
  <c r="A25" i="12"/>
  <c r="G24" i="12"/>
  <c r="F24" i="12"/>
  <c r="E24" i="12"/>
  <c r="H24" i="12" s="1"/>
  <c r="D24" i="12"/>
  <c r="C24" i="12"/>
  <c r="B24" i="12"/>
  <c r="A24" i="12"/>
  <c r="G23" i="12"/>
  <c r="F23" i="12"/>
  <c r="E23" i="12"/>
  <c r="H23" i="12" s="1"/>
  <c r="D23" i="12"/>
  <c r="C23" i="12"/>
  <c r="B23" i="12"/>
  <c r="A23" i="12"/>
  <c r="G22" i="12"/>
  <c r="F22" i="12"/>
  <c r="E22" i="12"/>
  <c r="H22" i="12" s="1"/>
  <c r="D22" i="12"/>
  <c r="C22" i="12"/>
  <c r="B22" i="12"/>
  <c r="A22" i="12"/>
  <c r="G21" i="12"/>
  <c r="F21" i="12"/>
  <c r="E21" i="12"/>
  <c r="H21" i="12" s="1"/>
  <c r="D21" i="12"/>
  <c r="C21" i="12"/>
  <c r="B21" i="12"/>
  <c r="A21" i="12"/>
  <c r="G20" i="12"/>
  <c r="F20" i="12"/>
  <c r="E20" i="12"/>
  <c r="H20" i="12" s="1"/>
  <c r="D20" i="12"/>
  <c r="C20" i="12"/>
  <c r="B20" i="12"/>
  <c r="A20" i="12"/>
  <c r="G19" i="12"/>
  <c r="F19" i="12"/>
  <c r="E19" i="12"/>
  <c r="H19" i="12" s="1"/>
  <c r="D19" i="12"/>
  <c r="C19" i="12"/>
  <c r="B19" i="12"/>
  <c r="A19" i="12"/>
  <c r="G18" i="12"/>
  <c r="F18" i="12"/>
  <c r="E18" i="12"/>
  <c r="H18" i="12" s="1"/>
  <c r="D18" i="12"/>
  <c r="C18" i="12"/>
  <c r="B18" i="12"/>
  <c r="A18" i="12"/>
  <c r="G17" i="12"/>
  <c r="F17" i="12"/>
  <c r="E17" i="12"/>
  <c r="H17" i="12" s="1"/>
  <c r="D17" i="12"/>
  <c r="C17" i="12"/>
  <c r="B17" i="12"/>
  <c r="A17" i="12"/>
  <c r="G16" i="12"/>
  <c r="F16" i="12"/>
  <c r="E16" i="12"/>
  <c r="H16" i="12" s="1"/>
  <c r="D16" i="12"/>
  <c r="C16" i="12"/>
  <c r="B16" i="12"/>
  <c r="A16" i="12"/>
  <c r="G15" i="12"/>
  <c r="F15" i="12"/>
  <c r="E15" i="12"/>
  <c r="H15" i="12" s="1"/>
  <c r="D15" i="12"/>
  <c r="C15" i="12"/>
  <c r="B15" i="12"/>
  <c r="A15" i="12"/>
  <c r="G14" i="12"/>
  <c r="F14" i="12"/>
  <c r="E14" i="12"/>
  <c r="H14" i="12" s="1"/>
  <c r="D14" i="12"/>
  <c r="C14" i="12"/>
  <c r="B14" i="12"/>
  <c r="A14" i="12"/>
  <c r="G13" i="12"/>
  <c r="F13" i="12"/>
  <c r="E13" i="12"/>
  <c r="H13" i="12" s="1"/>
  <c r="D13" i="12"/>
  <c r="C13" i="12"/>
  <c r="B13" i="12"/>
  <c r="A13" i="12"/>
  <c r="G12" i="12"/>
  <c r="F12" i="12"/>
  <c r="E12" i="12"/>
  <c r="H12" i="12" s="1"/>
  <c r="D12" i="12"/>
  <c r="C12" i="12"/>
  <c r="B12" i="12"/>
  <c r="A12" i="12"/>
  <c r="G11" i="12"/>
  <c r="F11" i="12"/>
  <c r="E11" i="12"/>
  <c r="H11" i="12" s="1"/>
  <c r="D11" i="12"/>
  <c r="C11" i="12"/>
  <c r="B11" i="12"/>
  <c r="A11" i="12"/>
  <c r="G10" i="12"/>
  <c r="F10" i="12"/>
  <c r="E10" i="12"/>
  <c r="H10" i="12" s="1"/>
  <c r="D10" i="12"/>
  <c r="C10" i="12"/>
  <c r="B10" i="12"/>
  <c r="A10" i="12"/>
  <c r="G9" i="12"/>
  <c r="F9" i="12"/>
  <c r="E9" i="12"/>
  <c r="H9" i="12" s="1"/>
  <c r="D9" i="12"/>
  <c r="C9" i="12"/>
  <c r="B9" i="12"/>
  <c r="A9" i="12"/>
  <c r="G8" i="12"/>
  <c r="F8" i="12"/>
  <c r="E8" i="12"/>
  <c r="H8" i="12" s="1"/>
  <c r="D8" i="12"/>
  <c r="C8" i="12"/>
  <c r="B8" i="12"/>
  <c r="A8" i="12"/>
  <c r="G7" i="12"/>
  <c r="F7" i="12"/>
  <c r="E7" i="12"/>
  <c r="H7" i="12" s="1"/>
  <c r="D7" i="12"/>
  <c r="C7" i="12"/>
  <c r="B7" i="12"/>
  <c r="A7" i="12"/>
  <c r="G6" i="12"/>
  <c r="F6" i="12"/>
  <c r="E6" i="12"/>
  <c r="H6" i="12" s="1"/>
  <c r="D6" i="12"/>
  <c r="C6" i="12"/>
  <c r="B6" i="12"/>
  <c r="A6" i="12"/>
  <c r="G5" i="12"/>
  <c r="F5" i="12"/>
  <c r="E5" i="12"/>
  <c r="H5" i="12" s="1"/>
  <c r="D5" i="12"/>
  <c r="C5" i="12"/>
  <c r="B5" i="12"/>
  <c r="A5" i="12"/>
  <c r="G4" i="12"/>
  <c r="F4" i="12"/>
  <c r="E4" i="12"/>
  <c r="H4" i="12" s="1"/>
  <c r="D4" i="12"/>
  <c r="C4" i="12"/>
  <c r="B4" i="12"/>
  <c r="A4" i="12"/>
  <c r="G3" i="12"/>
  <c r="F3" i="12"/>
  <c r="E3" i="12"/>
  <c r="H3" i="12" s="1"/>
  <c r="D3" i="12"/>
  <c r="C3" i="12"/>
  <c r="B3" i="12"/>
  <c r="A3" i="12"/>
  <c r="F2" i="12"/>
  <c r="C2" i="12"/>
  <c r="B2" i="12"/>
  <c r="A2" i="12"/>
  <c r="P2" i="10" a="1"/>
  <c r="P2" i="10" s="1"/>
  <c r="G41" i="10" a="1"/>
  <c r="G41" i="10" s="1"/>
  <c r="E46" i="10" a="1"/>
  <c r="E46" i="10" s="1"/>
  <c r="G50" i="10" a="1"/>
  <c r="G50" i="10" s="1"/>
  <c r="D55" i="10" a="1"/>
  <c r="D55" i="10" s="1"/>
  <c r="G55" i="10" a="1"/>
  <c r="G55" i="10" s="1"/>
  <c r="G59" i="10" a="1"/>
  <c r="G59" i="10" s="1"/>
  <c r="E37" i="10" a="1"/>
  <c r="E37" i="10" s="1"/>
  <c r="H45" i="10" a="1"/>
  <c r="H45" i="10" s="1"/>
  <c r="E47" i="10" a="1"/>
  <c r="E47" i="10" s="1"/>
  <c r="E55" i="10" a="1"/>
  <c r="E55" i="10" s="1"/>
  <c r="H57" i="10" a="1"/>
  <c r="H57" i="10" s="1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A14" i="7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A45" i="7"/>
  <c r="B45" i="7"/>
  <c r="A46" i="7"/>
  <c r="B46" i="7"/>
  <c r="A47" i="7"/>
  <c r="B47" i="7"/>
  <c r="A48" i="7"/>
  <c r="B48" i="7"/>
  <c r="A49" i="7"/>
  <c r="B49" i="7"/>
  <c r="A50" i="7"/>
  <c r="B50" i="7"/>
  <c r="A51" i="7"/>
  <c r="B51" i="7"/>
  <c r="A52" i="7"/>
  <c r="B52" i="7"/>
  <c r="A53" i="7"/>
  <c r="B53" i="7"/>
  <c r="A54" i="7"/>
  <c r="B54" i="7"/>
  <c r="A55" i="7"/>
  <c r="B55" i="7"/>
  <c r="A56" i="7"/>
  <c r="B56" i="7"/>
  <c r="A57" i="7"/>
  <c r="B57" i="7"/>
  <c r="A58" i="7"/>
  <c r="B58" i="7"/>
  <c r="A59" i="7"/>
  <c r="B59" i="7"/>
  <c r="A60" i="7"/>
  <c r="B60" i="7"/>
  <c r="A61" i="7"/>
  <c r="B61" i="7"/>
  <c r="A62" i="7"/>
  <c r="B62" i="7"/>
  <c r="A63" i="7"/>
  <c r="B63" i="7"/>
  <c r="A64" i="7"/>
  <c r="B64" i="7"/>
  <c r="A65" i="7"/>
  <c r="B65" i="7"/>
  <c r="A66" i="7"/>
  <c r="B66" i="7"/>
  <c r="A67" i="7"/>
  <c r="B67" i="7"/>
  <c r="A68" i="7"/>
  <c r="B68" i="7"/>
  <c r="A69" i="7"/>
  <c r="B69" i="7"/>
  <c r="A70" i="7"/>
  <c r="B70" i="7"/>
  <c r="A71" i="7"/>
  <c r="B71" i="7"/>
  <c r="A72" i="7"/>
  <c r="B72" i="7"/>
  <c r="A73" i="7"/>
  <c r="B73" i="7"/>
  <c r="A74" i="7"/>
  <c r="B74" i="7"/>
  <c r="A75" i="7"/>
  <c r="B75" i="7"/>
  <c r="A76" i="7"/>
  <c r="B76" i="7"/>
  <c r="A77" i="7"/>
  <c r="B77" i="7"/>
  <c r="A78" i="7"/>
  <c r="B78" i="7"/>
  <c r="A79" i="7"/>
  <c r="B79" i="7"/>
  <c r="A80" i="7"/>
  <c r="B80" i="7"/>
  <c r="A81" i="7"/>
  <c r="B81" i="7"/>
  <c r="A82" i="7"/>
  <c r="B82" i="7"/>
  <c r="A83" i="7"/>
  <c r="B83" i="7"/>
  <c r="A84" i="7"/>
  <c r="B84" i="7"/>
  <c r="A85" i="7"/>
  <c r="B85" i="7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2" i="8"/>
  <c r="G80" i="7" l="1"/>
  <c r="G16" i="7"/>
  <c r="G72" i="7"/>
  <c r="G64" i="7"/>
  <c r="G48" i="7"/>
  <c r="G24" i="7"/>
  <c r="G70" i="7"/>
  <c r="G62" i="7"/>
  <c r="G46" i="7"/>
  <c r="G38" i="7"/>
  <c r="G30" i="7"/>
  <c r="G22" i="7"/>
  <c r="H85" i="7"/>
  <c r="H77" i="7"/>
  <c r="H69" i="7"/>
  <c r="H53" i="7"/>
  <c r="H45" i="7"/>
  <c r="H37" i="7"/>
  <c r="H29" i="7"/>
  <c r="H21" i="7"/>
  <c r="G82" i="7"/>
  <c r="G74" i="7"/>
  <c r="G58" i="7"/>
  <c r="G50" i="7"/>
  <c r="G42" i="7"/>
  <c r="G34" i="7"/>
  <c r="G26" i="7"/>
  <c r="G18" i="7"/>
  <c r="H49" i="7"/>
  <c r="H25" i="7"/>
  <c r="H79" i="7"/>
  <c r="H71" i="7"/>
  <c r="H63" i="7"/>
  <c r="H47" i="7"/>
  <c r="H31" i="7"/>
  <c r="H23" i="7"/>
  <c r="D59" i="10" a="1"/>
  <c r="D59" i="10" s="1"/>
  <c r="H58" i="10" a="1"/>
  <c r="H58" i="10" s="1"/>
  <c r="D48" i="10" a="1"/>
  <c r="D48" i="10" s="1"/>
  <c r="F48" i="10" s="1"/>
  <c r="E39" i="10" a="1"/>
  <c r="E39" i="10" s="1"/>
  <c r="D57" i="10" a="1"/>
  <c r="D57" i="10" s="1"/>
  <c r="F57" i="10" s="1"/>
  <c r="G51" i="10" a="1"/>
  <c r="G51" i="10" s="1"/>
  <c r="G47" i="10" a="1"/>
  <c r="G47" i="10" s="1"/>
  <c r="G42" i="10" a="1"/>
  <c r="G42" i="10" s="1"/>
  <c r="E38" i="10" a="1"/>
  <c r="E38" i="10" s="1"/>
  <c r="D51" i="10" a="1"/>
  <c r="D51" i="10" s="1"/>
  <c r="D47" i="10" a="1"/>
  <c r="D47" i="10" s="1"/>
  <c r="E42" i="10" a="1"/>
  <c r="E42" i="10" s="1"/>
  <c r="M2" i="10" a="1"/>
  <c r="M2" i="10" s="1"/>
  <c r="E50" i="10" a="1"/>
  <c r="E50" i="10" s="1"/>
  <c r="G45" i="10" a="1"/>
  <c r="G45" i="10" s="1"/>
  <c r="E41" i="10" a="1"/>
  <c r="E41" i="10" s="1"/>
  <c r="G54" i="10" a="1"/>
  <c r="G54" i="10" s="1"/>
  <c r="H53" i="10" a="1"/>
  <c r="H53" i="10" s="1"/>
  <c r="E43" i="10" a="1"/>
  <c r="E43" i="10" s="1"/>
  <c r="G58" i="10" a="1"/>
  <c r="G58" i="10" s="1"/>
  <c r="G53" i="10" a="1"/>
  <c r="G53" i="10" s="1"/>
  <c r="G49" i="10" a="1"/>
  <c r="G49" i="10" s="1"/>
  <c r="E45" i="10" a="1"/>
  <c r="E45" i="10" s="1"/>
  <c r="D41" i="10" a="1"/>
  <c r="D41" i="10" s="1"/>
  <c r="F41" i="10" s="1"/>
  <c r="D44" i="10" a="1"/>
  <c r="D44" i="10" s="1"/>
  <c r="H38" i="10" a="1"/>
  <c r="H38" i="10" s="1"/>
  <c r="E51" i="10" a="1"/>
  <c r="E51" i="10" s="1"/>
  <c r="H42" i="10" a="1"/>
  <c r="H42" i="10" s="1"/>
  <c r="E58" i="10" a="1"/>
  <c r="E58" i="10" s="1"/>
  <c r="E53" i="10" a="1"/>
  <c r="E53" i="10" s="1"/>
  <c r="E49" i="10" a="1"/>
  <c r="E49" i="10" s="1"/>
  <c r="D45" i="10" a="1"/>
  <c r="D45" i="10" s="1"/>
  <c r="F45" i="10" s="1"/>
  <c r="G39" i="10" a="1"/>
  <c r="G39" i="10" s="1"/>
  <c r="E54" i="10" a="1"/>
  <c r="E54" i="10" s="1"/>
  <c r="E60" i="10" a="1"/>
  <c r="E60" i="10" s="1"/>
  <c r="H50" i="10" a="1"/>
  <c r="H50" i="10" s="1"/>
  <c r="H41" i="10" a="1"/>
  <c r="H41" i="10" s="1"/>
  <c r="G57" i="10" a="1"/>
  <c r="G57" i="10" s="1"/>
  <c r="D53" i="10" a="1"/>
  <c r="D53" i="10" s="1"/>
  <c r="F53" i="10" s="1"/>
  <c r="D49" i="10" a="1"/>
  <c r="D49" i="10" s="1"/>
  <c r="F49" i="10" s="1"/>
  <c r="G43" i="10" a="1"/>
  <c r="G43" i="10" s="1"/>
  <c r="D39" i="10" a="1"/>
  <c r="D39" i="10" s="1"/>
  <c r="F39" i="10" s="1"/>
  <c r="E59" i="10" a="1"/>
  <c r="E59" i="10" s="1"/>
  <c r="F59" i="10" s="1"/>
  <c r="O2" i="10" a="1"/>
  <c r="O2" i="10" s="1"/>
  <c r="D40" i="10" a="1"/>
  <c r="D40" i="10" s="1"/>
  <c r="D52" i="10" a="1"/>
  <c r="D52" i="10" s="1"/>
  <c r="D43" i="10" a="1"/>
  <c r="D43" i="10" s="1"/>
  <c r="F43" i="10" s="1"/>
  <c r="H65" i="7"/>
  <c r="H41" i="7"/>
  <c r="H17" i="7"/>
  <c r="G65" i="7"/>
  <c r="G41" i="7"/>
  <c r="G25" i="7"/>
  <c r="G88" i="10" a="1"/>
  <c r="G88" i="10" s="1"/>
  <c r="E76" i="10" a="1"/>
  <c r="E76" i="10" s="1"/>
  <c r="H80" i="7"/>
  <c r="H72" i="7"/>
  <c r="H64" i="7"/>
  <c r="H56" i="7"/>
  <c r="H48" i="7"/>
  <c r="H40" i="7"/>
  <c r="H32" i="7"/>
  <c r="H24" i="7"/>
  <c r="H16" i="7"/>
  <c r="G56" i="7"/>
  <c r="G40" i="7"/>
  <c r="G32" i="7"/>
  <c r="G61" i="10" a="1"/>
  <c r="G61" i="10" s="1"/>
  <c r="E82" i="10" a="1"/>
  <c r="E82" i="10" s="1"/>
  <c r="H90" i="10" a="1"/>
  <c r="H90" i="10" s="1"/>
  <c r="F55" i="10"/>
  <c r="E44" i="10" a="1"/>
  <c r="E44" i="10" s="1"/>
  <c r="F44" i="10" s="1"/>
  <c r="H81" i="7"/>
  <c r="G73" i="7"/>
  <c r="G49" i="7"/>
  <c r="G17" i="7"/>
  <c r="F51" i="10"/>
  <c r="H57" i="7"/>
  <c r="H33" i="7"/>
  <c r="G81" i="7"/>
  <c r="G57" i="7"/>
  <c r="G33" i="7"/>
  <c r="H55" i="7"/>
  <c r="H39" i="7"/>
  <c r="H15" i="7"/>
  <c r="G71" i="7"/>
  <c r="G55" i="7"/>
  <c r="G31" i="7"/>
  <c r="E64" i="10" a="1"/>
  <c r="E64" i="10" s="1"/>
  <c r="G56" i="10" a="1"/>
  <c r="G56" i="10" s="1"/>
  <c r="H56" i="10" a="1"/>
  <c r="H56" i="10" s="1"/>
  <c r="G48" i="10" a="1"/>
  <c r="G48" i="10" s="1"/>
  <c r="H48" i="10" a="1"/>
  <c r="H48" i="10" s="1"/>
  <c r="E40" i="10" a="1"/>
  <c r="E40" i="10" s="1"/>
  <c r="F40" i="10" s="1"/>
  <c r="G40" i="10" a="1"/>
  <c r="G40" i="10" s="1"/>
  <c r="I40" i="10" s="1"/>
  <c r="H40" i="10" a="1"/>
  <c r="H40" i="10" s="1"/>
  <c r="E93" i="10" a="1"/>
  <c r="E93" i="10" s="1"/>
  <c r="E77" i="10" a="1"/>
  <c r="E77" i="10" s="1"/>
  <c r="H78" i="7"/>
  <c r="H70" i="7"/>
  <c r="H62" i="7"/>
  <c r="H54" i="7"/>
  <c r="H46" i="7"/>
  <c r="H38" i="7"/>
  <c r="H30" i="7"/>
  <c r="H22" i="7"/>
  <c r="G78" i="7"/>
  <c r="G54" i="7"/>
  <c r="D74" i="10" a="1"/>
  <c r="D74" i="10" s="1"/>
  <c r="M4" i="10" a="1"/>
  <c r="M4" i="10" s="1"/>
  <c r="D65" i="10" a="1"/>
  <c r="D65" i="10" s="1"/>
  <c r="F47" i="10"/>
  <c r="H73" i="7"/>
  <c r="G79" i="7"/>
  <c r="G63" i="7"/>
  <c r="G47" i="7"/>
  <c r="G39" i="7"/>
  <c r="G23" i="7"/>
  <c r="G15" i="7"/>
  <c r="H61" i="7"/>
  <c r="G85" i="7"/>
  <c r="G77" i="7"/>
  <c r="G69" i="7"/>
  <c r="G61" i="7"/>
  <c r="G53" i="7"/>
  <c r="G45" i="7"/>
  <c r="G37" i="7"/>
  <c r="G29" i="7"/>
  <c r="G21" i="7"/>
  <c r="H54" i="10" a="1"/>
  <c r="H54" i="10" s="1"/>
  <c r="D54" i="10" a="1"/>
  <c r="D54" i="10" s="1"/>
  <c r="F54" i="10" s="1"/>
  <c r="H46" i="10" a="1"/>
  <c r="H46" i="10" s="1"/>
  <c r="D46" i="10" a="1"/>
  <c r="D46" i="10" s="1"/>
  <c r="F46" i="10" s="1"/>
  <c r="D61" i="10" a="1"/>
  <c r="D61" i="10" s="1"/>
  <c r="G46" i="10" a="1"/>
  <c r="G46" i="10" s="1"/>
  <c r="G75" i="10" a="1"/>
  <c r="G75" i="10" s="1"/>
  <c r="H84" i="7"/>
  <c r="H76" i="7"/>
  <c r="H68" i="7"/>
  <c r="H60" i="7"/>
  <c r="H52" i="7"/>
  <c r="H44" i="7"/>
  <c r="H36" i="7"/>
  <c r="H28" i="7"/>
  <c r="H20" i="7"/>
  <c r="G84" i="7"/>
  <c r="G76" i="7"/>
  <c r="G68" i="7"/>
  <c r="G60" i="7"/>
  <c r="G52" i="7"/>
  <c r="G44" i="7"/>
  <c r="G36" i="7"/>
  <c r="G28" i="7"/>
  <c r="G20" i="7"/>
  <c r="G92" i="10" a="1"/>
  <c r="G92" i="10" s="1"/>
  <c r="G82" i="10" a="1"/>
  <c r="G82" i="10" s="1"/>
  <c r="H83" i="7"/>
  <c r="H75" i="7"/>
  <c r="H67" i="7"/>
  <c r="H59" i="7"/>
  <c r="H51" i="7"/>
  <c r="H43" i="7"/>
  <c r="H35" i="7"/>
  <c r="H27" i="7"/>
  <c r="H19" i="7"/>
  <c r="G83" i="7"/>
  <c r="G75" i="7"/>
  <c r="G67" i="7"/>
  <c r="G59" i="7"/>
  <c r="G51" i="7"/>
  <c r="G43" i="7"/>
  <c r="G35" i="7"/>
  <c r="G27" i="7"/>
  <c r="G19" i="7"/>
  <c r="D71" i="10" a="1"/>
  <c r="D71" i="10" s="1"/>
  <c r="G60" i="10" a="1"/>
  <c r="G60" i="10" s="1"/>
  <c r="H60" i="10" a="1"/>
  <c r="H60" i="10" s="1"/>
  <c r="G52" i="10" a="1"/>
  <c r="G52" i="10" s="1"/>
  <c r="H52" i="10" a="1"/>
  <c r="H52" i="10" s="1"/>
  <c r="G44" i="10" a="1"/>
  <c r="G44" i="10" s="1"/>
  <c r="H44" i="10" a="1"/>
  <c r="H44" i="10" s="1"/>
  <c r="D67" i="10" a="1"/>
  <c r="D67" i="10" s="1"/>
  <c r="D60" i="10" a="1"/>
  <c r="D60" i="10" s="1"/>
  <c r="F60" i="10" s="1"/>
  <c r="E56" i="10" a="1"/>
  <c r="E56" i="10" s="1"/>
  <c r="G97" i="10" a="1"/>
  <c r="G97" i="10" s="1"/>
  <c r="L4" i="10" a="1"/>
  <c r="L4" i="10" s="1"/>
  <c r="D97" i="10" a="1"/>
  <c r="D97" i="10" s="1"/>
  <c r="E97" i="10" a="1"/>
  <c r="E97" i="10" s="1"/>
  <c r="G89" i="10" a="1"/>
  <c r="G89" i="10" s="1"/>
  <c r="H81" i="10" a="1"/>
  <c r="H81" i="10" s="1"/>
  <c r="D81" i="10" a="1"/>
  <c r="D81" i="10" s="1"/>
  <c r="E81" i="10" a="1"/>
  <c r="E81" i="10" s="1"/>
  <c r="G73" i="10" a="1"/>
  <c r="G73" i="10" s="1"/>
  <c r="H82" i="7"/>
  <c r="H74" i="7"/>
  <c r="H66" i="7"/>
  <c r="H58" i="7"/>
  <c r="H50" i="7"/>
  <c r="H42" i="7"/>
  <c r="H34" i="7"/>
  <c r="H26" i="7"/>
  <c r="H18" i="7"/>
  <c r="G66" i="7"/>
  <c r="D78" i="10" a="1"/>
  <c r="D78" i="10" s="1"/>
  <c r="G78" i="10" a="1"/>
  <c r="G78" i="10" s="1"/>
  <c r="P4" i="10" a="1"/>
  <c r="P4" i="10" s="1"/>
  <c r="D63" i="10" a="1"/>
  <c r="D63" i="10" s="1"/>
  <c r="D56" i="10" a="1"/>
  <c r="D56" i="10" s="1"/>
  <c r="E52" i="10" a="1"/>
  <c r="E52" i="10" s="1"/>
  <c r="F52" i="10" s="1"/>
  <c r="D37" i="10" a="1"/>
  <c r="D37" i="10" s="1"/>
  <c r="F37" i="10" s="1"/>
  <c r="H59" i="10" a="1"/>
  <c r="H59" i="10" s="1"/>
  <c r="I59" i="10" s="1"/>
  <c r="H55" i="10" a="1"/>
  <c r="H55" i="10" s="1"/>
  <c r="I55" i="10" s="1"/>
  <c r="H51" i="10" a="1"/>
  <c r="H51" i="10" s="1"/>
  <c r="I51" i="10" s="1"/>
  <c r="H47" i="10" a="1"/>
  <c r="H47" i="10" s="1"/>
  <c r="I47" i="10" s="1"/>
  <c r="H43" i="10" a="1"/>
  <c r="H43" i="10" s="1"/>
  <c r="I43" i="10" s="1"/>
  <c r="H39" i="10" a="1"/>
  <c r="H39" i="10" s="1"/>
  <c r="I39" i="10" s="1"/>
  <c r="G37" i="10" a="1"/>
  <c r="G37" i="10" s="1"/>
  <c r="H37" i="10" a="1"/>
  <c r="H37" i="10" s="1"/>
  <c r="D58" i="10" a="1"/>
  <c r="D58" i="10" s="1"/>
  <c r="F58" i="10" s="1"/>
  <c r="D50" i="10" a="1"/>
  <c r="D50" i="10" s="1"/>
  <c r="F50" i="10" s="1"/>
  <c r="D42" i="10" a="1"/>
  <c r="D42" i="10" s="1"/>
  <c r="F42" i="10" s="1"/>
  <c r="D38" i="10" a="1"/>
  <c r="D38" i="10" s="1"/>
  <c r="F38" i="10" s="1"/>
  <c r="H49" i="10" a="1"/>
  <c r="H49" i="10" s="1"/>
  <c r="I49" i="10" s="1"/>
  <c r="L2" i="10" a="1"/>
  <c r="L2" i="10" s="1"/>
  <c r="N2" i="10" s="1"/>
  <c r="J39" i="12"/>
  <c r="I39" i="12"/>
  <c r="J47" i="12"/>
  <c r="I47" i="12"/>
  <c r="J55" i="12"/>
  <c r="I55" i="12"/>
  <c r="J63" i="12"/>
  <c r="I63" i="12"/>
  <c r="J71" i="12"/>
  <c r="I71" i="12"/>
  <c r="I78" i="12"/>
  <c r="J78" i="12"/>
  <c r="J84" i="12"/>
  <c r="I84" i="12"/>
  <c r="J91" i="12"/>
  <c r="I91" i="12"/>
  <c r="I38" i="12"/>
  <c r="J38" i="12"/>
  <c r="I46" i="12"/>
  <c r="J46" i="12"/>
  <c r="I54" i="12"/>
  <c r="J54" i="12"/>
  <c r="I62" i="12"/>
  <c r="J62" i="12"/>
  <c r="I70" i="12"/>
  <c r="J70" i="12"/>
  <c r="J77" i="12"/>
  <c r="I77" i="12"/>
  <c r="J90" i="12"/>
  <c r="I90" i="12"/>
  <c r="J97" i="12"/>
  <c r="I97" i="12"/>
  <c r="J45" i="12"/>
  <c r="I45" i="12"/>
  <c r="J53" i="12"/>
  <c r="I53" i="12"/>
  <c r="J61" i="12"/>
  <c r="I61" i="12"/>
  <c r="J69" i="12"/>
  <c r="I69" i="12"/>
  <c r="J76" i="12"/>
  <c r="I76" i="12"/>
  <c r="J83" i="12"/>
  <c r="I83" i="12"/>
  <c r="J89" i="12"/>
  <c r="I89" i="12"/>
  <c r="J96" i="12"/>
  <c r="I96" i="12"/>
  <c r="J44" i="12"/>
  <c r="I44" i="12"/>
  <c r="J52" i="12"/>
  <c r="I52" i="12"/>
  <c r="J60" i="12"/>
  <c r="I60" i="12"/>
  <c r="J68" i="12"/>
  <c r="I68" i="12"/>
  <c r="I82" i="12"/>
  <c r="J82" i="12"/>
  <c r="J88" i="12"/>
  <c r="I88" i="12"/>
  <c r="J95" i="12"/>
  <c r="I95" i="12"/>
  <c r="J43" i="12"/>
  <c r="I43" i="12"/>
  <c r="J51" i="12"/>
  <c r="I51" i="12"/>
  <c r="J59" i="12"/>
  <c r="I59" i="12"/>
  <c r="J67" i="12"/>
  <c r="I67" i="12"/>
  <c r="J75" i="12"/>
  <c r="I75" i="12"/>
  <c r="J81" i="12"/>
  <c r="I81" i="12"/>
  <c r="I94" i="12"/>
  <c r="J94" i="12"/>
  <c r="I42" i="12"/>
  <c r="J42" i="12"/>
  <c r="I50" i="12"/>
  <c r="J50" i="12"/>
  <c r="J58" i="12"/>
  <c r="I58" i="12"/>
  <c r="I66" i="12"/>
  <c r="J66" i="12"/>
  <c r="I74" i="12"/>
  <c r="J74" i="12"/>
  <c r="J80" i="12"/>
  <c r="I80" i="12"/>
  <c r="J87" i="12"/>
  <c r="I87" i="12"/>
  <c r="J93" i="12"/>
  <c r="I93" i="12"/>
  <c r="J41" i="12"/>
  <c r="I41" i="12"/>
  <c r="J49" i="12"/>
  <c r="I49" i="12"/>
  <c r="J57" i="12"/>
  <c r="I57" i="12"/>
  <c r="J65" i="12"/>
  <c r="I65" i="12"/>
  <c r="J73" i="12"/>
  <c r="I73" i="12"/>
  <c r="I86" i="12"/>
  <c r="J86" i="12"/>
  <c r="J92" i="12"/>
  <c r="I92" i="12"/>
  <c r="J40" i="12"/>
  <c r="I40" i="12"/>
  <c r="J48" i="12"/>
  <c r="I48" i="12"/>
  <c r="J56" i="12"/>
  <c r="I56" i="12"/>
  <c r="J64" i="12"/>
  <c r="I64" i="12"/>
  <c r="J72" i="12"/>
  <c r="I72" i="12"/>
  <c r="J79" i="12"/>
  <c r="I79" i="12"/>
  <c r="J85" i="12"/>
  <c r="I85" i="12"/>
  <c r="Q2" i="10"/>
  <c r="I57" i="10"/>
  <c r="I53" i="10"/>
  <c r="I45" i="10"/>
  <c r="I41" i="10"/>
  <c r="I58" i="10"/>
  <c r="I54" i="10"/>
  <c r="I50" i="10"/>
  <c r="I46" i="10"/>
  <c r="I42" i="10"/>
  <c r="I38" i="10"/>
  <c r="J54" i="7" l="1"/>
  <c r="I54" i="7"/>
  <c r="I36" i="7"/>
  <c r="J36" i="7"/>
  <c r="I27" i="7"/>
  <c r="J27" i="7"/>
  <c r="J29" i="7"/>
  <c r="I29" i="7"/>
  <c r="J33" i="7"/>
  <c r="I33" i="7"/>
  <c r="I75" i="7"/>
  <c r="J75" i="7"/>
  <c r="J31" i="7"/>
  <c r="I31" i="7"/>
  <c r="I84" i="7"/>
  <c r="J84" i="7"/>
  <c r="I83" i="7"/>
  <c r="J83" i="7"/>
  <c r="I60" i="7"/>
  <c r="J60" i="7"/>
  <c r="I45" i="7"/>
  <c r="J45" i="7"/>
  <c r="J49" i="7"/>
  <c r="I49" i="7"/>
  <c r="J57" i="7"/>
  <c r="I57" i="7"/>
  <c r="I44" i="7"/>
  <c r="J44" i="7"/>
  <c r="J40" i="7"/>
  <c r="I40" i="7"/>
  <c r="I61" i="7"/>
  <c r="J61" i="7"/>
  <c r="I43" i="7"/>
  <c r="J43" i="7"/>
  <c r="J48" i="7"/>
  <c r="I48" i="7"/>
  <c r="I69" i="7"/>
  <c r="J69" i="7"/>
  <c r="J63" i="7"/>
  <c r="I63" i="7"/>
  <c r="I26" i="7"/>
  <c r="J26" i="7"/>
  <c r="I51" i="7"/>
  <c r="J51" i="7"/>
  <c r="J74" i="7"/>
  <c r="I74" i="7"/>
  <c r="I77" i="7"/>
  <c r="J77" i="7"/>
  <c r="J38" i="7"/>
  <c r="I38" i="7"/>
  <c r="I71" i="7"/>
  <c r="J71" i="7"/>
  <c r="J81" i="7"/>
  <c r="I81" i="7"/>
  <c r="J50" i="7"/>
  <c r="I50" i="7"/>
  <c r="I59" i="7"/>
  <c r="J59" i="7"/>
  <c r="J82" i="7"/>
  <c r="I82" i="7"/>
  <c r="J64" i="7"/>
  <c r="I64" i="7"/>
  <c r="I28" i="7"/>
  <c r="J28" i="7"/>
  <c r="I37" i="7"/>
  <c r="J37" i="7"/>
  <c r="J62" i="7"/>
  <c r="I62" i="7"/>
  <c r="J41" i="7"/>
  <c r="I41" i="7"/>
  <c r="I52" i="7"/>
  <c r="J52" i="7"/>
  <c r="J70" i="7"/>
  <c r="I70" i="7"/>
  <c r="J39" i="7"/>
  <c r="I39" i="7"/>
  <c r="J72" i="7"/>
  <c r="I72" i="7"/>
  <c r="J76" i="7"/>
  <c r="I76" i="7"/>
  <c r="J34" i="7"/>
  <c r="I34" i="7"/>
  <c r="J32" i="7"/>
  <c r="I32" i="7"/>
  <c r="I53" i="7"/>
  <c r="J53" i="7"/>
  <c r="J78" i="7"/>
  <c r="I78" i="7"/>
  <c r="J47" i="7"/>
  <c r="I47" i="7"/>
  <c r="I35" i="7"/>
  <c r="J35" i="7"/>
  <c r="J42" i="7"/>
  <c r="I42" i="7"/>
  <c r="J55" i="7"/>
  <c r="I55" i="7"/>
  <c r="J65" i="7"/>
  <c r="I65" i="7"/>
  <c r="I68" i="7"/>
  <c r="J68" i="7"/>
  <c r="J58" i="7"/>
  <c r="I58" i="7"/>
  <c r="J30" i="7"/>
  <c r="I30" i="7"/>
  <c r="J73" i="7"/>
  <c r="I73" i="7"/>
  <c r="J56" i="7"/>
  <c r="I56" i="7"/>
  <c r="I85" i="7"/>
  <c r="J85" i="7"/>
  <c r="J46" i="7"/>
  <c r="I46" i="7"/>
  <c r="J79" i="7"/>
  <c r="I79" i="7"/>
  <c r="J66" i="7"/>
  <c r="I66" i="7"/>
  <c r="I67" i="7"/>
  <c r="J67" i="7"/>
  <c r="J80" i="7"/>
  <c r="I80" i="7"/>
  <c r="I48" i="10"/>
  <c r="I60" i="10"/>
  <c r="I56" i="10"/>
  <c r="F56" i="10"/>
  <c r="I52" i="10"/>
  <c r="N4" i="10"/>
  <c r="E78" i="10" a="1"/>
  <c r="E78" i="10" s="1"/>
  <c r="F78" i="10" s="1"/>
  <c r="G86" i="10" a="1"/>
  <c r="G86" i="10" s="1"/>
  <c r="D88" i="10" a="1"/>
  <c r="D88" i="10" s="1"/>
  <c r="H74" i="10" a="1"/>
  <c r="H74" i="10" s="1"/>
  <c r="G66" i="10" a="1"/>
  <c r="G66" i="10" s="1"/>
  <c r="H65" i="10" a="1"/>
  <c r="H65" i="10" s="1"/>
  <c r="G81" i="10" a="1"/>
  <c r="G81" i="10" s="1"/>
  <c r="I81" i="10" s="1"/>
  <c r="H97" i="10" a="1"/>
  <c r="H97" i="10" s="1"/>
  <c r="I97" i="10" s="1"/>
  <c r="E74" i="10" a="1"/>
  <c r="E74" i="10" s="1"/>
  <c r="F74" i="10" s="1"/>
  <c r="D82" i="10" a="1"/>
  <c r="D82" i="10" s="1"/>
  <c r="F82" i="10" s="1"/>
  <c r="H84" i="10" a="1"/>
  <c r="H84" i="10" s="1"/>
  <c r="D75" i="10" a="1"/>
  <c r="D75" i="10" s="1"/>
  <c r="H78" i="10" a="1"/>
  <c r="H78" i="10" s="1"/>
  <c r="I78" i="10" s="1"/>
  <c r="E79" i="10" a="1"/>
  <c r="E79" i="10" s="1"/>
  <c r="D77" i="10" a="1"/>
  <c r="D77" i="10" s="1"/>
  <c r="F77" i="10" s="1"/>
  <c r="D93" i="10" a="1"/>
  <c r="D93" i="10" s="1"/>
  <c r="F93" i="10" s="1"/>
  <c r="H72" i="10" a="1"/>
  <c r="H72" i="10" s="1"/>
  <c r="E71" i="10" a="1"/>
  <c r="E71" i="10" s="1"/>
  <c r="F71" i="10" s="1"/>
  <c r="D72" i="10" a="1"/>
  <c r="D72" i="10" s="1"/>
  <c r="E72" i="10" a="1"/>
  <c r="E72" i="10" s="1"/>
  <c r="G72" i="10" a="1"/>
  <c r="G72" i="10" s="1"/>
  <c r="I72" i="10" s="1"/>
  <c r="D79" i="10" a="1"/>
  <c r="D79" i="10" s="1"/>
  <c r="D86" i="10" a="1"/>
  <c r="D86" i="10" s="1"/>
  <c r="G79" i="10" a="1"/>
  <c r="G79" i="10" s="1"/>
  <c r="H62" i="10" a="1"/>
  <c r="H62" i="10" s="1"/>
  <c r="G64" i="10" a="1"/>
  <c r="G64" i="10" s="1"/>
  <c r="G84" i="10" a="1"/>
  <c r="G84" i="10" s="1"/>
  <c r="I84" i="10" s="1"/>
  <c r="E73" i="10" a="1"/>
  <c r="E73" i="10" s="1"/>
  <c r="E89" i="10" a="1"/>
  <c r="E89" i="10" s="1"/>
  <c r="O4" i="10" a="1"/>
  <c r="O4" i="10" s="1"/>
  <c r="Q4" i="10" s="1"/>
  <c r="E92" i="10" a="1"/>
  <c r="E92" i="10" s="1"/>
  <c r="G90" i="10" a="1"/>
  <c r="G90" i="10" s="1"/>
  <c r="I90" i="10" s="1"/>
  <c r="H91" i="10" a="1"/>
  <c r="H91" i="10" s="1"/>
  <c r="L3" i="10" a="1"/>
  <c r="L3" i="10" s="1"/>
  <c r="H69" i="10" a="1"/>
  <c r="H69" i="10" s="1"/>
  <c r="H82" i="10" a="1"/>
  <c r="H82" i="10" s="1"/>
  <c r="I82" i="10" s="1"/>
  <c r="H77" i="10" a="1"/>
  <c r="H77" i="10" s="1"/>
  <c r="H93" i="10" a="1"/>
  <c r="H93" i="10" s="1"/>
  <c r="D94" i="10" a="1"/>
  <c r="D94" i="10" s="1"/>
  <c r="G94" i="10" a="1"/>
  <c r="G94" i="10" s="1"/>
  <c r="I94" i="10" s="1"/>
  <c r="H94" i="10" a="1"/>
  <c r="H94" i="10" s="1"/>
  <c r="E91" i="10" a="1"/>
  <c r="E91" i="10" s="1"/>
  <c r="E94" i="10" a="1"/>
  <c r="E94" i="10" s="1"/>
  <c r="G63" i="10" a="1"/>
  <c r="G63" i="10" s="1"/>
  <c r="H87" i="10" a="1"/>
  <c r="H87" i="10" s="1"/>
  <c r="D84" i="10" a="1"/>
  <c r="D84" i="10" s="1"/>
  <c r="E88" i="10" a="1"/>
  <c r="E88" i="10" s="1"/>
  <c r="E90" i="10" a="1"/>
  <c r="E90" i="10" s="1"/>
  <c r="H96" i="10" a="1"/>
  <c r="H96" i="10" s="1"/>
  <c r="E95" i="10" a="1"/>
  <c r="E95" i="10" s="1"/>
  <c r="D96" i="10" a="1"/>
  <c r="D96" i="10" s="1"/>
  <c r="E96" i="10" a="1"/>
  <c r="E96" i="10" s="1"/>
  <c r="G96" i="10" a="1"/>
  <c r="G96" i="10" s="1"/>
  <c r="I96" i="10" s="1"/>
  <c r="D73" i="10" a="1"/>
  <c r="D73" i="10" s="1"/>
  <c r="F73" i="10" s="1"/>
  <c r="D90" i="10" a="1"/>
  <c r="D90" i="10" s="1"/>
  <c r="G91" i="10" a="1"/>
  <c r="G91" i="10" s="1"/>
  <c r="I91" i="10" s="1"/>
  <c r="H76" i="10" a="1"/>
  <c r="H76" i="10" s="1"/>
  <c r="D68" i="10" a="1"/>
  <c r="D68" i="10" s="1"/>
  <c r="G77" i="10" a="1"/>
  <c r="G77" i="10" s="1"/>
  <c r="G93" i="10" a="1"/>
  <c r="G93" i="10" s="1"/>
  <c r="D70" i="10" a="1"/>
  <c r="D70" i="10" s="1"/>
  <c r="F70" i="10" s="1"/>
  <c r="G70" i="10" a="1"/>
  <c r="G70" i="10" s="1"/>
  <c r="E70" i="10" a="1"/>
  <c r="E70" i="10" s="1"/>
  <c r="H70" i="10" a="1"/>
  <c r="H70" i="10" s="1"/>
  <c r="E63" i="10" a="1"/>
  <c r="E63" i="10" s="1"/>
  <c r="F63" i="10" s="1"/>
  <c r="G87" i="10" a="1"/>
  <c r="G87" i="10" s="1"/>
  <c r="I87" i="10" s="1"/>
  <c r="D69" i="10" a="1"/>
  <c r="D69" i="10" s="1"/>
  <c r="H88" i="10" a="1"/>
  <c r="H88" i="10" s="1"/>
  <c r="I88" i="10" s="1"/>
  <c r="E66" i="10" a="1"/>
  <c r="E66" i="10" s="1"/>
  <c r="D92" i="10" a="1"/>
  <c r="D92" i="10" s="1"/>
  <c r="F92" i="10" s="1"/>
  <c r="D89" i="10" a="1"/>
  <c r="D89" i="10" s="1"/>
  <c r="F89" i="10" s="1"/>
  <c r="I37" i="10"/>
  <c r="H73" i="10" a="1"/>
  <c r="H73" i="10" s="1"/>
  <c r="I73" i="10" s="1"/>
  <c r="H89" i="10" a="1"/>
  <c r="H89" i="10" s="1"/>
  <c r="I89" i="10" s="1"/>
  <c r="I44" i="10"/>
  <c r="D66" i="10" a="1"/>
  <c r="D66" i="10" s="1"/>
  <c r="H83" i="10" a="1"/>
  <c r="H83" i="10" s="1"/>
  <c r="D91" i="10" a="1"/>
  <c r="D91" i="10" s="1"/>
  <c r="H68" i="10" a="1"/>
  <c r="H68" i="10" s="1"/>
  <c r="E85" i="10" a="1"/>
  <c r="E85" i="10" s="1"/>
  <c r="H92" i="10" a="1"/>
  <c r="H92" i="10" s="1"/>
  <c r="I92" i="10" s="1"/>
  <c r="G69" i="10" a="1"/>
  <c r="G69" i="10" s="1"/>
  <c r="I69" i="10" s="1"/>
  <c r="H71" i="10" a="1"/>
  <c r="H71" i="10" s="1"/>
  <c r="D87" i="10" a="1"/>
  <c r="D87" i="10" s="1"/>
  <c r="G62" i="10" a="1"/>
  <c r="G62" i="10" s="1"/>
  <c r="I62" i="10" s="1"/>
  <c r="E80" i="10" a="1"/>
  <c r="E80" i="10" s="1"/>
  <c r="E75" i="10" a="1"/>
  <c r="E75" i="10" s="1"/>
  <c r="H66" i="10" a="1"/>
  <c r="H66" i="10" s="1"/>
  <c r="G83" i="10" a="1"/>
  <c r="G83" i="10" s="1"/>
  <c r="G67" i="10" a="1"/>
  <c r="G67" i="10" s="1"/>
  <c r="G68" i="10" a="1"/>
  <c r="G68" i="10" s="1"/>
  <c r="I68" i="10" s="1"/>
  <c r="O3" i="10" a="1"/>
  <c r="O3" i="10" s="1"/>
  <c r="D85" i="10" a="1"/>
  <c r="D85" i="10" s="1"/>
  <c r="G65" i="10" a="1"/>
  <c r="G65" i="10" s="1"/>
  <c r="I65" i="10" s="1"/>
  <c r="G71" i="10" a="1"/>
  <c r="G71" i="10" s="1"/>
  <c r="H95" i="10" a="1"/>
  <c r="H95" i="10" s="1"/>
  <c r="E62" i="10" a="1"/>
  <c r="E62" i="10" s="1"/>
  <c r="H86" i="10" a="1"/>
  <c r="H86" i="10" s="1"/>
  <c r="D76" i="10" a="1"/>
  <c r="D76" i="10" s="1"/>
  <c r="F76" i="10" s="1"/>
  <c r="G80" i="10" a="1"/>
  <c r="G80" i="10" s="1"/>
  <c r="E69" i="10" a="1"/>
  <c r="E69" i="10" s="1"/>
  <c r="G74" i="10" a="1"/>
  <c r="G74" i="10" s="1"/>
  <c r="I74" i="10" s="1"/>
  <c r="D83" i="10" a="1"/>
  <c r="D83" i="10" s="1"/>
  <c r="E67" i="10" a="1"/>
  <c r="E67" i="10" s="1"/>
  <c r="F67" i="10" s="1"/>
  <c r="E68" i="10" a="1"/>
  <c r="E68" i="10" s="1"/>
  <c r="P3" i="10" a="1"/>
  <c r="P3" i="10" s="1"/>
  <c r="H85" i="10" a="1"/>
  <c r="H85" i="10" s="1"/>
  <c r="G76" i="10" a="1"/>
  <c r="G76" i="10" s="1"/>
  <c r="I76" i="10" s="1"/>
  <c r="G95" i="10" a="1"/>
  <c r="G95" i="10" s="1"/>
  <c r="M3" i="10" a="1"/>
  <c r="M3" i="10" s="1"/>
  <c r="N3" i="10" s="1"/>
  <c r="E84" i="10" a="1"/>
  <c r="E84" i="10" s="1"/>
  <c r="D64" i="10" a="1"/>
  <c r="D64" i="10" s="1"/>
  <c r="F64" i="10" s="1"/>
  <c r="D80" i="10" a="1"/>
  <c r="D80" i="10" s="1"/>
  <c r="E65" i="10" a="1"/>
  <c r="E65" i="10" s="1"/>
  <c r="F65" i="10" s="1"/>
  <c r="E83" i="10" a="1"/>
  <c r="E83" i="10" s="1"/>
  <c r="F81" i="10"/>
  <c r="F97" i="10"/>
  <c r="H63" i="10" a="1"/>
  <c r="H63" i="10" s="1"/>
  <c r="H67" i="10" a="1"/>
  <c r="H67" i="10" s="1"/>
  <c r="H75" i="10" a="1"/>
  <c r="H75" i="10" s="1"/>
  <c r="I75" i="10" s="1"/>
  <c r="E61" i="10" a="1"/>
  <c r="E61" i="10" s="1"/>
  <c r="F61" i="10" s="1"/>
  <c r="H61" i="10" a="1"/>
  <c r="H61" i="10" s="1"/>
  <c r="I61" i="10" s="1"/>
  <c r="G85" i="10" a="1"/>
  <c r="G85" i="10" s="1"/>
  <c r="E87" i="10" a="1"/>
  <c r="E87" i="10" s="1"/>
  <c r="H79" i="10" a="1"/>
  <c r="H79" i="10" s="1"/>
  <c r="D95" i="10" a="1"/>
  <c r="D95" i="10" s="1"/>
  <c r="F95" i="10" s="1"/>
  <c r="D62" i="10" a="1"/>
  <c r="D62" i="10" s="1"/>
  <c r="F62" i="10" s="1"/>
  <c r="E86" i="10" a="1"/>
  <c r="E86" i="10" s="1"/>
  <c r="H64" i="10" a="1"/>
  <c r="H64" i="10" s="1"/>
  <c r="H80" i="10" a="1"/>
  <c r="H80" i="10" s="1"/>
  <c r="B6" i="6"/>
  <c r="B5" i="6"/>
  <c r="F68" i="10" l="1"/>
  <c r="I83" i="10"/>
  <c r="F83" i="10"/>
  <c r="I71" i="10"/>
  <c r="F91" i="10"/>
  <c r="I95" i="10"/>
  <c r="F85" i="10"/>
  <c r="I77" i="10"/>
  <c r="I85" i="10"/>
  <c r="I93" i="10"/>
  <c r="F96" i="10"/>
  <c r="F72" i="10"/>
  <c r="Q3" i="10"/>
  <c r="F75" i="10"/>
  <c r="F87" i="10"/>
  <c r="F90" i="10"/>
  <c r="F86" i="10"/>
  <c r="I66" i="10"/>
  <c r="I70" i="10"/>
  <c r="F79" i="10"/>
  <c r="F69" i="10"/>
  <c r="F84" i="10"/>
  <c r="I64" i="10"/>
  <c r="F88" i="10"/>
  <c r="F80" i="10"/>
  <c r="I80" i="10"/>
  <c r="I67" i="10"/>
  <c r="F94" i="10"/>
  <c r="I86" i="10"/>
  <c r="F66" i="10"/>
  <c r="I63" i="10"/>
  <c r="I79" i="10"/>
  <c r="C7" i="6"/>
  <c r="B7" i="6"/>
  <c r="C6" i="6"/>
  <c r="C5" i="6"/>
  <c r="C4" i="6"/>
  <c r="B4" i="6"/>
  <c r="C3" i="6"/>
  <c r="B3" i="6"/>
  <c r="C2" i="6"/>
  <c r="B2" i="6"/>
  <c r="Q7" i="4" l="1"/>
  <c r="K4" i="4" a="1"/>
  <c r="D1511" i="4"/>
  <c r="C1511" i="4"/>
  <c r="B1511" i="4"/>
  <c r="F1511" i="4" s="1" a="1"/>
  <c r="F1511" i="4" s="1"/>
  <c r="A1511" i="4"/>
  <c r="D1510" i="4"/>
  <c r="C1510" i="4"/>
  <c r="B1510" i="4"/>
  <c r="A1510" i="4"/>
  <c r="D1509" i="4"/>
  <c r="C1509" i="4"/>
  <c r="B1509" i="4"/>
  <c r="F1508" i="4" s="1" a="1"/>
  <c r="F1508" i="4" s="1"/>
  <c r="A1509" i="4"/>
  <c r="D1508" i="4"/>
  <c r="C1508" i="4"/>
  <c r="B1508" i="4"/>
  <c r="A1508" i="4"/>
  <c r="D1507" i="4"/>
  <c r="C1507" i="4"/>
  <c r="B1507" i="4"/>
  <c r="A1507" i="4"/>
  <c r="D1506" i="4"/>
  <c r="C1506" i="4"/>
  <c r="B1506" i="4"/>
  <c r="A1506" i="4"/>
  <c r="D1505" i="4"/>
  <c r="C1505" i="4"/>
  <c r="B1505" i="4"/>
  <c r="A1505" i="4"/>
  <c r="D1504" i="4"/>
  <c r="C1504" i="4"/>
  <c r="B1504" i="4"/>
  <c r="A1504" i="4"/>
  <c r="D1503" i="4"/>
  <c r="C1503" i="4"/>
  <c r="B1503" i="4"/>
  <c r="A1503" i="4"/>
  <c r="D1502" i="4"/>
  <c r="C1502" i="4"/>
  <c r="B1502" i="4"/>
  <c r="A1502" i="4"/>
  <c r="D1501" i="4"/>
  <c r="C1501" i="4"/>
  <c r="B1501" i="4"/>
  <c r="A1501" i="4"/>
  <c r="D1500" i="4"/>
  <c r="C1500" i="4"/>
  <c r="B1500" i="4"/>
  <c r="A1500" i="4"/>
  <c r="D1499" i="4"/>
  <c r="C1499" i="4"/>
  <c r="B1499" i="4"/>
  <c r="A1499" i="4"/>
  <c r="D1498" i="4"/>
  <c r="C1498" i="4"/>
  <c r="B1498" i="4"/>
  <c r="A1498" i="4"/>
  <c r="D1497" i="4"/>
  <c r="C1497" i="4"/>
  <c r="B1497" i="4"/>
  <c r="A1497" i="4"/>
  <c r="D1496" i="4"/>
  <c r="C1496" i="4"/>
  <c r="B1496" i="4"/>
  <c r="A1496" i="4"/>
  <c r="D1495" i="4"/>
  <c r="C1495" i="4"/>
  <c r="B1495" i="4"/>
  <c r="A1495" i="4"/>
  <c r="D1494" i="4"/>
  <c r="C1494" i="4"/>
  <c r="B1494" i="4"/>
  <c r="A1494" i="4"/>
  <c r="D1493" i="4"/>
  <c r="C1493" i="4"/>
  <c r="B1493" i="4"/>
  <c r="A1493" i="4"/>
  <c r="D1492" i="4"/>
  <c r="C1492" i="4"/>
  <c r="B1492" i="4"/>
  <c r="A1492" i="4"/>
  <c r="D1491" i="4"/>
  <c r="C1491" i="4"/>
  <c r="B1491" i="4"/>
  <c r="A1491" i="4"/>
  <c r="D1490" i="4"/>
  <c r="C1490" i="4"/>
  <c r="B1490" i="4"/>
  <c r="A1490" i="4"/>
  <c r="D1489" i="4"/>
  <c r="C1489" i="4"/>
  <c r="B1489" i="4"/>
  <c r="A1489" i="4"/>
  <c r="D1488" i="4"/>
  <c r="C1488" i="4"/>
  <c r="B1488" i="4"/>
  <c r="A1488" i="4"/>
  <c r="D1487" i="4"/>
  <c r="C1487" i="4"/>
  <c r="B1487" i="4"/>
  <c r="A1487" i="4"/>
  <c r="D1486" i="4"/>
  <c r="C1486" i="4"/>
  <c r="B1486" i="4"/>
  <c r="A1486" i="4"/>
  <c r="D1485" i="4"/>
  <c r="C1485" i="4"/>
  <c r="B1485" i="4"/>
  <c r="A1485" i="4"/>
  <c r="D1484" i="4"/>
  <c r="C1484" i="4"/>
  <c r="B1484" i="4"/>
  <c r="A1484" i="4"/>
  <c r="D1483" i="4"/>
  <c r="C1483" i="4"/>
  <c r="B1483" i="4"/>
  <c r="A1483" i="4"/>
  <c r="D1482" i="4"/>
  <c r="C1482" i="4"/>
  <c r="B1482" i="4"/>
  <c r="A1482" i="4"/>
  <c r="D1481" i="4"/>
  <c r="C1481" i="4"/>
  <c r="B1481" i="4"/>
  <c r="A1481" i="4"/>
  <c r="D1480" i="4"/>
  <c r="C1480" i="4"/>
  <c r="B1480" i="4"/>
  <c r="A1480" i="4"/>
  <c r="D1479" i="4"/>
  <c r="C1479" i="4"/>
  <c r="B1479" i="4"/>
  <c r="A1479" i="4"/>
  <c r="D1478" i="4"/>
  <c r="C1478" i="4"/>
  <c r="B1478" i="4"/>
  <c r="A1478" i="4"/>
  <c r="D1477" i="4"/>
  <c r="C1477" i="4"/>
  <c r="B1477" i="4"/>
  <c r="A1477" i="4"/>
  <c r="D1476" i="4"/>
  <c r="E1476" i="4" s="1"/>
  <c r="C1476" i="4"/>
  <c r="B1476" i="4"/>
  <c r="A1476" i="4"/>
  <c r="D1475" i="4"/>
  <c r="C1475" i="4"/>
  <c r="B1475" i="4"/>
  <c r="A1475" i="4"/>
  <c r="D1474" i="4"/>
  <c r="C1474" i="4"/>
  <c r="B1474" i="4"/>
  <c r="A1474" i="4"/>
  <c r="D1473" i="4"/>
  <c r="C1473" i="4"/>
  <c r="B1473" i="4"/>
  <c r="A1473" i="4"/>
  <c r="D1472" i="4"/>
  <c r="C1472" i="4"/>
  <c r="B1472" i="4"/>
  <c r="A1472" i="4"/>
  <c r="D1471" i="4"/>
  <c r="C1471" i="4"/>
  <c r="B1471" i="4"/>
  <c r="F1471" i="4" s="1" a="1"/>
  <c r="F1471" i="4" s="1"/>
  <c r="A1471" i="4"/>
  <c r="D1470" i="4"/>
  <c r="C1470" i="4"/>
  <c r="B1470" i="4"/>
  <c r="A1470" i="4"/>
  <c r="D1469" i="4"/>
  <c r="C1469" i="4"/>
  <c r="B1469" i="4"/>
  <c r="A1469" i="4"/>
  <c r="D1468" i="4"/>
  <c r="E1468" i="4" s="1"/>
  <c r="C1468" i="4"/>
  <c r="B1468" i="4"/>
  <c r="A1468" i="4"/>
  <c r="D1467" i="4"/>
  <c r="C1467" i="4"/>
  <c r="B1467" i="4"/>
  <c r="A1467" i="4"/>
  <c r="D1466" i="4"/>
  <c r="C1466" i="4"/>
  <c r="B1466" i="4"/>
  <c r="A1466" i="4"/>
  <c r="D1465" i="4"/>
  <c r="C1465" i="4"/>
  <c r="B1465" i="4"/>
  <c r="A1465" i="4"/>
  <c r="D1464" i="4"/>
  <c r="C1464" i="4"/>
  <c r="B1464" i="4"/>
  <c r="A1464" i="4"/>
  <c r="D1463" i="4"/>
  <c r="C1463" i="4"/>
  <c r="B1463" i="4"/>
  <c r="A1463" i="4"/>
  <c r="D1462" i="4"/>
  <c r="C1462" i="4"/>
  <c r="B1462" i="4"/>
  <c r="A1462" i="4"/>
  <c r="D1461" i="4"/>
  <c r="C1461" i="4"/>
  <c r="B1461" i="4"/>
  <c r="A1461" i="4"/>
  <c r="D1460" i="4"/>
  <c r="C1460" i="4"/>
  <c r="B1460" i="4"/>
  <c r="A1460" i="4"/>
  <c r="D1459" i="4"/>
  <c r="C1459" i="4"/>
  <c r="B1459" i="4"/>
  <c r="A1459" i="4"/>
  <c r="D1458" i="4"/>
  <c r="C1458" i="4"/>
  <c r="B1458" i="4"/>
  <c r="A1458" i="4"/>
  <c r="D1457" i="4"/>
  <c r="C1457" i="4"/>
  <c r="B1457" i="4"/>
  <c r="A1457" i="4"/>
  <c r="D1456" i="4"/>
  <c r="C1456" i="4"/>
  <c r="B1456" i="4"/>
  <c r="A1456" i="4"/>
  <c r="D1455" i="4"/>
  <c r="C1455" i="4"/>
  <c r="B1455" i="4"/>
  <c r="A1455" i="4"/>
  <c r="D1454" i="4"/>
  <c r="C1454" i="4"/>
  <c r="B1454" i="4"/>
  <c r="A1454" i="4"/>
  <c r="D1453" i="4"/>
  <c r="C1453" i="4"/>
  <c r="B1453" i="4"/>
  <c r="A1453" i="4"/>
  <c r="D1452" i="4"/>
  <c r="C1452" i="4"/>
  <c r="B1452" i="4"/>
  <c r="A1452" i="4"/>
  <c r="D1451" i="4"/>
  <c r="C1451" i="4"/>
  <c r="B1451" i="4"/>
  <c r="A1451" i="4"/>
  <c r="D1450" i="4"/>
  <c r="C1450" i="4"/>
  <c r="B1450" i="4"/>
  <c r="A1450" i="4"/>
  <c r="D1449" i="4"/>
  <c r="C1449" i="4"/>
  <c r="B1449" i="4"/>
  <c r="A1449" i="4"/>
  <c r="D1448" i="4"/>
  <c r="C1448" i="4"/>
  <c r="B1448" i="4"/>
  <c r="A1448" i="4"/>
  <c r="D1447" i="4"/>
  <c r="C1447" i="4"/>
  <c r="B1447" i="4"/>
  <c r="A1447" i="4"/>
  <c r="D1446" i="4"/>
  <c r="C1446" i="4"/>
  <c r="B1446" i="4"/>
  <c r="A1446" i="4"/>
  <c r="D1445" i="4"/>
  <c r="C1445" i="4"/>
  <c r="B1445" i="4"/>
  <c r="A1445" i="4"/>
  <c r="D1444" i="4"/>
  <c r="E1444" i="4" s="1"/>
  <c r="C1444" i="4"/>
  <c r="B1444" i="4"/>
  <c r="A1444" i="4"/>
  <c r="D1443" i="4"/>
  <c r="C1443" i="4"/>
  <c r="B1443" i="4"/>
  <c r="A1443" i="4"/>
  <c r="D1442" i="4"/>
  <c r="C1442" i="4"/>
  <c r="B1442" i="4"/>
  <c r="A1442" i="4"/>
  <c r="D1441" i="4"/>
  <c r="C1441" i="4"/>
  <c r="B1441" i="4"/>
  <c r="A1441" i="4"/>
  <c r="D1440" i="4"/>
  <c r="C1440" i="4"/>
  <c r="B1440" i="4"/>
  <c r="A1440" i="4"/>
  <c r="D1439" i="4"/>
  <c r="C1439" i="4"/>
  <c r="B1439" i="4"/>
  <c r="A1439" i="4"/>
  <c r="D1438" i="4"/>
  <c r="C1438" i="4"/>
  <c r="B1438" i="4"/>
  <c r="A1438" i="4"/>
  <c r="D1437" i="4"/>
  <c r="C1437" i="4"/>
  <c r="B1437" i="4"/>
  <c r="A1437" i="4"/>
  <c r="D1436" i="4"/>
  <c r="C1436" i="4"/>
  <c r="B1436" i="4"/>
  <c r="A1436" i="4"/>
  <c r="D1435" i="4"/>
  <c r="C1435" i="4"/>
  <c r="B1435" i="4"/>
  <c r="A1435" i="4"/>
  <c r="D1434" i="4"/>
  <c r="C1434" i="4"/>
  <c r="B1434" i="4"/>
  <c r="A1434" i="4"/>
  <c r="D1433" i="4"/>
  <c r="C1433" i="4"/>
  <c r="B1433" i="4"/>
  <c r="A1433" i="4"/>
  <c r="D1432" i="4"/>
  <c r="C1432" i="4"/>
  <c r="B1432" i="4"/>
  <c r="A1432" i="4"/>
  <c r="D1431" i="4"/>
  <c r="C1431" i="4"/>
  <c r="B1431" i="4"/>
  <c r="A1431" i="4"/>
  <c r="D1430" i="4"/>
  <c r="E1430" i="4" s="1"/>
  <c r="C1430" i="4"/>
  <c r="B1430" i="4"/>
  <c r="A1430" i="4"/>
  <c r="D1429" i="4"/>
  <c r="C1429" i="4"/>
  <c r="B1429" i="4"/>
  <c r="A1429" i="4"/>
  <c r="D1428" i="4"/>
  <c r="C1428" i="4"/>
  <c r="B1428" i="4"/>
  <c r="A1428" i="4"/>
  <c r="D1427" i="4"/>
  <c r="C1427" i="4"/>
  <c r="B1427" i="4"/>
  <c r="A1427" i="4"/>
  <c r="D1426" i="4"/>
  <c r="C1426" i="4"/>
  <c r="B1426" i="4"/>
  <c r="A1426" i="4"/>
  <c r="D1425" i="4"/>
  <c r="C1425" i="4"/>
  <c r="B1425" i="4"/>
  <c r="A1425" i="4"/>
  <c r="D1424" i="4"/>
  <c r="C1424" i="4"/>
  <c r="B1424" i="4"/>
  <c r="A1424" i="4"/>
  <c r="D1423" i="4"/>
  <c r="C1423" i="4"/>
  <c r="B1423" i="4"/>
  <c r="A1423" i="4"/>
  <c r="D1422" i="4"/>
  <c r="E1422" i="4" s="1"/>
  <c r="C1422" i="4"/>
  <c r="B1422" i="4"/>
  <c r="A1422" i="4"/>
  <c r="D1421" i="4"/>
  <c r="C1421" i="4"/>
  <c r="B1421" i="4"/>
  <c r="A1421" i="4"/>
  <c r="D1420" i="4"/>
  <c r="C1420" i="4"/>
  <c r="B1420" i="4"/>
  <c r="A1420" i="4"/>
  <c r="D1419" i="4"/>
  <c r="C1419" i="4"/>
  <c r="B1419" i="4"/>
  <c r="A1419" i="4"/>
  <c r="D1418" i="4"/>
  <c r="C1418" i="4"/>
  <c r="B1418" i="4"/>
  <c r="A1418" i="4"/>
  <c r="D1417" i="4"/>
  <c r="C1417" i="4"/>
  <c r="B1417" i="4"/>
  <c r="A1417" i="4"/>
  <c r="D1416" i="4"/>
  <c r="C1416" i="4"/>
  <c r="B1416" i="4"/>
  <c r="A1416" i="4"/>
  <c r="D1415" i="4"/>
  <c r="C1415" i="4"/>
  <c r="B1415" i="4"/>
  <c r="A1415" i="4"/>
  <c r="D1414" i="4"/>
  <c r="C1414" i="4"/>
  <c r="B1414" i="4"/>
  <c r="A1414" i="4"/>
  <c r="D1413" i="4"/>
  <c r="C1413" i="4"/>
  <c r="B1413" i="4"/>
  <c r="A1413" i="4"/>
  <c r="D1412" i="4"/>
  <c r="C1412" i="4"/>
  <c r="B1412" i="4"/>
  <c r="A1412" i="4"/>
  <c r="D1411" i="4"/>
  <c r="C1411" i="4"/>
  <c r="B1411" i="4"/>
  <c r="A1411" i="4"/>
  <c r="D1410" i="4"/>
  <c r="C1410" i="4"/>
  <c r="B1410" i="4"/>
  <c r="A1410" i="4"/>
  <c r="D1409" i="4"/>
  <c r="C1409" i="4"/>
  <c r="B1409" i="4"/>
  <c r="A1409" i="4"/>
  <c r="D1408" i="4"/>
  <c r="C1408" i="4"/>
  <c r="B1408" i="4"/>
  <c r="A1408" i="4"/>
  <c r="D1407" i="4"/>
  <c r="C1407" i="4"/>
  <c r="B1407" i="4"/>
  <c r="A1407" i="4"/>
  <c r="D1406" i="4"/>
  <c r="C1406" i="4"/>
  <c r="B1406" i="4"/>
  <c r="A1406" i="4"/>
  <c r="D1405" i="4"/>
  <c r="C1405" i="4"/>
  <c r="B1405" i="4"/>
  <c r="A1405" i="4"/>
  <c r="D1404" i="4"/>
  <c r="C1404" i="4"/>
  <c r="B1404" i="4"/>
  <c r="A1404" i="4"/>
  <c r="D1403" i="4"/>
  <c r="C1403" i="4"/>
  <c r="B1403" i="4"/>
  <c r="A1403" i="4"/>
  <c r="D1402" i="4"/>
  <c r="C1402" i="4"/>
  <c r="B1402" i="4"/>
  <c r="A1402" i="4"/>
  <c r="D1401" i="4"/>
  <c r="C1401" i="4"/>
  <c r="B1401" i="4"/>
  <c r="A1401" i="4"/>
  <c r="D1400" i="4"/>
  <c r="C1400" i="4"/>
  <c r="B1400" i="4"/>
  <c r="A1400" i="4"/>
  <c r="D1399" i="4"/>
  <c r="C1399" i="4"/>
  <c r="B1399" i="4"/>
  <c r="A1399" i="4"/>
  <c r="D1398" i="4"/>
  <c r="C1398" i="4"/>
  <c r="B1398" i="4"/>
  <c r="A1398" i="4"/>
  <c r="D1397" i="4"/>
  <c r="C1397" i="4"/>
  <c r="B1397" i="4"/>
  <c r="A1397" i="4"/>
  <c r="D1396" i="4"/>
  <c r="C1396" i="4"/>
  <c r="B1396" i="4"/>
  <c r="A1396" i="4"/>
  <c r="D1395" i="4"/>
  <c r="C1395" i="4"/>
  <c r="B1395" i="4"/>
  <c r="A1395" i="4"/>
  <c r="D1394" i="4"/>
  <c r="C1394" i="4"/>
  <c r="B1394" i="4"/>
  <c r="A1394" i="4"/>
  <c r="D1393" i="4"/>
  <c r="C1393" i="4"/>
  <c r="B1393" i="4"/>
  <c r="A1393" i="4"/>
  <c r="D1392" i="4"/>
  <c r="C1392" i="4"/>
  <c r="B1392" i="4"/>
  <c r="A1392" i="4"/>
  <c r="D1391" i="4"/>
  <c r="C1391" i="4"/>
  <c r="B1391" i="4"/>
  <c r="A1391" i="4"/>
  <c r="D1390" i="4"/>
  <c r="C1390" i="4"/>
  <c r="B1390" i="4"/>
  <c r="A1390" i="4"/>
  <c r="D1389" i="4"/>
  <c r="C1389" i="4"/>
  <c r="B1389" i="4"/>
  <c r="A1389" i="4"/>
  <c r="D1388" i="4"/>
  <c r="C1388" i="4"/>
  <c r="B1388" i="4"/>
  <c r="A1388" i="4"/>
  <c r="D1387" i="4"/>
  <c r="C1387" i="4"/>
  <c r="B1387" i="4"/>
  <c r="A1387" i="4"/>
  <c r="D1386" i="4"/>
  <c r="C1386" i="4"/>
  <c r="B1386" i="4"/>
  <c r="A1386" i="4"/>
  <c r="D1385" i="4"/>
  <c r="C1385" i="4"/>
  <c r="B1385" i="4"/>
  <c r="A1385" i="4"/>
  <c r="D1384" i="4"/>
  <c r="C1384" i="4"/>
  <c r="B1384" i="4"/>
  <c r="A1384" i="4"/>
  <c r="D1383" i="4"/>
  <c r="C1383" i="4"/>
  <c r="B1383" i="4"/>
  <c r="A1383" i="4"/>
  <c r="D1382" i="4"/>
  <c r="C1382" i="4"/>
  <c r="B1382" i="4"/>
  <c r="A1382" i="4"/>
  <c r="D1381" i="4"/>
  <c r="C1381" i="4"/>
  <c r="B1381" i="4"/>
  <c r="A1381" i="4"/>
  <c r="D1380" i="4"/>
  <c r="E1380" i="4" s="1"/>
  <c r="C1380" i="4"/>
  <c r="B1380" i="4"/>
  <c r="A1380" i="4"/>
  <c r="D1379" i="4"/>
  <c r="C1379" i="4"/>
  <c r="B1379" i="4"/>
  <c r="A1379" i="4"/>
  <c r="D1378" i="4"/>
  <c r="C1378" i="4"/>
  <c r="B1378" i="4"/>
  <c r="A1378" i="4"/>
  <c r="D1377" i="4"/>
  <c r="C1377" i="4"/>
  <c r="B1377" i="4"/>
  <c r="A1377" i="4"/>
  <c r="D1376" i="4"/>
  <c r="C1376" i="4"/>
  <c r="B1376" i="4"/>
  <c r="A1376" i="4"/>
  <c r="D1375" i="4"/>
  <c r="C1375" i="4"/>
  <c r="B1375" i="4"/>
  <c r="A1375" i="4"/>
  <c r="D1374" i="4"/>
  <c r="C1374" i="4"/>
  <c r="B1374" i="4"/>
  <c r="A1374" i="4"/>
  <c r="D1373" i="4"/>
  <c r="C1373" i="4"/>
  <c r="B1373" i="4"/>
  <c r="A1373" i="4"/>
  <c r="D1372" i="4"/>
  <c r="C1372" i="4"/>
  <c r="B1372" i="4"/>
  <c r="A1372" i="4"/>
  <c r="D1371" i="4"/>
  <c r="C1371" i="4"/>
  <c r="B1371" i="4"/>
  <c r="A1371" i="4"/>
  <c r="D1370" i="4"/>
  <c r="C1370" i="4"/>
  <c r="B1370" i="4"/>
  <c r="A1370" i="4"/>
  <c r="D1369" i="4"/>
  <c r="C1369" i="4"/>
  <c r="B1369" i="4"/>
  <c r="A1369" i="4"/>
  <c r="D1368" i="4"/>
  <c r="C1368" i="4"/>
  <c r="B1368" i="4"/>
  <c r="A1368" i="4"/>
  <c r="D1367" i="4"/>
  <c r="C1367" i="4"/>
  <c r="B1367" i="4"/>
  <c r="A1367" i="4"/>
  <c r="D1366" i="4"/>
  <c r="C1366" i="4"/>
  <c r="B1366" i="4"/>
  <c r="A1366" i="4"/>
  <c r="D1365" i="4"/>
  <c r="C1365" i="4"/>
  <c r="B1365" i="4"/>
  <c r="A1365" i="4"/>
  <c r="D1364" i="4"/>
  <c r="C1364" i="4"/>
  <c r="B1364" i="4"/>
  <c r="A1364" i="4"/>
  <c r="D1363" i="4"/>
  <c r="C1363" i="4"/>
  <c r="B1363" i="4"/>
  <c r="A1363" i="4"/>
  <c r="D1362" i="4"/>
  <c r="C1362" i="4"/>
  <c r="B1362" i="4"/>
  <c r="A1362" i="4"/>
  <c r="D1361" i="4"/>
  <c r="C1361" i="4"/>
  <c r="B1361" i="4"/>
  <c r="A1361" i="4"/>
  <c r="D1360" i="4"/>
  <c r="C1360" i="4"/>
  <c r="B1360" i="4"/>
  <c r="A1360" i="4"/>
  <c r="D1359" i="4"/>
  <c r="C1359" i="4"/>
  <c r="B1359" i="4"/>
  <c r="A1359" i="4"/>
  <c r="D1358" i="4"/>
  <c r="C1358" i="4"/>
  <c r="B1358" i="4"/>
  <c r="A1358" i="4"/>
  <c r="D1357" i="4"/>
  <c r="C1357" i="4"/>
  <c r="B1357" i="4"/>
  <c r="A1357" i="4"/>
  <c r="D1356" i="4"/>
  <c r="C1356" i="4"/>
  <c r="B1356" i="4"/>
  <c r="A1356" i="4"/>
  <c r="D1355" i="4"/>
  <c r="C1355" i="4"/>
  <c r="B1355" i="4"/>
  <c r="A1355" i="4"/>
  <c r="D1354" i="4"/>
  <c r="C1354" i="4"/>
  <c r="B1354" i="4"/>
  <c r="A1354" i="4"/>
  <c r="D1353" i="4"/>
  <c r="C1353" i="4"/>
  <c r="B1353" i="4"/>
  <c r="A1353" i="4"/>
  <c r="D1352" i="4"/>
  <c r="C1352" i="4"/>
  <c r="B1352" i="4"/>
  <c r="A1352" i="4"/>
  <c r="D1351" i="4"/>
  <c r="C1351" i="4"/>
  <c r="B1351" i="4"/>
  <c r="A1351" i="4"/>
  <c r="D1350" i="4"/>
  <c r="C1350" i="4"/>
  <c r="B1350" i="4"/>
  <c r="A1350" i="4"/>
  <c r="D1349" i="4"/>
  <c r="C1349" i="4"/>
  <c r="B1349" i="4"/>
  <c r="A1349" i="4"/>
  <c r="D1348" i="4"/>
  <c r="C1348" i="4"/>
  <c r="B1348" i="4"/>
  <c r="A1348" i="4"/>
  <c r="D1347" i="4"/>
  <c r="C1347" i="4"/>
  <c r="B1347" i="4"/>
  <c r="A1347" i="4"/>
  <c r="D1346" i="4"/>
  <c r="C1346" i="4"/>
  <c r="B1346" i="4"/>
  <c r="A1346" i="4"/>
  <c r="D1345" i="4"/>
  <c r="C1345" i="4"/>
  <c r="B1345" i="4"/>
  <c r="A1345" i="4"/>
  <c r="D1344" i="4"/>
  <c r="C1344" i="4"/>
  <c r="B1344" i="4"/>
  <c r="A1344" i="4"/>
  <c r="D1343" i="4"/>
  <c r="C1343" i="4"/>
  <c r="B1343" i="4"/>
  <c r="A1343" i="4"/>
  <c r="D1342" i="4"/>
  <c r="C1342" i="4"/>
  <c r="B1342" i="4"/>
  <c r="A1342" i="4"/>
  <c r="D1341" i="4"/>
  <c r="C1341" i="4"/>
  <c r="B1341" i="4"/>
  <c r="A1341" i="4"/>
  <c r="D1340" i="4"/>
  <c r="C1340" i="4"/>
  <c r="B1340" i="4"/>
  <c r="A1340" i="4"/>
  <c r="D1339" i="4"/>
  <c r="C1339" i="4"/>
  <c r="B1339" i="4"/>
  <c r="A1339" i="4"/>
  <c r="D1338" i="4"/>
  <c r="C1338" i="4"/>
  <c r="B1338" i="4"/>
  <c r="A1338" i="4"/>
  <c r="D1337" i="4"/>
  <c r="C1337" i="4"/>
  <c r="B1337" i="4"/>
  <c r="A1337" i="4"/>
  <c r="D1336" i="4"/>
  <c r="C1336" i="4"/>
  <c r="B1336" i="4"/>
  <c r="A1336" i="4"/>
  <c r="D1335" i="4"/>
  <c r="C1335" i="4"/>
  <c r="B1335" i="4"/>
  <c r="A1335" i="4"/>
  <c r="D1334" i="4"/>
  <c r="C1334" i="4"/>
  <c r="B1334" i="4"/>
  <c r="A1334" i="4"/>
  <c r="D1333" i="4"/>
  <c r="E1333" i="4" s="1"/>
  <c r="C1333" i="4"/>
  <c r="B1333" i="4"/>
  <c r="A1333" i="4"/>
  <c r="D1332" i="4"/>
  <c r="C1332" i="4"/>
  <c r="B1332" i="4"/>
  <c r="A1332" i="4"/>
  <c r="D1331" i="4"/>
  <c r="C1331" i="4"/>
  <c r="B1331" i="4"/>
  <c r="A1331" i="4"/>
  <c r="D1330" i="4"/>
  <c r="C1330" i="4"/>
  <c r="B1330" i="4"/>
  <c r="A1330" i="4"/>
  <c r="D1329" i="4"/>
  <c r="C1329" i="4"/>
  <c r="B1329" i="4"/>
  <c r="A1329" i="4"/>
  <c r="D1328" i="4"/>
  <c r="C1328" i="4"/>
  <c r="B1328" i="4"/>
  <c r="A1328" i="4"/>
  <c r="D1327" i="4"/>
  <c r="C1327" i="4"/>
  <c r="B1327" i="4"/>
  <c r="A1327" i="4"/>
  <c r="D1326" i="4"/>
  <c r="C1326" i="4"/>
  <c r="B1326" i="4"/>
  <c r="A1326" i="4"/>
  <c r="D1325" i="4"/>
  <c r="C1325" i="4"/>
  <c r="B1325" i="4"/>
  <c r="A1325" i="4"/>
  <c r="D1324" i="4"/>
  <c r="C1324" i="4"/>
  <c r="B1324" i="4"/>
  <c r="A1324" i="4"/>
  <c r="D1323" i="4"/>
  <c r="C1323" i="4"/>
  <c r="B1323" i="4"/>
  <c r="A1323" i="4"/>
  <c r="D1322" i="4"/>
  <c r="C1322" i="4"/>
  <c r="B1322" i="4"/>
  <c r="A1322" i="4"/>
  <c r="D1321" i="4"/>
  <c r="C1321" i="4"/>
  <c r="B1321" i="4"/>
  <c r="A1321" i="4"/>
  <c r="D1320" i="4"/>
  <c r="C1320" i="4"/>
  <c r="B1320" i="4"/>
  <c r="A1320" i="4"/>
  <c r="D1319" i="4"/>
  <c r="C1319" i="4"/>
  <c r="B1319" i="4"/>
  <c r="A1319" i="4"/>
  <c r="D1318" i="4"/>
  <c r="C1318" i="4"/>
  <c r="B1318" i="4"/>
  <c r="A1318" i="4"/>
  <c r="D1317" i="4"/>
  <c r="C1317" i="4"/>
  <c r="B1317" i="4"/>
  <c r="A1317" i="4"/>
  <c r="D1316" i="4"/>
  <c r="C1316" i="4"/>
  <c r="B1316" i="4"/>
  <c r="A1316" i="4"/>
  <c r="D1315" i="4"/>
  <c r="C1315" i="4"/>
  <c r="B1315" i="4"/>
  <c r="A1315" i="4"/>
  <c r="D1314" i="4"/>
  <c r="C1314" i="4"/>
  <c r="B1314" i="4"/>
  <c r="A1314" i="4"/>
  <c r="D1313" i="4"/>
  <c r="C1313" i="4"/>
  <c r="B1313" i="4"/>
  <c r="A1313" i="4"/>
  <c r="D1312" i="4"/>
  <c r="C1312" i="4"/>
  <c r="B1312" i="4"/>
  <c r="A1312" i="4"/>
  <c r="D1311" i="4"/>
  <c r="C1311" i="4"/>
  <c r="B1311" i="4"/>
  <c r="A1311" i="4"/>
  <c r="D1310" i="4"/>
  <c r="C1310" i="4"/>
  <c r="B1310" i="4"/>
  <c r="A1310" i="4"/>
  <c r="D1309" i="4"/>
  <c r="C1309" i="4"/>
  <c r="B1309" i="4"/>
  <c r="A1309" i="4"/>
  <c r="D1308" i="4"/>
  <c r="C1308" i="4"/>
  <c r="B1308" i="4"/>
  <c r="A1308" i="4"/>
  <c r="D1307" i="4"/>
  <c r="C1307" i="4"/>
  <c r="B1307" i="4"/>
  <c r="A1307" i="4"/>
  <c r="D1306" i="4"/>
  <c r="C1306" i="4"/>
  <c r="B1306" i="4"/>
  <c r="A1306" i="4"/>
  <c r="D1305" i="4"/>
  <c r="C1305" i="4"/>
  <c r="B1305" i="4"/>
  <c r="A1305" i="4"/>
  <c r="D1304" i="4"/>
  <c r="C1304" i="4"/>
  <c r="B1304" i="4"/>
  <c r="A1304" i="4"/>
  <c r="D1303" i="4"/>
  <c r="C1303" i="4"/>
  <c r="B1303" i="4"/>
  <c r="A1303" i="4"/>
  <c r="D1302" i="4"/>
  <c r="C1302" i="4"/>
  <c r="B1302" i="4"/>
  <c r="A1302" i="4"/>
  <c r="D1301" i="4"/>
  <c r="C1301" i="4"/>
  <c r="B1301" i="4"/>
  <c r="A1301" i="4"/>
  <c r="D1300" i="4"/>
  <c r="C1300" i="4"/>
  <c r="B1300" i="4"/>
  <c r="A1300" i="4"/>
  <c r="D1299" i="4"/>
  <c r="C1299" i="4"/>
  <c r="B1299" i="4"/>
  <c r="A1299" i="4"/>
  <c r="D1298" i="4"/>
  <c r="C1298" i="4"/>
  <c r="B1298" i="4"/>
  <c r="A1298" i="4"/>
  <c r="D1297" i="4"/>
  <c r="C1297" i="4"/>
  <c r="B1297" i="4"/>
  <c r="A1297" i="4"/>
  <c r="D1296" i="4"/>
  <c r="C1296" i="4"/>
  <c r="B1296" i="4"/>
  <c r="A1296" i="4"/>
  <c r="D1295" i="4"/>
  <c r="C1295" i="4"/>
  <c r="B1295" i="4"/>
  <c r="A1295" i="4"/>
  <c r="D1294" i="4"/>
  <c r="C1294" i="4"/>
  <c r="B1294" i="4"/>
  <c r="A1294" i="4"/>
  <c r="D1293" i="4"/>
  <c r="C1293" i="4"/>
  <c r="B1293" i="4"/>
  <c r="A1293" i="4"/>
  <c r="D1292" i="4"/>
  <c r="C1292" i="4"/>
  <c r="B1292" i="4"/>
  <c r="A1292" i="4"/>
  <c r="D1291" i="4"/>
  <c r="C1291" i="4"/>
  <c r="B1291" i="4"/>
  <c r="A1291" i="4"/>
  <c r="D1290" i="4"/>
  <c r="C1290" i="4"/>
  <c r="B1290" i="4"/>
  <c r="A1290" i="4"/>
  <c r="D1289" i="4"/>
  <c r="C1289" i="4"/>
  <c r="B1289" i="4"/>
  <c r="A1289" i="4"/>
  <c r="D1288" i="4"/>
  <c r="E1288" i="4" s="1"/>
  <c r="C1288" i="4"/>
  <c r="B1288" i="4"/>
  <c r="A1288" i="4"/>
  <c r="D1287" i="4"/>
  <c r="C1287" i="4"/>
  <c r="B1287" i="4"/>
  <c r="A1287" i="4"/>
  <c r="D1286" i="4"/>
  <c r="C1286" i="4"/>
  <c r="B1286" i="4"/>
  <c r="A1286" i="4"/>
  <c r="D1285" i="4"/>
  <c r="C1285" i="4"/>
  <c r="B1285" i="4"/>
  <c r="A1285" i="4"/>
  <c r="D1284" i="4"/>
  <c r="E1284" i="4" s="1"/>
  <c r="C1284" i="4"/>
  <c r="B1284" i="4"/>
  <c r="A1284" i="4"/>
  <c r="D1283" i="4"/>
  <c r="C1283" i="4"/>
  <c r="B1283" i="4"/>
  <c r="A1283" i="4"/>
  <c r="D1282" i="4"/>
  <c r="C1282" i="4"/>
  <c r="B1282" i="4"/>
  <c r="A1282" i="4"/>
  <c r="D1281" i="4"/>
  <c r="C1281" i="4"/>
  <c r="B1281" i="4"/>
  <c r="A1281" i="4"/>
  <c r="D1280" i="4"/>
  <c r="C1280" i="4"/>
  <c r="B1280" i="4"/>
  <c r="A1280" i="4"/>
  <c r="D1279" i="4"/>
  <c r="C1279" i="4"/>
  <c r="B1279" i="4"/>
  <c r="A1279" i="4"/>
  <c r="D1278" i="4"/>
  <c r="C1278" i="4"/>
  <c r="B1278" i="4"/>
  <c r="A1278" i="4"/>
  <c r="D1277" i="4"/>
  <c r="C1277" i="4"/>
  <c r="B1277" i="4"/>
  <c r="A1277" i="4"/>
  <c r="D1276" i="4"/>
  <c r="C1276" i="4"/>
  <c r="B1276" i="4"/>
  <c r="A1276" i="4"/>
  <c r="D1275" i="4"/>
  <c r="C1275" i="4"/>
  <c r="B1275" i="4"/>
  <c r="A1275" i="4"/>
  <c r="D1274" i="4"/>
  <c r="C1274" i="4"/>
  <c r="B1274" i="4"/>
  <c r="A1274" i="4"/>
  <c r="D1273" i="4"/>
  <c r="C1273" i="4"/>
  <c r="B1273" i="4"/>
  <c r="A1273" i="4"/>
  <c r="D1272" i="4"/>
  <c r="C1272" i="4"/>
  <c r="B1272" i="4"/>
  <c r="A1272" i="4"/>
  <c r="D1271" i="4"/>
  <c r="C1271" i="4"/>
  <c r="B1271" i="4"/>
  <c r="A1271" i="4"/>
  <c r="D1270" i="4"/>
  <c r="C1270" i="4"/>
  <c r="B1270" i="4"/>
  <c r="A1270" i="4"/>
  <c r="D1269" i="4"/>
  <c r="C1269" i="4"/>
  <c r="B1269" i="4"/>
  <c r="A1269" i="4"/>
  <c r="D1268" i="4"/>
  <c r="E1268" i="4" s="1"/>
  <c r="C1268" i="4"/>
  <c r="B1268" i="4"/>
  <c r="A1268" i="4"/>
  <c r="D1267" i="4"/>
  <c r="C1267" i="4"/>
  <c r="B1267" i="4"/>
  <c r="A1267" i="4"/>
  <c r="D1266" i="4"/>
  <c r="C1266" i="4"/>
  <c r="B1266" i="4"/>
  <c r="A1266" i="4"/>
  <c r="D1265" i="4"/>
  <c r="E1265" i="4" s="1"/>
  <c r="C1265" i="4"/>
  <c r="B1265" i="4"/>
  <c r="A1265" i="4"/>
  <c r="D1264" i="4"/>
  <c r="C1264" i="4"/>
  <c r="B1264" i="4"/>
  <c r="A1264" i="4"/>
  <c r="D1263" i="4"/>
  <c r="C1263" i="4"/>
  <c r="B1263" i="4"/>
  <c r="A1263" i="4"/>
  <c r="D1262" i="4"/>
  <c r="C1262" i="4"/>
  <c r="B1262" i="4"/>
  <c r="A1262" i="4"/>
  <c r="D1261" i="4"/>
  <c r="C1261" i="4"/>
  <c r="B1261" i="4"/>
  <c r="A1261" i="4"/>
  <c r="D1260" i="4"/>
  <c r="C1260" i="4"/>
  <c r="B1260" i="4"/>
  <c r="A1260" i="4"/>
  <c r="D1259" i="4"/>
  <c r="C1259" i="4"/>
  <c r="B1259" i="4"/>
  <c r="A1259" i="4"/>
  <c r="D1258" i="4"/>
  <c r="C1258" i="4"/>
  <c r="B1258" i="4"/>
  <c r="A1258" i="4"/>
  <c r="D1257" i="4"/>
  <c r="C1257" i="4"/>
  <c r="B1257" i="4"/>
  <c r="A1257" i="4"/>
  <c r="D1256" i="4"/>
  <c r="C1256" i="4"/>
  <c r="B1256" i="4"/>
  <c r="A1256" i="4"/>
  <c r="D1255" i="4"/>
  <c r="C1255" i="4"/>
  <c r="B1255" i="4"/>
  <c r="A1255" i="4"/>
  <c r="D1254" i="4"/>
  <c r="E1254" i="4" s="1"/>
  <c r="C1254" i="4"/>
  <c r="B1254" i="4"/>
  <c r="A1254" i="4"/>
  <c r="D1253" i="4"/>
  <c r="C1253" i="4"/>
  <c r="B1253" i="4"/>
  <c r="A1253" i="4"/>
  <c r="D1252" i="4"/>
  <c r="C1252" i="4"/>
  <c r="B1252" i="4"/>
  <c r="A1252" i="4"/>
  <c r="D1251" i="4"/>
  <c r="C1251" i="4"/>
  <c r="B1251" i="4"/>
  <c r="A1251" i="4"/>
  <c r="D1250" i="4"/>
  <c r="C1250" i="4"/>
  <c r="B1250" i="4"/>
  <c r="A1250" i="4"/>
  <c r="D1249" i="4"/>
  <c r="C1249" i="4"/>
  <c r="B1249" i="4"/>
  <c r="A1249" i="4"/>
  <c r="D1248" i="4"/>
  <c r="C1248" i="4"/>
  <c r="B1248" i="4"/>
  <c r="A1248" i="4"/>
  <c r="D1247" i="4"/>
  <c r="C1247" i="4"/>
  <c r="B1247" i="4"/>
  <c r="A1247" i="4"/>
  <c r="D1246" i="4"/>
  <c r="C1246" i="4"/>
  <c r="B1246" i="4"/>
  <c r="A1246" i="4"/>
  <c r="D1245" i="4"/>
  <c r="C1245" i="4"/>
  <c r="B1245" i="4"/>
  <c r="A1245" i="4"/>
  <c r="D1244" i="4"/>
  <c r="C1244" i="4"/>
  <c r="B1244" i="4"/>
  <c r="A1244" i="4"/>
  <c r="D1243" i="4"/>
  <c r="C1243" i="4"/>
  <c r="B1243" i="4"/>
  <c r="A1243" i="4"/>
  <c r="D1242" i="4"/>
  <c r="C1242" i="4"/>
  <c r="B1242" i="4"/>
  <c r="A1242" i="4"/>
  <c r="D1241" i="4"/>
  <c r="C1241" i="4"/>
  <c r="B1241" i="4"/>
  <c r="A1241" i="4"/>
  <c r="D1240" i="4"/>
  <c r="C1240" i="4"/>
  <c r="B1240" i="4"/>
  <c r="A1240" i="4"/>
  <c r="D1239" i="4"/>
  <c r="C1239" i="4"/>
  <c r="B1239" i="4"/>
  <c r="A1239" i="4"/>
  <c r="D1238" i="4"/>
  <c r="C1238" i="4"/>
  <c r="B1238" i="4"/>
  <c r="A1238" i="4"/>
  <c r="D1237" i="4"/>
  <c r="C1237" i="4"/>
  <c r="B1237" i="4"/>
  <c r="A1237" i="4"/>
  <c r="D1236" i="4"/>
  <c r="C1236" i="4"/>
  <c r="B1236" i="4"/>
  <c r="A1236" i="4"/>
  <c r="D1235" i="4"/>
  <c r="C1235" i="4"/>
  <c r="B1235" i="4"/>
  <c r="A1235" i="4"/>
  <c r="D1234" i="4"/>
  <c r="C1234" i="4"/>
  <c r="B1234" i="4"/>
  <c r="A1234" i="4"/>
  <c r="D1233" i="4"/>
  <c r="C1233" i="4"/>
  <c r="B1233" i="4"/>
  <c r="A1233" i="4"/>
  <c r="D1232" i="4"/>
  <c r="C1232" i="4"/>
  <c r="B1232" i="4"/>
  <c r="A1232" i="4"/>
  <c r="D1231" i="4"/>
  <c r="C1231" i="4"/>
  <c r="B1231" i="4"/>
  <c r="A1231" i="4"/>
  <c r="D1230" i="4"/>
  <c r="C1230" i="4"/>
  <c r="B1230" i="4"/>
  <c r="A1230" i="4"/>
  <c r="D1229" i="4"/>
  <c r="C1229" i="4"/>
  <c r="B1229" i="4"/>
  <c r="A1229" i="4"/>
  <c r="D1228" i="4"/>
  <c r="C1228" i="4"/>
  <c r="B1228" i="4"/>
  <c r="A1228" i="4"/>
  <c r="D1227" i="4"/>
  <c r="C1227" i="4"/>
  <c r="B1227" i="4"/>
  <c r="A1227" i="4"/>
  <c r="D1226" i="4"/>
  <c r="C1226" i="4"/>
  <c r="B1226" i="4"/>
  <c r="A1226" i="4"/>
  <c r="D1225" i="4"/>
  <c r="C1225" i="4"/>
  <c r="B1225" i="4"/>
  <c r="A1225" i="4"/>
  <c r="D1224" i="4"/>
  <c r="C1224" i="4"/>
  <c r="B1224" i="4"/>
  <c r="A1224" i="4"/>
  <c r="D1223" i="4"/>
  <c r="C1223" i="4"/>
  <c r="B1223" i="4"/>
  <c r="A1223" i="4"/>
  <c r="D1222" i="4"/>
  <c r="C1222" i="4"/>
  <c r="B1222" i="4"/>
  <c r="A1222" i="4"/>
  <c r="D1221" i="4"/>
  <c r="C1221" i="4"/>
  <c r="B1221" i="4"/>
  <c r="A1221" i="4"/>
  <c r="D1220" i="4"/>
  <c r="C1220" i="4"/>
  <c r="B1220" i="4"/>
  <c r="A1220" i="4"/>
  <c r="D1219" i="4"/>
  <c r="C1219" i="4"/>
  <c r="B1219" i="4"/>
  <c r="A1219" i="4"/>
  <c r="D1218" i="4"/>
  <c r="E1218" i="4" s="1"/>
  <c r="C1218" i="4"/>
  <c r="B1218" i="4"/>
  <c r="A1218" i="4"/>
  <c r="D1217" i="4"/>
  <c r="C1217" i="4"/>
  <c r="B1217" i="4"/>
  <c r="A1217" i="4"/>
  <c r="D1216" i="4"/>
  <c r="C1216" i="4"/>
  <c r="B1216" i="4"/>
  <c r="A1216" i="4"/>
  <c r="D1215" i="4"/>
  <c r="C1215" i="4"/>
  <c r="B1215" i="4"/>
  <c r="A1215" i="4"/>
  <c r="D1214" i="4"/>
  <c r="C1214" i="4"/>
  <c r="B1214" i="4"/>
  <c r="A1214" i="4"/>
  <c r="D1213" i="4"/>
  <c r="C1213" i="4"/>
  <c r="B1213" i="4"/>
  <c r="A1213" i="4"/>
  <c r="D1212" i="4"/>
  <c r="C1212" i="4"/>
  <c r="B1212" i="4"/>
  <c r="A1212" i="4"/>
  <c r="D1211" i="4"/>
  <c r="C1211" i="4"/>
  <c r="B1211" i="4"/>
  <c r="A1211" i="4"/>
  <c r="D1210" i="4"/>
  <c r="C1210" i="4"/>
  <c r="B1210" i="4"/>
  <c r="A1210" i="4"/>
  <c r="D1209" i="4"/>
  <c r="C1209" i="4"/>
  <c r="B1209" i="4"/>
  <c r="A1209" i="4"/>
  <c r="D1208" i="4"/>
  <c r="C1208" i="4"/>
  <c r="B1208" i="4"/>
  <c r="A1208" i="4"/>
  <c r="D1207" i="4"/>
  <c r="C1207" i="4"/>
  <c r="B1207" i="4"/>
  <c r="A1207" i="4"/>
  <c r="D1206" i="4"/>
  <c r="C1206" i="4"/>
  <c r="B1206" i="4"/>
  <c r="A1206" i="4"/>
  <c r="D1205" i="4"/>
  <c r="C1205" i="4"/>
  <c r="B1205" i="4"/>
  <c r="A1205" i="4"/>
  <c r="D1204" i="4"/>
  <c r="C1204" i="4"/>
  <c r="B1204" i="4"/>
  <c r="A1204" i="4"/>
  <c r="D1203" i="4"/>
  <c r="C1203" i="4"/>
  <c r="B1203" i="4"/>
  <c r="A1203" i="4"/>
  <c r="D1202" i="4"/>
  <c r="C1202" i="4"/>
  <c r="B1202" i="4"/>
  <c r="A1202" i="4"/>
  <c r="D1201" i="4"/>
  <c r="C1201" i="4"/>
  <c r="B1201" i="4"/>
  <c r="A1201" i="4"/>
  <c r="D1200" i="4"/>
  <c r="C1200" i="4"/>
  <c r="B1200" i="4"/>
  <c r="A1200" i="4"/>
  <c r="D1199" i="4"/>
  <c r="C1199" i="4"/>
  <c r="B1199" i="4"/>
  <c r="A1199" i="4"/>
  <c r="D1198" i="4"/>
  <c r="C1198" i="4"/>
  <c r="B1198" i="4"/>
  <c r="A1198" i="4"/>
  <c r="D1197" i="4"/>
  <c r="C1197" i="4"/>
  <c r="B1197" i="4"/>
  <c r="A1197" i="4"/>
  <c r="D1196" i="4"/>
  <c r="E1196" i="4" s="1"/>
  <c r="C1196" i="4"/>
  <c r="B1196" i="4"/>
  <c r="A1196" i="4"/>
  <c r="D1195" i="4"/>
  <c r="C1195" i="4"/>
  <c r="B1195" i="4"/>
  <c r="A1195" i="4"/>
  <c r="D1194" i="4"/>
  <c r="C1194" i="4"/>
  <c r="B1194" i="4"/>
  <c r="A1194" i="4"/>
  <c r="D1193" i="4"/>
  <c r="C1193" i="4"/>
  <c r="B1193" i="4"/>
  <c r="A1193" i="4"/>
  <c r="D1192" i="4"/>
  <c r="C1192" i="4"/>
  <c r="B1192" i="4"/>
  <c r="A1192" i="4"/>
  <c r="D1191" i="4"/>
  <c r="E1191" i="4" s="1"/>
  <c r="C1191" i="4"/>
  <c r="B1191" i="4"/>
  <c r="A1191" i="4"/>
  <c r="D1190" i="4"/>
  <c r="C1190" i="4"/>
  <c r="B1190" i="4"/>
  <c r="A1190" i="4"/>
  <c r="D1189" i="4"/>
  <c r="C1189" i="4"/>
  <c r="B1189" i="4"/>
  <c r="A1189" i="4"/>
  <c r="D1188" i="4"/>
  <c r="C1188" i="4"/>
  <c r="B1188" i="4"/>
  <c r="A1188" i="4"/>
  <c r="D1187" i="4"/>
  <c r="C1187" i="4"/>
  <c r="B1187" i="4"/>
  <c r="A1187" i="4"/>
  <c r="D1186" i="4"/>
  <c r="C1186" i="4"/>
  <c r="B1186" i="4"/>
  <c r="A1186" i="4"/>
  <c r="D1185" i="4"/>
  <c r="C1185" i="4"/>
  <c r="B1185" i="4"/>
  <c r="A1185" i="4"/>
  <c r="D1184" i="4"/>
  <c r="C1184" i="4"/>
  <c r="B1184" i="4"/>
  <c r="A1184" i="4"/>
  <c r="D1183" i="4"/>
  <c r="C1183" i="4"/>
  <c r="B1183" i="4"/>
  <c r="A1183" i="4"/>
  <c r="D1182" i="4"/>
  <c r="C1182" i="4"/>
  <c r="B1182" i="4"/>
  <c r="A1182" i="4"/>
  <c r="D1181" i="4"/>
  <c r="C1181" i="4"/>
  <c r="B1181" i="4"/>
  <c r="A1181" i="4"/>
  <c r="D1180" i="4"/>
  <c r="C1180" i="4"/>
  <c r="B1180" i="4"/>
  <c r="A1180" i="4"/>
  <c r="D1179" i="4"/>
  <c r="C1179" i="4"/>
  <c r="B1179" i="4"/>
  <c r="A1179" i="4"/>
  <c r="D1178" i="4"/>
  <c r="C1178" i="4"/>
  <c r="B1178" i="4"/>
  <c r="A1178" i="4"/>
  <c r="D1177" i="4"/>
  <c r="C1177" i="4"/>
  <c r="B1177" i="4"/>
  <c r="A1177" i="4"/>
  <c r="D1176" i="4"/>
  <c r="C1176" i="4"/>
  <c r="B1176" i="4"/>
  <c r="A1176" i="4"/>
  <c r="D1175" i="4"/>
  <c r="C1175" i="4"/>
  <c r="B1175" i="4"/>
  <c r="A1175" i="4"/>
  <c r="D1174" i="4"/>
  <c r="C1174" i="4"/>
  <c r="B1174" i="4"/>
  <c r="A1174" i="4"/>
  <c r="D1173" i="4"/>
  <c r="C1173" i="4"/>
  <c r="B1173" i="4"/>
  <c r="A1173" i="4"/>
  <c r="D1172" i="4"/>
  <c r="C1172" i="4"/>
  <c r="B1172" i="4"/>
  <c r="A1172" i="4"/>
  <c r="D1171" i="4"/>
  <c r="C1171" i="4"/>
  <c r="B1171" i="4"/>
  <c r="A1171" i="4"/>
  <c r="D1170" i="4"/>
  <c r="C1170" i="4"/>
  <c r="B1170" i="4"/>
  <c r="A1170" i="4"/>
  <c r="D1169" i="4"/>
  <c r="C1169" i="4"/>
  <c r="B1169" i="4"/>
  <c r="A1169" i="4"/>
  <c r="D1168" i="4"/>
  <c r="C1168" i="4"/>
  <c r="B1168" i="4"/>
  <c r="A1168" i="4"/>
  <c r="D1167" i="4"/>
  <c r="C1167" i="4"/>
  <c r="B1167" i="4"/>
  <c r="A1167" i="4"/>
  <c r="D1166" i="4"/>
  <c r="C1166" i="4"/>
  <c r="B1166" i="4"/>
  <c r="A1166" i="4"/>
  <c r="D1165" i="4"/>
  <c r="C1165" i="4"/>
  <c r="B1165" i="4"/>
  <c r="A1165" i="4"/>
  <c r="D1164" i="4"/>
  <c r="C1164" i="4"/>
  <c r="B1164" i="4"/>
  <c r="A1164" i="4"/>
  <c r="D1163" i="4"/>
  <c r="C1163" i="4"/>
  <c r="B1163" i="4"/>
  <c r="A1163" i="4"/>
  <c r="D1162" i="4"/>
  <c r="C1162" i="4"/>
  <c r="B1162" i="4"/>
  <c r="A1162" i="4"/>
  <c r="D1161" i="4"/>
  <c r="C1161" i="4"/>
  <c r="B1161" i="4"/>
  <c r="A1161" i="4"/>
  <c r="D1160" i="4"/>
  <c r="C1160" i="4"/>
  <c r="B1160" i="4"/>
  <c r="A1160" i="4"/>
  <c r="D1159" i="4"/>
  <c r="C1159" i="4"/>
  <c r="B1159" i="4"/>
  <c r="A1159" i="4"/>
  <c r="D1158" i="4"/>
  <c r="C1158" i="4"/>
  <c r="B1158" i="4"/>
  <c r="A1158" i="4"/>
  <c r="D1157" i="4"/>
  <c r="C1157" i="4"/>
  <c r="B1157" i="4"/>
  <c r="A1157" i="4"/>
  <c r="D1156" i="4"/>
  <c r="E1156" i="4" s="1"/>
  <c r="C1156" i="4"/>
  <c r="B1156" i="4"/>
  <c r="A1156" i="4"/>
  <c r="D1155" i="4"/>
  <c r="C1155" i="4"/>
  <c r="B1155" i="4"/>
  <c r="A1155" i="4"/>
  <c r="D1154" i="4"/>
  <c r="C1154" i="4"/>
  <c r="B1154" i="4"/>
  <c r="A1154" i="4"/>
  <c r="D1153" i="4"/>
  <c r="C1153" i="4"/>
  <c r="B1153" i="4"/>
  <c r="A1153" i="4"/>
  <c r="D1152" i="4"/>
  <c r="C1152" i="4"/>
  <c r="B1152" i="4"/>
  <c r="A1152" i="4"/>
  <c r="D1151" i="4"/>
  <c r="C1151" i="4"/>
  <c r="B1151" i="4"/>
  <c r="A1151" i="4"/>
  <c r="D1150" i="4"/>
  <c r="C1150" i="4"/>
  <c r="B1150" i="4"/>
  <c r="A1150" i="4"/>
  <c r="D1149" i="4"/>
  <c r="C1149" i="4"/>
  <c r="B1149" i="4"/>
  <c r="A1149" i="4"/>
  <c r="D1148" i="4"/>
  <c r="C1148" i="4"/>
  <c r="B1148" i="4"/>
  <c r="A1148" i="4"/>
  <c r="D1147" i="4"/>
  <c r="C1147" i="4"/>
  <c r="B1147" i="4"/>
  <c r="A1147" i="4"/>
  <c r="D1146" i="4"/>
  <c r="C1146" i="4"/>
  <c r="B1146" i="4"/>
  <c r="A1146" i="4"/>
  <c r="D1145" i="4"/>
  <c r="C1145" i="4"/>
  <c r="B1145" i="4"/>
  <c r="A1145" i="4"/>
  <c r="D1144" i="4"/>
  <c r="C1144" i="4"/>
  <c r="B1144" i="4"/>
  <c r="A1144" i="4"/>
  <c r="D1143" i="4"/>
  <c r="C1143" i="4"/>
  <c r="B1143" i="4"/>
  <c r="A1143" i="4"/>
  <c r="D1142" i="4"/>
  <c r="C1142" i="4"/>
  <c r="B1142" i="4"/>
  <c r="A1142" i="4"/>
  <c r="D1141" i="4"/>
  <c r="C1141" i="4"/>
  <c r="B1141" i="4"/>
  <c r="A1141" i="4"/>
  <c r="D1140" i="4"/>
  <c r="C1140" i="4"/>
  <c r="B1140" i="4"/>
  <c r="A1140" i="4"/>
  <c r="D1139" i="4"/>
  <c r="C1139" i="4"/>
  <c r="B1139" i="4"/>
  <c r="A1139" i="4"/>
  <c r="D1138" i="4"/>
  <c r="E1138" i="4" s="1"/>
  <c r="C1138" i="4"/>
  <c r="B1138" i="4"/>
  <c r="A1138" i="4"/>
  <c r="D1137" i="4"/>
  <c r="C1137" i="4"/>
  <c r="B1137" i="4"/>
  <c r="A1137" i="4"/>
  <c r="D1136" i="4"/>
  <c r="C1136" i="4"/>
  <c r="B1136" i="4"/>
  <c r="A1136" i="4"/>
  <c r="D1135" i="4"/>
  <c r="C1135" i="4"/>
  <c r="B1135" i="4"/>
  <c r="A1135" i="4"/>
  <c r="D1134" i="4"/>
  <c r="C1134" i="4"/>
  <c r="B1134" i="4"/>
  <c r="A1134" i="4"/>
  <c r="D1133" i="4"/>
  <c r="C1133" i="4"/>
  <c r="B1133" i="4"/>
  <c r="A1133" i="4"/>
  <c r="D1132" i="4"/>
  <c r="C1132" i="4"/>
  <c r="B1132" i="4"/>
  <c r="A1132" i="4"/>
  <c r="D1131" i="4"/>
  <c r="C1131" i="4"/>
  <c r="B1131" i="4"/>
  <c r="A1131" i="4"/>
  <c r="D1130" i="4"/>
  <c r="C1130" i="4"/>
  <c r="B1130" i="4"/>
  <c r="A1130" i="4"/>
  <c r="D1129" i="4"/>
  <c r="C1129" i="4"/>
  <c r="B1129" i="4"/>
  <c r="A1129" i="4"/>
  <c r="D1128" i="4"/>
  <c r="C1128" i="4"/>
  <c r="B1128" i="4"/>
  <c r="A1128" i="4"/>
  <c r="D1127" i="4"/>
  <c r="C1127" i="4"/>
  <c r="B1127" i="4"/>
  <c r="A1127" i="4"/>
  <c r="D1126" i="4"/>
  <c r="C1126" i="4"/>
  <c r="B1126" i="4"/>
  <c r="A1126" i="4"/>
  <c r="D1125" i="4"/>
  <c r="E1125" i="4" s="1"/>
  <c r="C1125" i="4"/>
  <c r="B1125" i="4"/>
  <c r="A1125" i="4"/>
  <c r="D1124" i="4"/>
  <c r="C1124" i="4"/>
  <c r="B1124" i="4"/>
  <c r="A1124" i="4"/>
  <c r="D1123" i="4"/>
  <c r="C1123" i="4"/>
  <c r="B1123" i="4"/>
  <c r="A1123" i="4"/>
  <c r="D1122" i="4"/>
  <c r="C1122" i="4"/>
  <c r="B1122" i="4"/>
  <c r="A1122" i="4"/>
  <c r="D1121" i="4"/>
  <c r="C1121" i="4"/>
  <c r="B1121" i="4"/>
  <c r="A1121" i="4"/>
  <c r="D1120" i="4"/>
  <c r="C1120" i="4"/>
  <c r="B1120" i="4"/>
  <c r="A1120" i="4"/>
  <c r="D1119" i="4"/>
  <c r="C1119" i="4"/>
  <c r="B1119" i="4"/>
  <c r="A1119" i="4"/>
  <c r="D1118" i="4"/>
  <c r="C1118" i="4"/>
  <c r="B1118" i="4"/>
  <c r="A1118" i="4"/>
  <c r="D1117" i="4"/>
  <c r="C1117" i="4"/>
  <c r="B1117" i="4"/>
  <c r="A1117" i="4"/>
  <c r="D1116" i="4"/>
  <c r="C1116" i="4"/>
  <c r="B1116" i="4"/>
  <c r="A1116" i="4"/>
  <c r="D1115" i="4"/>
  <c r="C1115" i="4"/>
  <c r="B1115" i="4"/>
  <c r="A1115" i="4"/>
  <c r="D1114" i="4"/>
  <c r="C1114" i="4"/>
  <c r="B1114" i="4"/>
  <c r="A1114" i="4"/>
  <c r="D1113" i="4"/>
  <c r="C1113" i="4"/>
  <c r="B1113" i="4"/>
  <c r="A1113" i="4"/>
  <c r="D1112" i="4"/>
  <c r="C1112" i="4"/>
  <c r="B1112" i="4"/>
  <c r="A1112" i="4"/>
  <c r="D1111" i="4"/>
  <c r="C1111" i="4"/>
  <c r="B1111" i="4"/>
  <c r="A1111" i="4"/>
  <c r="D1110" i="4"/>
  <c r="C1110" i="4"/>
  <c r="B1110" i="4"/>
  <c r="A1110" i="4"/>
  <c r="D1109" i="4"/>
  <c r="C1109" i="4"/>
  <c r="B1109" i="4"/>
  <c r="A1109" i="4"/>
  <c r="D1108" i="4"/>
  <c r="C1108" i="4"/>
  <c r="B1108" i="4"/>
  <c r="A1108" i="4"/>
  <c r="D1107" i="4"/>
  <c r="C1107" i="4"/>
  <c r="B1107" i="4"/>
  <c r="A1107" i="4"/>
  <c r="D1106" i="4"/>
  <c r="C1106" i="4"/>
  <c r="B1106" i="4"/>
  <c r="A1106" i="4"/>
  <c r="D1105" i="4"/>
  <c r="C1105" i="4"/>
  <c r="B1105" i="4"/>
  <c r="A1105" i="4"/>
  <c r="D1104" i="4"/>
  <c r="C1104" i="4"/>
  <c r="B1104" i="4"/>
  <c r="A1104" i="4"/>
  <c r="D1103" i="4"/>
  <c r="C1103" i="4"/>
  <c r="B1103" i="4"/>
  <c r="A1103" i="4"/>
  <c r="D1102" i="4"/>
  <c r="E1102" i="4" s="1"/>
  <c r="C1102" i="4"/>
  <c r="B1102" i="4"/>
  <c r="A1102" i="4"/>
  <c r="D1101" i="4"/>
  <c r="C1101" i="4"/>
  <c r="B1101" i="4"/>
  <c r="A1101" i="4"/>
  <c r="D1100" i="4"/>
  <c r="C1100" i="4"/>
  <c r="B1100" i="4"/>
  <c r="A1100" i="4"/>
  <c r="D1099" i="4"/>
  <c r="C1099" i="4"/>
  <c r="B1099" i="4"/>
  <c r="A1099" i="4"/>
  <c r="D1098" i="4"/>
  <c r="C1098" i="4"/>
  <c r="B1098" i="4"/>
  <c r="A1098" i="4"/>
  <c r="D1097" i="4"/>
  <c r="C1097" i="4"/>
  <c r="B1097" i="4"/>
  <c r="A1097" i="4"/>
  <c r="D1096" i="4"/>
  <c r="C1096" i="4"/>
  <c r="B1096" i="4"/>
  <c r="A1096" i="4"/>
  <c r="D1095" i="4"/>
  <c r="C1095" i="4"/>
  <c r="B1095" i="4"/>
  <c r="A1095" i="4"/>
  <c r="D1094" i="4"/>
  <c r="C1094" i="4"/>
  <c r="B1094" i="4"/>
  <c r="A1094" i="4"/>
  <c r="D1093" i="4"/>
  <c r="C1093" i="4"/>
  <c r="B1093" i="4"/>
  <c r="A1093" i="4"/>
  <c r="D1092" i="4"/>
  <c r="C1092" i="4"/>
  <c r="B1092" i="4"/>
  <c r="A1092" i="4"/>
  <c r="D1091" i="4"/>
  <c r="E1091" i="4" s="1"/>
  <c r="C1091" i="4"/>
  <c r="B1091" i="4"/>
  <c r="A1091" i="4"/>
  <c r="D1090" i="4"/>
  <c r="C1090" i="4"/>
  <c r="B1090" i="4"/>
  <c r="A1090" i="4"/>
  <c r="D1089" i="4"/>
  <c r="C1089" i="4"/>
  <c r="B1089" i="4"/>
  <c r="A1089" i="4"/>
  <c r="D1088" i="4"/>
  <c r="C1088" i="4"/>
  <c r="B1088" i="4"/>
  <c r="A1088" i="4"/>
  <c r="D1087" i="4"/>
  <c r="C1087" i="4"/>
  <c r="B1087" i="4"/>
  <c r="A1087" i="4"/>
  <c r="D1086" i="4"/>
  <c r="C1086" i="4"/>
  <c r="B1086" i="4"/>
  <c r="A1086" i="4"/>
  <c r="D1085" i="4"/>
  <c r="C1085" i="4"/>
  <c r="B1085" i="4"/>
  <c r="A1085" i="4"/>
  <c r="D1084" i="4"/>
  <c r="C1084" i="4"/>
  <c r="B1084" i="4"/>
  <c r="A1084" i="4"/>
  <c r="D1083" i="4"/>
  <c r="C1083" i="4"/>
  <c r="B1083" i="4"/>
  <c r="A1083" i="4"/>
  <c r="D1082" i="4"/>
  <c r="C1082" i="4"/>
  <c r="B1082" i="4"/>
  <c r="A1082" i="4"/>
  <c r="D1081" i="4"/>
  <c r="E1081" i="4" s="1"/>
  <c r="C1081" i="4"/>
  <c r="B1081" i="4"/>
  <c r="A1081" i="4"/>
  <c r="D1080" i="4"/>
  <c r="C1080" i="4"/>
  <c r="B1080" i="4"/>
  <c r="A1080" i="4"/>
  <c r="D1079" i="4"/>
  <c r="C1079" i="4"/>
  <c r="B1079" i="4"/>
  <c r="A1079" i="4"/>
  <c r="D1078" i="4"/>
  <c r="C1078" i="4"/>
  <c r="B1078" i="4"/>
  <c r="A1078" i="4"/>
  <c r="D1077" i="4"/>
  <c r="C1077" i="4"/>
  <c r="B1077" i="4"/>
  <c r="A1077" i="4"/>
  <c r="D1076" i="4"/>
  <c r="C1076" i="4"/>
  <c r="B1076" i="4"/>
  <c r="A1076" i="4"/>
  <c r="D1075" i="4"/>
  <c r="C1075" i="4"/>
  <c r="B1075" i="4"/>
  <c r="A1075" i="4"/>
  <c r="D1074" i="4"/>
  <c r="C1074" i="4"/>
  <c r="B1074" i="4"/>
  <c r="A1074" i="4"/>
  <c r="D1073" i="4"/>
  <c r="C1073" i="4"/>
  <c r="B1073" i="4"/>
  <c r="A1073" i="4"/>
  <c r="D1072" i="4"/>
  <c r="C1072" i="4"/>
  <c r="B1072" i="4"/>
  <c r="A1072" i="4"/>
  <c r="D1071" i="4"/>
  <c r="C1071" i="4"/>
  <c r="B1071" i="4"/>
  <c r="A1071" i="4"/>
  <c r="D1070" i="4"/>
  <c r="C1070" i="4"/>
  <c r="B1070" i="4"/>
  <c r="A1070" i="4"/>
  <c r="D1069" i="4"/>
  <c r="C1069" i="4"/>
  <c r="B1069" i="4"/>
  <c r="A1069" i="4"/>
  <c r="D1068" i="4"/>
  <c r="C1068" i="4"/>
  <c r="B1068" i="4"/>
  <c r="A1068" i="4"/>
  <c r="D1067" i="4"/>
  <c r="C1067" i="4"/>
  <c r="B1067" i="4"/>
  <c r="A1067" i="4"/>
  <c r="D1066" i="4"/>
  <c r="C1066" i="4"/>
  <c r="B1066" i="4"/>
  <c r="A1066" i="4"/>
  <c r="D1065" i="4"/>
  <c r="C1065" i="4"/>
  <c r="B1065" i="4"/>
  <c r="A1065" i="4"/>
  <c r="D1064" i="4"/>
  <c r="C1064" i="4"/>
  <c r="B1064" i="4"/>
  <c r="A1064" i="4"/>
  <c r="D1063" i="4"/>
  <c r="C1063" i="4"/>
  <c r="B1063" i="4"/>
  <c r="A1063" i="4"/>
  <c r="D1062" i="4"/>
  <c r="C1062" i="4"/>
  <c r="B1062" i="4"/>
  <c r="A1062" i="4"/>
  <c r="D1061" i="4"/>
  <c r="C1061" i="4"/>
  <c r="B1061" i="4"/>
  <c r="A1061" i="4"/>
  <c r="D1060" i="4"/>
  <c r="C1060" i="4"/>
  <c r="B1060" i="4"/>
  <c r="A1060" i="4"/>
  <c r="D1059" i="4"/>
  <c r="C1059" i="4"/>
  <c r="B1059" i="4"/>
  <c r="A1059" i="4"/>
  <c r="D1058" i="4"/>
  <c r="C1058" i="4"/>
  <c r="B1058" i="4"/>
  <c r="A1058" i="4"/>
  <c r="D1057" i="4"/>
  <c r="C1057" i="4"/>
  <c r="B1057" i="4"/>
  <c r="A1057" i="4"/>
  <c r="D1056" i="4"/>
  <c r="C1056" i="4"/>
  <c r="B1056" i="4"/>
  <c r="A1056" i="4"/>
  <c r="D1055" i="4"/>
  <c r="C1055" i="4"/>
  <c r="B1055" i="4"/>
  <c r="A1055" i="4"/>
  <c r="D1054" i="4"/>
  <c r="C1054" i="4"/>
  <c r="B1054" i="4"/>
  <c r="A1054" i="4"/>
  <c r="D1053" i="4"/>
  <c r="E1053" i="4" s="1"/>
  <c r="C1053" i="4"/>
  <c r="B1053" i="4"/>
  <c r="A1053" i="4"/>
  <c r="D1052" i="4"/>
  <c r="C1052" i="4"/>
  <c r="B1052" i="4"/>
  <c r="A1052" i="4"/>
  <c r="D1051" i="4"/>
  <c r="C1051" i="4"/>
  <c r="B1051" i="4"/>
  <c r="A1051" i="4"/>
  <c r="D1050" i="4"/>
  <c r="C1050" i="4"/>
  <c r="B1050" i="4"/>
  <c r="A1050" i="4"/>
  <c r="D1049" i="4"/>
  <c r="C1049" i="4"/>
  <c r="B1049" i="4"/>
  <c r="A1049" i="4"/>
  <c r="D1048" i="4"/>
  <c r="C1048" i="4"/>
  <c r="B1048" i="4"/>
  <c r="A1048" i="4"/>
  <c r="D1047" i="4"/>
  <c r="C1047" i="4"/>
  <c r="B1047" i="4"/>
  <c r="A1047" i="4"/>
  <c r="D1046" i="4"/>
  <c r="C1046" i="4"/>
  <c r="B1046" i="4"/>
  <c r="A1046" i="4"/>
  <c r="D1045" i="4"/>
  <c r="C1045" i="4"/>
  <c r="B1045" i="4"/>
  <c r="A1045" i="4"/>
  <c r="D1044" i="4"/>
  <c r="C1044" i="4"/>
  <c r="B1044" i="4"/>
  <c r="A1044" i="4"/>
  <c r="D1043" i="4"/>
  <c r="C1043" i="4"/>
  <c r="B1043" i="4"/>
  <c r="A1043" i="4"/>
  <c r="D1042" i="4"/>
  <c r="C1042" i="4"/>
  <c r="B1042" i="4"/>
  <c r="A1042" i="4"/>
  <c r="D1041" i="4"/>
  <c r="C1041" i="4"/>
  <c r="B1041" i="4"/>
  <c r="A1041" i="4"/>
  <c r="D1040" i="4"/>
  <c r="C1040" i="4"/>
  <c r="B1040" i="4"/>
  <c r="A1040" i="4"/>
  <c r="D1039" i="4"/>
  <c r="C1039" i="4"/>
  <c r="B1039" i="4"/>
  <c r="A1039" i="4"/>
  <c r="D1038" i="4"/>
  <c r="C1038" i="4"/>
  <c r="B1038" i="4"/>
  <c r="A1038" i="4"/>
  <c r="D1037" i="4"/>
  <c r="C1037" i="4"/>
  <c r="B1037" i="4"/>
  <c r="A1037" i="4"/>
  <c r="D1036" i="4"/>
  <c r="C1036" i="4"/>
  <c r="B1036" i="4"/>
  <c r="A1036" i="4"/>
  <c r="D1035" i="4"/>
  <c r="C1035" i="4"/>
  <c r="B1035" i="4"/>
  <c r="A1035" i="4"/>
  <c r="D1034" i="4"/>
  <c r="C1034" i="4"/>
  <c r="B1034" i="4"/>
  <c r="A1034" i="4"/>
  <c r="D1033" i="4"/>
  <c r="C1033" i="4"/>
  <c r="B1033" i="4"/>
  <c r="A1033" i="4"/>
  <c r="D1032" i="4"/>
  <c r="C1032" i="4"/>
  <c r="B1032" i="4"/>
  <c r="A1032" i="4"/>
  <c r="D1031" i="4"/>
  <c r="C1031" i="4"/>
  <c r="B1031" i="4"/>
  <c r="A1031" i="4"/>
  <c r="D1030" i="4"/>
  <c r="C1030" i="4"/>
  <c r="B1030" i="4"/>
  <c r="A1030" i="4"/>
  <c r="D1029" i="4"/>
  <c r="C1029" i="4"/>
  <c r="B1029" i="4"/>
  <c r="A1029" i="4"/>
  <c r="D1028" i="4"/>
  <c r="C1028" i="4"/>
  <c r="B1028" i="4"/>
  <c r="A1028" i="4"/>
  <c r="D1027" i="4"/>
  <c r="C1027" i="4"/>
  <c r="B1027" i="4"/>
  <c r="A1027" i="4"/>
  <c r="D1026" i="4"/>
  <c r="C1026" i="4"/>
  <c r="B1026" i="4"/>
  <c r="A1026" i="4"/>
  <c r="D1025" i="4"/>
  <c r="C1025" i="4"/>
  <c r="B1025" i="4"/>
  <c r="A1025" i="4"/>
  <c r="D1024" i="4"/>
  <c r="C1024" i="4"/>
  <c r="B1024" i="4"/>
  <c r="A1024" i="4"/>
  <c r="D1023" i="4"/>
  <c r="C1023" i="4"/>
  <c r="B1023" i="4"/>
  <c r="A1023" i="4"/>
  <c r="D1022" i="4"/>
  <c r="C1022" i="4"/>
  <c r="B1022" i="4"/>
  <c r="A1022" i="4"/>
  <c r="D1021" i="4"/>
  <c r="C1021" i="4"/>
  <c r="B1021" i="4"/>
  <c r="A1021" i="4"/>
  <c r="D1020" i="4"/>
  <c r="C1020" i="4"/>
  <c r="B1020" i="4"/>
  <c r="A1020" i="4"/>
  <c r="D1019" i="4"/>
  <c r="C1019" i="4"/>
  <c r="B1019" i="4"/>
  <c r="A1019" i="4"/>
  <c r="D1018" i="4"/>
  <c r="C1018" i="4"/>
  <c r="B1018" i="4"/>
  <c r="A1018" i="4"/>
  <c r="D1017" i="4"/>
  <c r="C1017" i="4"/>
  <c r="B1017" i="4"/>
  <c r="A1017" i="4"/>
  <c r="D1016" i="4"/>
  <c r="C1016" i="4"/>
  <c r="B1016" i="4"/>
  <c r="A1016" i="4"/>
  <c r="D1015" i="4"/>
  <c r="C1015" i="4"/>
  <c r="B1015" i="4"/>
  <c r="A1015" i="4"/>
  <c r="D1014" i="4"/>
  <c r="C1014" i="4"/>
  <c r="B1014" i="4"/>
  <c r="A1014" i="4"/>
  <c r="D1013" i="4"/>
  <c r="C1013" i="4"/>
  <c r="B1013" i="4"/>
  <c r="A1013" i="4"/>
  <c r="D1012" i="4"/>
  <c r="C1012" i="4"/>
  <c r="B1012" i="4"/>
  <c r="A1012" i="4"/>
  <c r="D1011" i="4"/>
  <c r="C1011" i="4"/>
  <c r="B1011" i="4"/>
  <c r="A1011" i="4"/>
  <c r="D1010" i="4"/>
  <c r="C1010" i="4"/>
  <c r="B1010" i="4"/>
  <c r="A1010" i="4"/>
  <c r="D1009" i="4"/>
  <c r="C1009" i="4"/>
  <c r="B1009" i="4"/>
  <c r="A1009" i="4"/>
  <c r="D1008" i="4"/>
  <c r="C1008" i="4"/>
  <c r="B1008" i="4"/>
  <c r="A1008" i="4"/>
  <c r="D1007" i="4"/>
  <c r="C1007" i="4"/>
  <c r="B1007" i="4"/>
  <c r="A1007" i="4"/>
  <c r="D1006" i="4"/>
  <c r="C1006" i="4"/>
  <c r="B1006" i="4"/>
  <c r="A1006" i="4"/>
  <c r="D1005" i="4"/>
  <c r="C1005" i="4"/>
  <c r="B1005" i="4"/>
  <c r="A1005" i="4"/>
  <c r="D1004" i="4"/>
  <c r="C1004" i="4"/>
  <c r="B1004" i="4"/>
  <c r="A1004" i="4"/>
  <c r="D1003" i="4"/>
  <c r="C1003" i="4"/>
  <c r="B1003" i="4"/>
  <c r="A1003" i="4"/>
  <c r="D1002" i="4"/>
  <c r="C1002" i="4"/>
  <c r="B1002" i="4"/>
  <c r="A1002" i="4"/>
  <c r="D1001" i="4"/>
  <c r="C1001" i="4"/>
  <c r="B1001" i="4"/>
  <c r="A1001" i="4"/>
  <c r="D1000" i="4"/>
  <c r="C1000" i="4"/>
  <c r="B1000" i="4"/>
  <c r="A1000" i="4"/>
  <c r="D999" i="4"/>
  <c r="C999" i="4"/>
  <c r="B999" i="4"/>
  <c r="A999" i="4"/>
  <c r="D998" i="4"/>
  <c r="C998" i="4"/>
  <c r="B998" i="4"/>
  <c r="A998" i="4"/>
  <c r="D997" i="4"/>
  <c r="C997" i="4"/>
  <c r="B997" i="4"/>
  <c r="A997" i="4"/>
  <c r="D996" i="4"/>
  <c r="C996" i="4"/>
  <c r="B996" i="4"/>
  <c r="A996" i="4"/>
  <c r="D995" i="4"/>
  <c r="C995" i="4"/>
  <c r="B995" i="4"/>
  <c r="A995" i="4"/>
  <c r="D994" i="4"/>
  <c r="C994" i="4"/>
  <c r="B994" i="4"/>
  <c r="A994" i="4"/>
  <c r="D993" i="4"/>
  <c r="C993" i="4"/>
  <c r="B993" i="4"/>
  <c r="A993" i="4"/>
  <c r="D992" i="4"/>
  <c r="C992" i="4"/>
  <c r="B992" i="4"/>
  <c r="A992" i="4"/>
  <c r="D991" i="4"/>
  <c r="C991" i="4"/>
  <c r="B991" i="4"/>
  <c r="A991" i="4"/>
  <c r="D990" i="4"/>
  <c r="C990" i="4"/>
  <c r="B990" i="4"/>
  <c r="A990" i="4"/>
  <c r="D989" i="4"/>
  <c r="C989" i="4"/>
  <c r="B989" i="4"/>
  <c r="A989" i="4"/>
  <c r="D988" i="4"/>
  <c r="C988" i="4"/>
  <c r="B988" i="4"/>
  <c r="A988" i="4"/>
  <c r="D987" i="4"/>
  <c r="C987" i="4"/>
  <c r="B987" i="4"/>
  <c r="A987" i="4"/>
  <c r="D986" i="4"/>
  <c r="C986" i="4"/>
  <c r="B986" i="4"/>
  <c r="A986" i="4"/>
  <c r="D985" i="4"/>
  <c r="C985" i="4"/>
  <c r="B985" i="4"/>
  <c r="A985" i="4"/>
  <c r="D984" i="4"/>
  <c r="C984" i="4"/>
  <c r="B984" i="4"/>
  <c r="A984" i="4"/>
  <c r="D983" i="4"/>
  <c r="C983" i="4"/>
  <c r="B983" i="4"/>
  <c r="A983" i="4"/>
  <c r="D982" i="4"/>
  <c r="C982" i="4"/>
  <c r="B982" i="4"/>
  <c r="A982" i="4"/>
  <c r="D981" i="4"/>
  <c r="C981" i="4"/>
  <c r="B981" i="4"/>
  <c r="A981" i="4"/>
  <c r="D980" i="4"/>
  <c r="C980" i="4"/>
  <c r="B980" i="4"/>
  <c r="A980" i="4"/>
  <c r="D979" i="4"/>
  <c r="C979" i="4"/>
  <c r="B979" i="4"/>
  <c r="A979" i="4"/>
  <c r="D978" i="4"/>
  <c r="C978" i="4"/>
  <c r="B978" i="4"/>
  <c r="A978" i="4"/>
  <c r="D977" i="4"/>
  <c r="C977" i="4"/>
  <c r="B977" i="4"/>
  <c r="A977" i="4"/>
  <c r="D976" i="4"/>
  <c r="C976" i="4"/>
  <c r="B976" i="4"/>
  <c r="A976" i="4"/>
  <c r="D975" i="4"/>
  <c r="C975" i="4"/>
  <c r="B975" i="4"/>
  <c r="A975" i="4"/>
  <c r="D974" i="4"/>
  <c r="C974" i="4"/>
  <c r="B974" i="4"/>
  <c r="A974" i="4"/>
  <c r="D973" i="4"/>
  <c r="C973" i="4"/>
  <c r="B973" i="4"/>
  <c r="A973" i="4"/>
  <c r="D972" i="4"/>
  <c r="C972" i="4"/>
  <c r="B972" i="4"/>
  <c r="A972" i="4"/>
  <c r="D971" i="4"/>
  <c r="C971" i="4"/>
  <c r="B971" i="4"/>
  <c r="A971" i="4"/>
  <c r="D970" i="4"/>
  <c r="C970" i="4"/>
  <c r="B970" i="4"/>
  <c r="A970" i="4"/>
  <c r="D969" i="4"/>
  <c r="C969" i="4"/>
  <c r="B969" i="4"/>
  <c r="A969" i="4"/>
  <c r="D968" i="4"/>
  <c r="C968" i="4"/>
  <c r="B968" i="4"/>
  <c r="A968" i="4"/>
  <c r="D967" i="4"/>
  <c r="C967" i="4"/>
  <c r="B967" i="4"/>
  <c r="A967" i="4"/>
  <c r="D966" i="4"/>
  <c r="E966" i="4" s="1"/>
  <c r="C966" i="4"/>
  <c r="B966" i="4"/>
  <c r="A966" i="4"/>
  <c r="D965" i="4"/>
  <c r="C965" i="4"/>
  <c r="B965" i="4"/>
  <c r="A965" i="4"/>
  <c r="D964" i="4"/>
  <c r="C964" i="4"/>
  <c r="B964" i="4"/>
  <c r="A964" i="4"/>
  <c r="D963" i="4"/>
  <c r="C963" i="4"/>
  <c r="B963" i="4"/>
  <c r="A963" i="4"/>
  <c r="D962" i="4"/>
  <c r="C962" i="4"/>
  <c r="B962" i="4"/>
  <c r="A962" i="4"/>
  <c r="D961" i="4"/>
  <c r="C961" i="4"/>
  <c r="B961" i="4"/>
  <c r="A961" i="4"/>
  <c r="D960" i="4"/>
  <c r="C960" i="4"/>
  <c r="B960" i="4"/>
  <c r="A960" i="4"/>
  <c r="D959" i="4"/>
  <c r="C959" i="4"/>
  <c r="B959" i="4"/>
  <c r="A959" i="4"/>
  <c r="D958" i="4"/>
  <c r="C958" i="4"/>
  <c r="B958" i="4"/>
  <c r="A958" i="4"/>
  <c r="D957" i="4"/>
  <c r="C957" i="4"/>
  <c r="B957" i="4"/>
  <c r="A957" i="4"/>
  <c r="D956" i="4"/>
  <c r="C956" i="4"/>
  <c r="B956" i="4"/>
  <c r="A956" i="4"/>
  <c r="D955" i="4"/>
  <c r="C955" i="4"/>
  <c r="B955" i="4"/>
  <c r="A955" i="4"/>
  <c r="D954" i="4"/>
  <c r="C954" i="4"/>
  <c r="B954" i="4"/>
  <c r="A954" i="4"/>
  <c r="D953" i="4"/>
  <c r="C953" i="4"/>
  <c r="B953" i="4"/>
  <c r="A953" i="4"/>
  <c r="D952" i="4"/>
  <c r="C952" i="4"/>
  <c r="B952" i="4"/>
  <c r="A952" i="4"/>
  <c r="D951" i="4"/>
  <c r="C951" i="4"/>
  <c r="B951" i="4"/>
  <c r="A951" i="4"/>
  <c r="D950" i="4"/>
  <c r="C950" i="4"/>
  <c r="B950" i="4"/>
  <c r="A950" i="4"/>
  <c r="D949" i="4"/>
  <c r="C949" i="4"/>
  <c r="B949" i="4"/>
  <c r="A949" i="4"/>
  <c r="D948" i="4"/>
  <c r="C948" i="4"/>
  <c r="B948" i="4"/>
  <c r="A948" i="4"/>
  <c r="D947" i="4"/>
  <c r="C947" i="4"/>
  <c r="B947" i="4"/>
  <c r="A947" i="4"/>
  <c r="D946" i="4"/>
  <c r="C946" i="4"/>
  <c r="B946" i="4"/>
  <c r="A946" i="4"/>
  <c r="D945" i="4"/>
  <c r="C945" i="4"/>
  <c r="B945" i="4"/>
  <c r="A945" i="4"/>
  <c r="D944" i="4"/>
  <c r="C944" i="4"/>
  <c r="B944" i="4"/>
  <c r="A944" i="4"/>
  <c r="D943" i="4"/>
  <c r="C943" i="4"/>
  <c r="B943" i="4"/>
  <c r="A943" i="4"/>
  <c r="D942" i="4"/>
  <c r="C942" i="4"/>
  <c r="B942" i="4"/>
  <c r="A942" i="4"/>
  <c r="D941" i="4"/>
  <c r="C941" i="4"/>
  <c r="B941" i="4"/>
  <c r="A941" i="4"/>
  <c r="D940" i="4"/>
  <c r="C940" i="4"/>
  <c r="B940" i="4"/>
  <c r="A940" i="4"/>
  <c r="D939" i="4"/>
  <c r="C939" i="4"/>
  <c r="B939" i="4"/>
  <c r="A939" i="4"/>
  <c r="D938" i="4"/>
  <c r="C938" i="4"/>
  <c r="B938" i="4"/>
  <c r="A938" i="4"/>
  <c r="D937" i="4"/>
  <c r="C937" i="4"/>
  <c r="B937" i="4"/>
  <c r="A937" i="4"/>
  <c r="D936" i="4"/>
  <c r="C936" i="4"/>
  <c r="B936" i="4"/>
  <c r="A936" i="4"/>
  <c r="D935" i="4"/>
  <c r="C935" i="4"/>
  <c r="B935" i="4"/>
  <c r="A935" i="4"/>
  <c r="D934" i="4"/>
  <c r="C934" i="4"/>
  <c r="B934" i="4"/>
  <c r="A934" i="4"/>
  <c r="D933" i="4"/>
  <c r="C933" i="4"/>
  <c r="B933" i="4"/>
  <c r="A933" i="4"/>
  <c r="D932" i="4"/>
  <c r="C932" i="4"/>
  <c r="B932" i="4"/>
  <c r="A932" i="4"/>
  <c r="D931" i="4"/>
  <c r="C931" i="4"/>
  <c r="B931" i="4"/>
  <c r="A931" i="4"/>
  <c r="D930" i="4"/>
  <c r="C930" i="4"/>
  <c r="B930" i="4"/>
  <c r="A930" i="4"/>
  <c r="D929" i="4"/>
  <c r="C929" i="4"/>
  <c r="B929" i="4"/>
  <c r="A929" i="4"/>
  <c r="D928" i="4"/>
  <c r="C928" i="4"/>
  <c r="B928" i="4"/>
  <c r="A928" i="4"/>
  <c r="D927" i="4"/>
  <c r="C927" i="4"/>
  <c r="B927" i="4"/>
  <c r="A927" i="4"/>
  <c r="D926" i="4"/>
  <c r="C926" i="4"/>
  <c r="B926" i="4"/>
  <c r="A926" i="4"/>
  <c r="D925" i="4"/>
  <c r="C925" i="4"/>
  <c r="B925" i="4"/>
  <c r="A925" i="4"/>
  <c r="D924" i="4"/>
  <c r="C924" i="4"/>
  <c r="B924" i="4"/>
  <c r="A924" i="4"/>
  <c r="D923" i="4"/>
  <c r="C923" i="4"/>
  <c r="B923" i="4"/>
  <c r="A923" i="4"/>
  <c r="D922" i="4"/>
  <c r="C922" i="4"/>
  <c r="B922" i="4"/>
  <c r="A922" i="4"/>
  <c r="D921" i="4"/>
  <c r="C921" i="4"/>
  <c r="B921" i="4"/>
  <c r="A921" i="4"/>
  <c r="D920" i="4"/>
  <c r="C920" i="4"/>
  <c r="B920" i="4"/>
  <c r="A920" i="4"/>
  <c r="D919" i="4"/>
  <c r="C919" i="4"/>
  <c r="B919" i="4"/>
  <c r="A919" i="4"/>
  <c r="D918" i="4"/>
  <c r="C918" i="4"/>
  <c r="B918" i="4"/>
  <c r="A918" i="4"/>
  <c r="D917" i="4"/>
  <c r="C917" i="4"/>
  <c r="B917" i="4"/>
  <c r="A917" i="4"/>
  <c r="D916" i="4"/>
  <c r="C916" i="4"/>
  <c r="B916" i="4"/>
  <c r="A916" i="4"/>
  <c r="D915" i="4"/>
  <c r="C915" i="4"/>
  <c r="B915" i="4"/>
  <c r="A915" i="4"/>
  <c r="D914" i="4"/>
  <c r="C914" i="4"/>
  <c r="B914" i="4"/>
  <c r="A914" i="4"/>
  <c r="D913" i="4"/>
  <c r="C913" i="4"/>
  <c r="B913" i="4"/>
  <c r="A913" i="4"/>
  <c r="D912" i="4"/>
  <c r="C912" i="4"/>
  <c r="B912" i="4"/>
  <c r="A912" i="4"/>
  <c r="D911" i="4"/>
  <c r="C911" i="4"/>
  <c r="B911" i="4"/>
  <c r="A911" i="4"/>
  <c r="D910" i="4"/>
  <c r="C910" i="4"/>
  <c r="B910" i="4"/>
  <c r="A910" i="4"/>
  <c r="D909" i="4"/>
  <c r="C909" i="4"/>
  <c r="B909" i="4"/>
  <c r="A909" i="4"/>
  <c r="D908" i="4"/>
  <c r="C908" i="4"/>
  <c r="B908" i="4"/>
  <c r="A908" i="4"/>
  <c r="D907" i="4"/>
  <c r="C907" i="4"/>
  <c r="B907" i="4"/>
  <c r="A907" i="4"/>
  <c r="D906" i="4"/>
  <c r="C906" i="4"/>
  <c r="B906" i="4"/>
  <c r="A906" i="4"/>
  <c r="D905" i="4"/>
  <c r="C905" i="4"/>
  <c r="B905" i="4"/>
  <c r="A905" i="4"/>
  <c r="D904" i="4"/>
  <c r="C904" i="4"/>
  <c r="B904" i="4"/>
  <c r="A904" i="4"/>
  <c r="D903" i="4"/>
  <c r="C903" i="4"/>
  <c r="B903" i="4"/>
  <c r="A903" i="4"/>
  <c r="D902" i="4"/>
  <c r="C902" i="4"/>
  <c r="B902" i="4"/>
  <c r="A902" i="4"/>
  <c r="D901" i="4"/>
  <c r="C901" i="4"/>
  <c r="B901" i="4"/>
  <c r="A901" i="4"/>
  <c r="D900" i="4"/>
  <c r="C900" i="4"/>
  <c r="B900" i="4"/>
  <c r="A900" i="4"/>
  <c r="D899" i="4"/>
  <c r="C899" i="4"/>
  <c r="B899" i="4"/>
  <c r="A899" i="4"/>
  <c r="D898" i="4"/>
  <c r="C898" i="4"/>
  <c r="B898" i="4"/>
  <c r="A898" i="4"/>
  <c r="D897" i="4"/>
  <c r="C897" i="4"/>
  <c r="B897" i="4"/>
  <c r="A897" i="4"/>
  <c r="D896" i="4"/>
  <c r="C896" i="4"/>
  <c r="B896" i="4"/>
  <c r="A896" i="4"/>
  <c r="D895" i="4"/>
  <c r="C895" i="4"/>
  <c r="B895" i="4"/>
  <c r="A895" i="4"/>
  <c r="D894" i="4"/>
  <c r="C894" i="4"/>
  <c r="B894" i="4"/>
  <c r="A894" i="4"/>
  <c r="D893" i="4"/>
  <c r="E893" i="4" s="1"/>
  <c r="C893" i="4"/>
  <c r="B893" i="4"/>
  <c r="A893" i="4"/>
  <c r="D892" i="4"/>
  <c r="C892" i="4"/>
  <c r="B892" i="4"/>
  <c r="A892" i="4"/>
  <c r="D891" i="4"/>
  <c r="C891" i="4"/>
  <c r="B891" i="4"/>
  <c r="A891" i="4"/>
  <c r="D890" i="4"/>
  <c r="C890" i="4"/>
  <c r="B890" i="4"/>
  <c r="A890" i="4"/>
  <c r="D889" i="4"/>
  <c r="C889" i="4"/>
  <c r="B889" i="4"/>
  <c r="A889" i="4"/>
  <c r="D888" i="4"/>
  <c r="C888" i="4"/>
  <c r="B888" i="4"/>
  <c r="A888" i="4"/>
  <c r="D887" i="4"/>
  <c r="C887" i="4"/>
  <c r="B887" i="4"/>
  <c r="A887" i="4"/>
  <c r="D886" i="4"/>
  <c r="E886" i="4" s="1"/>
  <c r="C886" i="4"/>
  <c r="B886" i="4"/>
  <c r="A886" i="4"/>
  <c r="D885" i="4"/>
  <c r="E885" i="4" s="1"/>
  <c r="C885" i="4"/>
  <c r="B885" i="4"/>
  <c r="A885" i="4"/>
  <c r="D884" i="4"/>
  <c r="C884" i="4"/>
  <c r="B884" i="4"/>
  <c r="A884" i="4"/>
  <c r="D883" i="4"/>
  <c r="C883" i="4"/>
  <c r="B883" i="4"/>
  <c r="A883" i="4"/>
  <c r="D882" i="4"/>
  <c r="C882" i="4"/>
  <c r="B882" i="4"/>
  <c r="A882" i="4"/>
  <c r="D881" i="4"/>
  <c r="C881" i="4"/>
  <c r="B881" i="4"/>
  <c r="A881" i="4"/>
  <c r="D880" i="4"/>
  <c r="C880" i="4"/>
  <c r="B880" i="4"/>
  <c r="A880" i="4"/>
  <c r="D879" i="4"/>
  <c r="C879" i="4"/>
  <c r="B879" i="4"/>
  <c r="A879" i="4"/>
  <c r="D878" i="4"/>
  <c r="C878" i="4"/>
  <c r="B878" i="4"/>
  <c r="A878" i="4"/>
  <c r="D877" i="4"/>
  <c r="C877" i="4"/>
  <c r="B877" i="4"/>
  <c r="A877" i="4"/>
  <c r="D876" i="4"/>
  <c r="C876" i="4"/>
  <c r="B876" i="4"/>
  <c r="A876" i="4"/>
  <c r="D875" i="4"/>
  <c r="C875" i="4"/>
  <c r="B875" i="4"/>
  <c r="A875" i="4"/>
  <c r="D874" i="4"/>
  <c r="C874" i="4"/>
  <c r="B874" i="4"/>
  <c r="A874" i="4"/>
  <c r="D873" i="4"/>
  <c r="C873" i="4"/>
  <c r="B873" i="4"/>
  <c r="A873" i="4"/>
  <c r="D872" i="4"/>
  <c r="C872" i="4"/>
  <c r="B872" i="4"/>
  <c r="A872" i="4"/>
  <c r="D871" i="4"/>
  <c r="C871" i="4"/>
  <c r="B871" i="4"/>
  <c r="A871" i="4"/>
  <c r="D870" i="4"/>
  <c r="C870" i="4"/>
  <c r="B870" i="4"/>
  <c r="A870" i="4"/>
  <c r="D869" i="4"/>
  <c r="C869" i="4"/>
  <c r="B869" i="4"/>
  <c r="A869" i="4"/>
  <c r="D868" i="4"/>
  <c r="C868" i="4"/>
  <c r="B868" i="4"/>
  <c r="A868" i="4"/>
  <c r="D867" i="4"/>
  <c r="C867" i="4"/>
  <c r="B867" i="4"/>
  <c r="A867" i="4"/>
  <c r="D866" i="4"/>
  <c r="C866" i="4"/>
  <c r="B866" i="4"/>
  <c r="A866" i="4"/>
  <c r="D865" i="4"/>
  <c r="C865" i="4"/>
  <c r="B865" i="4"/>
  <c r="A865" i="4"/>
  <c r="D864" i="4"/>
  <c r="E864" i="4" s="1"/>
  <c r="C864" i="4"/>
  <c r="B864" i="4"/>
  <c r="A864" i="4"/>
  <c r="D863" i="4"/>
  <c r="C863" i="4"/>
  <c r="B863" i="4"/>
  <c r="A863" i="4"/>
  <c r="D862" i="4"/>
  <c r="C862" i="4"/>
  <c r="B862" i="4"/>
  <c r="A862" i="4"/>
  <c r="D861" i="4"/>
  <c r="C861" i="4"/>
  <c r="B861" i="4"/>
  <c r="A861" i="4"/>
  <c r="D860" i="4"/>
  <c r="C860" i="4"/>
  <c r="B860" i="4"/>
  <c r="A860" i="4"/>
  <c r="D859" i="4"/>
  <c r="C859" i="4"/>
  <c r="B859" i="4"/>
  <c r="A859" i="4"/>
  <c r="D858" i="4"/>
  <c r="C858" i="4"/>
  <c r="B858" i="4"/>
  <c r="A858" i="4"/>
  <c r="D857" i="4"/>
  <c r="C857" i="4"/>
  <c r="B857" i="4"/>
  <c r="A857" i="4"/>
  <c r="D856" i="4"/>
  <c r="C856" i="4"/>
  <c r="B856" i="4"/>
  <c r="A856" i="4"/>
  <c r="D855" i="4"/>
  <c r="C855" i="4"/>
  <c r="B855" i="4"/>
  <c r="A855" i="4"/>
  <c r="D854" i="4"/>
  <c r="C854" i="4"/>
  <c r="B854" i="4"/>
  <c r="A854" i="4"/>
  <c r="D853" i="4"/>
  <c r="C853" i="4"/>
  <c r="B853" i="4"/>
  <c r="A853" i="4"/>
  <c r="D852" i="4"/>
  <c r="C852" i="4"/>
  <c r="B852" i="4"/>
  <c r="A852" i="4"/>
  <c r="D851" i="4"/>
  <c r="C851" i="4"/>
  <c r="B851" i="4"/>
  <c r="A851" i="4"/>
  <c r="D850" i="4"/>
  <c r="C850" i="4"/>
  <c r="B850" i="4"/>
  <c r="A850" i="4"/>
  <c r="D849" i="4"/>
  <c r="C849" i="4"/>
  <c r="B849" i="4"/>
  <c r="A849" i="4"/>
  <c r="D848" i="4"/>
  <c r="C848" i="4"/>
  <c r="B848" i="4"/>
  <c r="A848" i="4"/>
  <c r="D847" i="4"/>
  <c r="C847" i="4"/>
  <c r="B847" i="4"/>
  <c r="A847" i="4"/>
  <c r="D846" i="4"/>
  <c r="C846" i="4"/>
  <c r="B846" i="4"/>
  <c r="A846" i="4"/>
  <c r="D845" i="4"/>
  <c r="C845" i="4"/>
  <c r="B845" i="4"/>
  <c r="A845" i="4"/>
  <c r="D844" i="4"/>
  <c r="C844" i="4"/>
  <c r="B844" i="4"/>
  <c r="A844" i="4"/>
  <c r="D843" i="4"/>
  <c r="C843" i="4"/>
  <c r="B843" i="4"/>
  <c r="A843" i="4"/>
  <c r="D842" i="4"/>
  <c r="C842" i="4"/>
  <c r="B842" i="4"/>
  <c r="A842" i="4"/>
  <c r="D841" i="4"/>
  <c r="C841" i="4"/>
  <c r="B841" i="4"/>
  <c r="A841" i="4"/>
  <c r="D840" i="4"/>
  <c r="C840" i="4"/>
  <c r="B840" i="4"/>
  <c r="A840" i="4"/>
  <c r="D839" i="4"/>
  <c r="C839" i="4"/>
  <c r="B839" i="4"/>
  <c r="A839" i="4"/>
  <c r="D838" i="4"/>
  <c r="E838" i="4" s="1"/>
  <c r="C838" i="4"/>
  <c r="B838" i="4"/>
  <c r="A838" i="4"/>
  <c r="D837" i="4"/>
  <c r="C837" i="4"/>
  <c r="B837" i="4"/>
  <c r="A837" i="4"/>
  <c r="D836" i="4"/>
  <c r="C836" i="4"/>
  <c r="B836" i="4"/>
  <c r="A836" i="4"/>
  <c r="D835" i="4"/>
  <c r="C835" i="4"/>
  <c r="B835" i="4"/>
  <c r="A835" i="4"/>
  <c r="D834" i="4"/>
  <c r="C834" i="4"/>
  <c r="B834" i="4"/>
  <c r="A834" i="4"/>
  <c r="D833" i="4"/>
  <c r="C833" i="4"/>
  <c r="B833" i="4"/>
  <c r="A833" i="4"/>
  <c r="D832" i="4"/>
  <c r="C832" i="4"/>
  <c r="B832" i="4"/>
  <c r="A832" i="4"/>
  <c r="D831" i="4"/>
  <c r="C831" i="4"/>
  <c r="B831" i="4"/>
  <c r="A831" i="4"/>
  <c r="D830" i="4"/>
  <c r="C830" i="4"/>
  <c r="B830" i="4"/>
  <c r="A830" i="4"/>
  <c r="D829" i="4"/>
  <c r="C829" i="4"/>
  <c r="B829" i="4"/>
  <c r="A829" i="4"/>
  <c r="D828" i="4"/>
  <c r="C828" i="4"/>
  <c r="B828" i="4"/>
  <c r="A828" i="4"/>
  <c r="D827" i="4"/>
  <c r="C827" i="4"/>
  <c r="B827" i="4"/>
  <c r="A827" i="4"/>
  <c r="D826" i="4"/>
  <c r="C826" i="4"/>
  <c r="B826" i="4"/>
  <c r="A826" i="4"/>
  <c r="D825" i="4"/>
  <c r="C825" i="4"/>
  <c r="B825" i="4"/>
  <c r="A825" i="4"/>
  <c r="D824" i="4"/>
  <c r="C824" i="4"/>
  <c r="B824" i="4"/>
  <c r="A824" i="4"/>
  <c r="D823" i="4"/>
  <c r="C823" i="4"/>
  <c r="B823" i="4"/>
  <c r="A823" i="4"/>
  <c r="D822" i="4"/>
  <c r="E822" i="4" s="1"/>
  <c r="C822" i="4"/>
  <c r="B822" i="4"/>
  <c r="A822" i="4"/>
  <c r="D821" i="4"/>
  <c r="C821" i="4"/>
  <c r="B821" i="4"/>
  <c r="A821" i="4"/>
  <c r="D820" i="4"/>
  <c r="C820" i="4"/>
  <c r="B820" i="4"/>
  <c r="A820" i="4"/>
  <c r="D819" i="4"/>
  <c r="C819" i="4"/>
  <c r="B819" i="4"/>
  <c r="A819" i="4"/>
  <c r="D818" i="4"/>
  <c r="C818" i="4"/>
  <c r="B818" i="4"/>
  <c r="A818" i="4"/>
  <c r="D817" i="4"/>
  <c r="C817" i="4"/>
  <c r="B817" i="4"/>
  <c r="A817" i="4"/>
  <c r="D816" i="4"/>
  <c r="E816" i="4" s="1"/>
  <c r="C816" i="4"/>
  <c r="B816" i="4"/>
  <c r="A816" i="4"/>
  <c r="D815" i="4"/>
  <c r="C815" i="4"/>
  <c r="B815" i="4"/>
  <c r="A815" i="4"/>
  <c r="D814" i="4"/>
  <c r="C814" i="4"/>
  <c r="B814" i="4"/>
  <c r="A814" i="4"/>
  <c r="D813" i="4"/>
  <c r="C813" i="4"/>
  <c r="B813" i="4"/>
  <c r="A813" i="4"/>
  <c r="D812" i="4"/>
  <c r="C812" i="4"/>
  <c r="B812" i="4"/>
  <c r="A812" i="4"/>
  <c r="D811" i="4"/>
  <c r="C811" i="4"/>
  <c r="B811" i="4"/>
  <c r="A811" i="4"/>
  <c r="D810" i="4"/>
  <c r="C810" i="4"/>
  <c r="B810" i="4"/>
  <c r="A810" i="4"/>
  <c r="D809" i="4"/>
  <c r="C809" i="4"/>
  <c r="B809" i="4"/>
  <c r="A809" i="4"/>
  <c r="D808" i="4"/>
  <c r="C808" i="4"/>
  <c r="B808" i="4"/>
  <c r="A808" i="4"/>
  <c r="D807" i="4"/>
  <c r="C807" i="4"/>
  <c r="B807" i="4"/>
  <c r="A807" i="4"/>
  <c r="D806" i="4"/>
  <c r="C806" i="4"/>
  <c r="B806" i="4"/>
  <c r="A806" i="4"/>
  <c r="D805" i="4"/>
  <c r="C805" i="4"/>
  <c r="B805" i="4"/>
  <c r="A805" i="4"/>
  <c r="D804" i="4"/>
  <c r="C804" i="4"/>
  <c r="B804" i="4"/>
  <c r="A804" i="4"/>
  <c r="D803" i="4"/>
  <c r="C803" i="4"/>
  <c r="B803" i="4"/>
  <c r="A803" i="4"/>
  <c r="D802" i="4"/>
  <c r="C802" i="4"/>
  <c r="B802" i="4"/>
  <c r="A802" i="4"/>
  <c r="D801" i="4"/>
  <c r="C801" i="4"/>
  <c r="B801" i="4"/>
  <c r="A801" i="4"/>
  <c r="D800" i="4"/>
  <c r="C800" i="4"/>
  <c r="B800" i="4"/>
  <c r="A800" i="4"/>
  <c r="D799" i="4"/>
  <c r="C799" i="4"/>
  <c r="B799" i="4"/>
  <c r="A799" i="4"/>
  <c r="D798" i="4"/>
  <c r="C798" i="4"/>
  <c r="B798" i="4"/>
  <c r="A798" i="4"/>
  <c r="D797" i="4"/>
  <c r="C797" i="4"/>
  <c r="B797" i="4"/>
  <c r="A797" i="4"/>
  <c r="D796" i="4"/>
  <c r="C796" i="4"/>
  <c r="B796" i="4"/>
  <c r="A796" i="4"/>
  <c r="D795" i="4"/>
  <c r="C795" i="4"/>
  <c r="B795" i="4"/>
  <c r="A795" i="4"/>
  <c r="D794" i="4"/>
  <c r="C794" i="4"/>
  <c r="B794" i="4"/>
  <c r="A794" i="4"/>
  <c r="D793" i="4"/>
  <c r="C793" i="4"/>
  <c r="B793" i="4"/>
  <c r="A793" i="4"/>
  <c r="D792" i="4"/>
  <c r="C792" i="4"/>
  <c r="B792" i="4"/>
  <c r="A792" i="4"/>
  <c r="D791" i="4"/>
  <c r="C791" i="4"/>
  <c r="B791" i="4"/>
  <c r="A791" i="4"/>
  <c r="D790" i="4"/>
  <c r="C790" i="4"/>
  <c r="B790" i="4"/>
  <c r="A790" i="4"/>
  <c r="D789" i="4"/>
  <c r="C789" i="4"/>
  <c r="B789" i="4"/>
  <c r="A789" i="4"/>
  <c r="D788" i="4"/>
  <c r="C788" i="4"/>
  <c r="B788" i="4"/>
  <c r="A788" i="4"/>
  <c r="D787" i="4"/>
  <c r="C787" i="4"/>
  <c r="B787" i="4"/>
  <c r="A787" i="4"/>
  <c r="D786" i="4"/>
  <c r="C786" i="4"/>
  <c r="B786" i="4"/>
  <c r="A786" i="4"/>
  <c r="D785" i="4"/>
  <c r="C785" i="4"/>
  <c r="B785" i="4"/>
  <c r="A785" i="4"/>
  <c r="D784" i="4"/>
  <c r="C784" i="4"/>
  <c r="B784" i="4"/>
  <c r="A784" i="4"/>
  <c r="D783" i="4"/>
  <c r="C783" i="4"/>
  <c r="B783" i="4"/>
  <c r="F783" i="4" s="1" a="1"/>
  <c r="F783" i="4" s="1"/>
  <c r="A783" i="4"/>
  <c r="D782" i="4"/>
  <c r="E782" i="4" s="1"/>
  <c r="C782" i="4"/>
  <c r="B782" i="4"/>
  <c r="A782" i="4"/>
  <c r="D781" i="4"/>
  <c r="C781" i="4"/>
  <c r="B781" i="4"/>
  <c r="A781" i="4"/>
  <c r="D780" i="4"/>
  <c r="C780" i="4"/>
  <c r="B780" i="4"/>
  <c r="A780" i="4"/>
  <c r="D779" i="4"/>
  <c r="C779" i="4"/>
  <c r="B779" i="4"/>
  <c r="A779" i="4"/>
  <c r="D778" i="4"/>
  <c r="C778" i="4"/>
  <c r="B778" i="4"/>
  <c r="A778" i="4"/>
  <c r="D777" i="4"/>
  <c r="C777" i="4"/>
  <c r="B777" i="4"/>
  <c r="A777" i="4"/>
  <c r="D776" i="4"/>
  <c r="C776" i="4"/>
  <c r="B776" i="4"/>
  <c r="A776" i="4"/>
  <c r="D775" i="4"/>
  <c r="E775" i="4" s="1"/>
  <c r="C775" i="4"/>
  <c r="B775" i="4"/>
  <c r="F775" i="4" s="1" a="1"/>
  <c r="F775" i="4" s="1"/>
  <c r="A775" i="4"/>
  <c r="D774" i="4"/>
  <c r="C774" i="4"/>
  <c r="B774" i="4"/>
  <c r="A774" i="4"/>
  <c r="D773" i="4"/>
  <c r="C773" i="4"/>
  <c r="B773" i="4"/>
  <c r="A773" i="4"/>
  <c r="D772" i="4"/>
  <c r="C772" i="4"/>
  <c r="B772" i="4"/>
  <c r="A772" i="4"/>
  <c r="D771" i="4"/>
  <c r="C771" i="4"/>
  <c r="B771" i="4"/>
  <c r="A771" i="4"/>
  <c r="D770" i="4"/>
  <c r="C770" i="4"/>
  <c r="B770" i="4"/>
  <c r="A770" i="4"/>
  <c r="D769" i="4"/>
  <c r="C769" i="4"/>
  <c r="B769" i="4"/>
  <c r="A769" i="4"/>
  <c r="D768" i="4"/>
  <c r="C768" i="4"/>
  <c r="B768" i="4"/>
  <c r="A768" i="4"/>
  <c r="D767" i="4"/>
  <c r="C767" i="4"/>
  <c r="B767" i="4"/>
  <c r="A767" i="4"/>
  <c r="D766" i="4"/>
  <c r="C766" i="4"/>
  <c r="B766" i="4"/>
  <c r="A766" i="4"/>
  <c r="D765" i="4"/>
  <c r="C765" i="4"/>
  <c r="B765" i="4"/>
  <c r="A765" i="4"/>
  <c r="D764" i="4"/>
  <c r="C764" i="4"/>
  <c r="B764" i="4"/>
  <c r="A764" i="4"/>
  <c r="D763" i="4"/>
  <c r="C763" i="4"/>
  <c r="B763" i="4"/>
  <c r="A763" i="4"/>
  <c r="D762" i="4"/>
  <c r="C762" i="4"/>
  <c r="B762" i="4"/>
  <c r="A762" i="4"/>
  <c r="D761" i="4"/>
  <c r="C761" i="4"/>
  <c r="B761" i="4"/>
  <c r="A761" i="4"/>
  <c r="D760" i="4"/>
  <c r="C760" i="4"/>
  <c r="B760" i="4"/>
  <c r="A760" i="4"/>
  <c r="D759" i="4"/>
  <c r="C759" i="4"/>
  <c r="B759" i="4"/>
  <c r="A759" i="4"/>
  <c r="D758" i="4"/>
  <c r="E758" i="4" s="1"/>
  <c r="C758" i="4"/>
  <c r="B758" i="4"/>
  <c r="A758" i="4"/>
  <c r="D757" i="4"/>
  <c r="C757" i="4"/>
  <c r="B757" i="4"/>
  <c r="A757" i="4"/>
  <c r="D756" i="4"/>
  <c r="C756" i="4"/>
  <c r="B756" i="4"/>
  <c r="A756" i="4"/>
  <c r="D755" i="4"/>
  <c r="C755" i="4"/>
  <c r="B755" i="4"/>
  <c r="A755" i="4"/>
  <c r="D754" i="4"/>
  <c r="C754" i="4"/>
  <c r="B754" i="4"/>
  <c r="A754" i="4"/>
  <c r="D753" i="4"/>
  <c r="C753" i="4"/>
  <c r="B753" i="4"/>
  <c r="A753" i="4"/>
  <c r="D752" i="4"/>
  <c r="C752" i="4"/>
  <c r="B752" i="4"/>
  <c r="A752" i="4"/>
  <c r="D751" i="4"/>
  <c r="C751" i="4"/>
  <c r="B751" i="4"/>
  <c r="A751" i="4"/>
  <c r="D750" i="4"/>
  <c r="C750" i="4"/>
  <c r="B750" i="4"/>
  <c r="A750" i="4"/>
  <c r="D749" i="4"/>
  <c r="C749" i="4"/>
  <c r="B749" i="4"/>
  <c r="A749" i="4"/>
  <c r="D748" i="4"/>
  <c r="C748" i="4"/>
  <c r="B748" i="4"/>
  <c r="A748" i="4"/>
  <c r="D747" i="4"/>
  <c r="C747" i="4"/>
  <c r="B747" i="4"/>
  <c r="A747" i="4"/>
  <c r="D746" i="4"/>
  <c r="C746" i="4"/>
  <c r="B746" i="4"/>
  <c r="A746" i="4"/>
  <c r="D745" i="4"/>
  <c r="C745" i="4"/>
  <c r="B745" i="4"/>
  <c r="A745" i="4"/>
  <c r="D744" i="4"/>
  <c r="C744" i="4"/>
  <c r="B744" i="4"/>
  <c r="A744" i="4"/>
  <c r="D743" i="4"/>
  <c r="C743" i="4"/>
  <c r="B743" i="4"/>
  <c r="A743" i="4"/>
  <c r="D742" i="4"/>
  <c r="C742" i="4"/>
  <c r="B742" i="4"/>
  <c r="A742" i="4"/>
  <c r="D741" i="4"/>
  <c r="C741" i="4"/>
  <c r="B741" i="4"/>
  <c r="A741" i="4"/>
  <c r="D740" i="4"/>
  <c r="C740" i="4"/>
  <c r="B740" i="4"/>
  <c r="A740" i="4"/>
  <c r="D739" i="4"/>
  <c r="C739" i="4"/>
  <c r="B739" i="4"/>
  <c r="A739" i="4"/>
  <c r="D738" i="4"/>
  <c r="C738" i="4"/>
  <c r="B738" i="4"/>
  <c r="A738" i="4"/>
  <c r="D737" i="4"/>
  <c r="C737" i="4"/>
  <c r="B737" i="4"/>
  <c r="A737" i="4"/>
  <c r="D736" i="4"/>
  <c r="C736" i="4"/>
  <c r="B736" i="4"/>
  <c r="A736" i="4"/>
  <c r="D735" i="4"/>
  <c r="C735" i="4"/>
  <c r="B735" i="4"/>
  <c r="A735" i="4"/>
  <c r="D734" i="4"/>
  <c r="C734" i="4"/>
  <c r="B734" i="4"/>
  <c r="A734" i="4"/>
  <c r="D733" i="4"/>
  <c r="C733" i="4"/>
  <c r="B733" i="4"/>
  <c r="A733" i="4"/>
  <c r="D732" i="4"/>
  <c r="C732" i="4"/>
  <c r="B732" i="4"/>
  <c r="A732" i="4"/>
  <c r="D731" i="4"/>
  <c r="C731" i="4"/>
  <c r="B731" i="4"/>
  <c r="A731" i="4"/>
  <c r="D730" i="4"/>
  <c r="C730" i="4"/>
  <c r="B730" i="4"/>
  <c r="A730" i="4"/>
  <c r="D729" i="4"/>
  <c r="C729" i="4"/>
  <c r="B729" i="4"/>
  <c r="A729" i="4"/>
  <c r="D728" i="4"/>
  <c r="C728" i="4"/>
  <c r="B728" i="4"/>
  <c r="A728" i="4"/>
  <c r="D727" i="4"/>
  <c r="C727" i="4"/>
  <c r="B727" i="4"/>
  <c r="A727" i="4"/>
  <c r="D726" i="4"/>
  <c r="C726" i="4"/>
  <c r="B726" i="4"/>
  <c r="A726" i="4"/>
  <c r="D725" i="4"/>
  <c r="C725" i="4"/>
  <c r="B725" i="4"/>
  <c r="A725" i="4"/>
  <c r="D724" i="4"/>
  <c r="C724" i="4"/>
  <c r="B724" i="4"/>
  <c r="A724" i="4"/>
  <c r="D723" i="4"/>
  <c r="C723" i="4"/>
  <c r="B723" i="4"/>
  <c r="A723" i="4"/>
  <c r="D722" i="4"/>
  <c r="C722" i="4"/>
  <c r="B722" i="4"/>
  <c r="A722" i="4"/>
  <c r="D721" i="4"/>
  <c r="C721" i="4"/>
  <c r="B721" i="4"/>
  <c r="A721" i="4"/>
  <c r="D720" i="4"/>
  <c r="C720" i="4"/>
  <c r="B720" i="4"/>
  <c r="A720" i="4"/>
  <c r="D719" i="4"/>
  <c r="C719" i="4"/>
  <c r="B719" i="4"/>
  <c r="A719" i="4"/>
  <c r="D718" i="4"/>
  <c r="C718" i="4"/>
  <c r="B718" i="4"/>
  <c r="A718" i="4"/>
  <c r="D717" i="4"/>
  <c r="C717" i="4"/>
  <c r="B717" i="4"/>
  <c r="A717" i="4"/>
  <c r="D716" i="4"/>
  <c r="C716" i="4"/>
  <c r="B716" i="4"/>
  <c r="A716" i="4"/>
  <c r="D715" i="4"/>
  <c r="C715" i="4"/>
  <c r="B715" i="4"/>
  <c r="A715" i="4"/>
  <c r="D714" i="4"/>
  <c r="C714" i="4"/>
  <c r="B714" i="4"/>
  <c r="A714" i="4"/>
  <c r="D713" i="4"/>
  <c r="E713" i="4" s="1"/>
  <c r="C713" i="4"/>
  <c r="B713" i="4"/>
  <c r="A713" i="4"/>
  <c r="D712" i="4"/>
  <c r="C712" i="4"/>
  <c r="B712" i="4"/>
  <c r="A712" i="4"/>
  <c r="D711" i="4"/>
  <c r="C711" i="4"/>
  <c r="B711" i="4"/>
  <c r="A711" i="4"/>
  <c r="D710" i="4"/>
  <c r="C710" i="4"/>
  <c r="B710" i="4"/>
  <c r="A710" i="4"/>
  <c r="D709" i="4"/>
  <c r="E709" i="4" s="1"/>
  <c r="C709" i="4"/>
  <c r="B709" i="4"/>
  <c r="A709" i="4"/>
  <c r="D708" i="4"/>
  <c r="C708" i="4"/>
  <c r="B708" i="4"/>
  <c r="A708" i="4"/>
  <c r="D707" i="4"/>
  <c r="E707" i="4" s="1"/>
  <c r="C707" i="4"/>
  <c r="B707" i="4"/>
  <c r="A707" i="4"/>
  <c r="D706" i="4"/>
  <c r="C706" i="4"/>
  <c r="B706" i="4"/>
  <c r="F706" i="4" s="1" a="1"/>
  <c r="F706" i="4" s="1"/>
  <c r="A706" i="4"/>
  <c r="D705" i="4"/>
  <c r="C705" i="4"/>
  <c r="B705" i="4"/>
  <c r="A705" i="4"/>
  <c r="D704" i="4"/>
  <c r="C704" i="4"/>
  <c r="B704" i="4"/>
  <c r="A704" i="4"/>
  <c r="D703" i="4"/>
  <c r="C703" i="4"/>
  <c r="B703" i="4"/>
  <c r="A703" i="4"/>
  <c r="D702" i="4"/>
  <c r="C702" i="4"/>
  <c r="B702" i="4"/>
  <c r="A702" i="4"/>
  <c r="D701" i="4"/>
  <c r="C701" i="4"/>
  <c r="B701" i="4"/>
  <c r="A701" i="4"/>
  <c r="D700" i="4"/>
  <c r="C700" i="4"/>
  <c r="B700" i="4"/>
  <c r="A700" i="4"/>
  <c r="D699" i="4"/>
  <c r="E699" i="4" s="1"/>
  <c r="C699" i="4"/>
  <c r="B699" i="4"/>
  <c r="A699" i="4"/>
  <c r="D698" i="4"/>
  <c r="C698" i="4"/>
  <c r="B698" i="4"/>
  <c r="A698" i="4"/>
  <c r="D697" i="4"/>
  <c r="C697" i="4"/>
  <c r="B697" i="4"/>
  <c r="A697" i="4"/>
  <c r="D696" i="4"/>
  <c r="C696" i="4"/>
  <c r="B696" i="4"/>
  <c r="A696" i="4"/>
  <c r="D695" i="4"/>
  <c r="C695" i="4"/>
  <c r="B695" i="4"/>
  <c r="A695" i="4"/>
  <c r="D694" i="4"/>
  <c r="C694" i="4"/>
  <c r="B694" i="4"/>
  <c r="A694" i="4"/>
  <c r="D693" i="4"/>
  <c r="C693" i="4"/>
  <c r="B693" i="4"/>
  <c r="A693" i="4"/>
  <c r="D692" i="4"/>
  <c r="C692" i="4"/>
  <c r="B692" i="4"/>
  <c r="A692" i="4"/>
  <c r="D691" i="4"/>
  <c r="C691" i="4"/>
  <c r="B691" i="4"/>
  <c r="A691" i="4"/>
  <c r="D690" i="4"/>
  <c r="C690" i="4"/>
  <c r="B690" i="4"/>
  <c r="A690" i="4"/>
  <c r="D689" i="4"/>
  <c r="C689" i="4"/>
  <c r="B689" i="4"/>
  <c r="A689" i="4"/>
  <c r="D688" i="4"/>
  <c r="C688" i="4"/>
  <c r="B688" i="4"/>
  <c r="A688" i="4"/>
  <c r="D687" i="4"/>
  <c r="C687" i="4"/>
  <c r="B687" i="4"/>
  <c r="A687" i="4"/>
  <c r="D686" i="4"/>
  <c r="C686" i="4"/>
  <c r="B686" i="4"/>
  <c r="A686" i="4"/>
  <c r="D685" i="4"/>
  <c r="C685" i="4"/>
  <c r="B685" i="4"/>
  <c r="A685" i="4"/>
  <c r="D684" i="4"/>
  <c r="C684" i="4"/>
  <c r="B684" i="4"/>
  <c r="A684" i="4"/>
  <c r="D683" i="4"/>
  <c r="C683" i="4"/>
  <c r="B683" i="4"/>
  <c r="A683" i="4"/>
  <c r="D682" i="4"/>
  <c r="C682" i="4"/>
  <c r="B682" i="4"/>
  <c r="A682" i="4"/>
  <c r="D681" i="4"/>
  <c r="C681" i="4"/>
  <c r="B681" i="4"/>
  <c r="A681" i="4"/>
  <c r="D680" i="4"/>
  <c r="C680" i="4"/>
  <c r="B680" i="4"/>
  <c r="A680" i="4"/>
  <c r="D679" i="4"/>
  <c r="C679" i="4"/>
  <c r="B679" i="4"/>
  <c r="A679" i="4"/>
  <c r="D678" i="4"/>
  <c r="C678" i="4"/>
  <c r="B678" i="4"/>
  <c r="A678" i="4"/>
  <c r="D677" i="4"/>
  <c r="C677" i="4"/>
  <c r="B677" i="4"/>
  <c r="A677" i="4"/>
  <c r="D676" i="4"/>
  <c r="C676" i="4"/>
  <c r="B676" i="4"/>
  <c r="A676" i="4"/>
  <c r="D675" i="4"/>
  <c r="C675" i="4"/>
  <c r="B675" i="4"/>
  <c r="A675" i="4"/>
  <c r="D674" i="4"/>
  <c r="C674" i="4"/>
  <c r="B674" i="4"/>
  <c r="A674" i="4"/>
  <c r="D673" i="4"/>
  <c r="C673" i="4"/>
  <c r="B673" i="4"/>
  <c r="A673" i="4"/>
  <c r="D672" i="4"/>
  <c r="C672" i="4"/>
  <c r="B672" i="4"/>
  <c r="A672" i="4"/>
  <c r="D671" i="4"/>
  <c r="C671" i="4"/>
  <c r="B671" i="4"/>
  <c r="A671" i="4"/>
  <c r="D670" i="4"/>
  <c r="C670" i="4"/>
  <c r="B670" i="4"/>
  <c r="A670" i="4"/>
  <c r="D669" i="4"/>
  <c r="C669" i="4"/>
  <c r="B669" i="4"/>
  <c r="A669" i="4"/>
  <c r="D668" i="4"/>
  <c r="C668" i="4"/>
  <c r="B668" i="4"/>
  <c r="A668" i="4"/>
  <c r="D667" i="4"/>
  <c r="C667" i="4"/>
  <c r="B667" i="4"/>
  <c r="A667" i="4"/>
  <c r="D666" i="4"/>
  <c r="C666" i="4"/>
  <c r="B666" i="4"/>
  <c r="A666" i="4"/>
  <c r="D665" i="4"/>
  <c r="C665" i="4"/>
  <c r="B665" i="4"/>
  <c r="A665" i="4"/>
  <c r="D664" i="4"/>
  <c r="C664" i="4"/>
  <c r="B664" i="4"/>
  <c r="A664" i="4"/>
  <c r="D663" i="4"/>
  <c r="C663" i="4"/>
  <c r="B663" i="4"/>
  <c r="A663" i="4"/>
  <c r="D662" i="4"/>
  <c r="C662" i="4"/>
  <c r="B662" i="4"/>
  <c r="A662" i="4"/>
  <c r="D661" i="4"/>
  <c r="C661" i="4"/>
  <c r="B661" i="4"/>
  <c r="A661" i="4"/>
  <c r="D660" i="4"/>
  <c r="C660" i="4"/>
  <c r="B660" i="4"/>
  <c r="A660" i="4"/>
  <c r="D659" i="4"/>
  <c r="C659" i="4"/>
  <c r="B659" i="4"/>
  <c r="A659" i="4"/>
  <c r="D658" i="4"/>
  <c r="C658" i="4"/>
  <c r="B658" i="4"/>
  <c r="A658" i="4"/>
  <c r="D657" i="4"/>
  <c r="C657" i="4"/>
  <c r="B657" i="4"/>
  <c r="A657" i="4"/>
  <c r="D656" i="4"/>
  <c r="C656" i="4"/>
  <c r="B656" i="4"/>
  <c r="A656" i="4"/>
  <c r="D655" i="4"/>
  <c r="C655" i="4"/>
  <c r="B655" i="4"/>
  <c r="A655" i="4"/>
  <c r="D654" i="4"/>
  <c r="C654" i="4"/>
  <c r="B654" i="4"/>
  <c r="A654" i="4"/>
  <c r="D653" i="4"/>
  <c r="C653" i="4"/>
  <c r="B653" i="4"/>
  <c r="A653" i="4"/>
  <c r="D652" i="4"/>
  <c r="C652" i="4"/>
  <c r="B652" i="4"/>
  <c r="A652" i="4"/>
  <c r="D651" i="4"/>
  <c r="C651" i="4"/>
  <c r="B651" i="4"/>
  <c r="A651" i="4"/>
  <c r="D650" i="4"/>
  <c r="C650" i="4"/>
  <c r="B650" i="4"/>
  <c r="A650" i="4"/>
  <c r="D649" i="4"/>
  <c r="E649" i="4" s="1"/>
  <c r="C649" i="4"/>
  <c r="B649" i="4"/>
  <c r="A649" i="4"/>
  <c r="D648" i="4"/>
  <c r="C648" i="4"/>
  <c r="B648" i="4"/>
  <c r="A648" i="4"/>
  <c r="D647" i="4"/>
  <c r="C647" i="4"/>
  <c r="B647" i="4"/>
  <c r="A647" i="4"/>
  <c r="D646" i="4"/>
  <c r="C646" i="4"/>
  <c r="B646" i="4"/>
  <c r="A646" i="4"/>
  <c r="D645" i="4"/>
  <c r="C645" i="4"/>
  <c r="B645" i="4"/>
  <c r="A645" i="4"/>
  <c r="D644" i="4"/>
  <c r="C644" i="4"/>
  <c r="B644" i="4"/>
  <c r="A644" i="4"/>
  <c r="D643" i="4"/>
  <c r="C643" i="4"/>
  <c r="B643" i="4"/>
  <c r="A643" i="4"/>
  <c r="D642" i="4"/>
  <c r="C642" i="4"/>
  <c r="B642" i="4"/>
  <c r="A642" i="4"/>
  <c r="D641" i="4"/>
  <c r="C641" i="4"/>
  <c r="B641" i="4"/>
  <c r="A641" i="4"/>
  <c r="D640" i="4"/>
  <c r="C640" i="4"/>
  <c r="B640" i="4"/>
  <c r="A640" i="4"/>
  <c r="D639" i="4"/>
  <c r="C639" i="4"/>
  <c r="B639" i="4"/>
  <c r="A639" i="4"/>
  <c r="D638" i="4"/>
  <c r="C638" i="4"/>
  <c r="B638" i="4"/>
  <c r="A638" i="4"/>
  <c r="D637" i="4"/>
  <c r="C637" i="4"/>
  <c r="B637" i="4"/>
  <c r="A637" i="4"/>
  <c r="D636" i="4"/>
  <c r="C636" i="4"/>
  <c r="B636" i="4"/>
  <c r="A636" i="4"/>
  <c r="D635" i="4"/>
  <c r="C635" i="4"/>
  <c r="B635" i="4"/>
  <c r="A635" i="4"/>
  <c r="D634" i="4"/>
  <c r="C634" i="4"/>
  <c r="B634" i="4"/>
  <c r="A634" i="4"/>
  <c r="D633" i="4"/>
  <c r="C633" i="4"/>
  <c r="B633" i="4"/>
  <c r="A633" i="4"/>
  <c r="D632" i="4"/>
  <c r="C632" i="4"/>
  <c r="B632" i="4"/>
  <c r="A632" i="4"/>
  <c r="D631" i="4"/>
  <c r="C631" i="4"/>
  <c r="B631" i="4"/>
  <c r="A631" i="4"/>
  <c r="D630" i="4"/>
  <c r="C630" i="4"/>
  <c r="B630" i="4"/>
  <c r="A630" i="4"/>
  <c r="D629" i="4"/>
  <c r="C629" i="4"/>
  <c r="B629" i="4"/>
  <c r="A629" i="4"/>
  <c r="D628" i="4"/>
  <c r="C628" i="4"/>
  <c r="B628" i="4"/>
  <c r="A628" i="4"/>
  <c r="D627" i="4"/>
  <c r="C627" i="4"/>
  <c r="B627" i="4"/>
  <c r="A627" i="4"/>
  <c r="D626" i="4"/>
  <c r="C626" i="4"/>
  <c r="B626" i="4"/>
  <c r="A626" i="4"/>
  <c r="D625" i="4"/>
  <c r="C625" i="4"/>
  <c r="B625" i="4"/>
  <c r="A625" i="4"/>
  <c r="D624" i="4"/>
  <c r="C624" i="4"/>
  <c r="B624" i="4"/>
  <c r="A624" i="4"/>
  <c r="D623" i="4"/>
  <c r="C623" i="4"/>
  <c r="B623" i="4"/>
  <c r="A623" i="4"/>
  <c r="D622" i="4"/>
  <c r="C622" i="4"/>
  <c r="B622" i="4"/>
  <c r="A622" i="4"/>
  <c r="D621" i="4"/>
  <c r="C621" i="4"/>
  <c r="B621" i="4"/>
  <c r="A621" i="4"/>
  <c r="D620" i="4"/>
  <c r="C620" i="4"/>
  <c r="B620" i="4"/>
  <c r="A620" i="4"/>
  <c r="D619" i="4"/>
  <c r="C619" i="4"/>
  <c r="B619" i="4"/>
  <c r="A619" i="4"/>
  <c r="D618" i="4"/>
  <c r="C618" i="4"/>
  <c r="B618" i="4"/>
  <c r="A618" i="4"/>
  <c r="D617" i="4"/>
  <c r="C617" i="4"/>
  <c r="B617" i="4"/>
  <c r="A617" i="4"/>
  <c r="D616" i="4"/>
  <c r="C616" i="4"/>
  <c r="B616" i="4"/>
  <c r="A616" i="4"/>
  <c r="D615" i="4"/>
  <c r="C615" i="4"/>
  <c r="B615" i="4"/>
  <c r="A615" i="4"/>
  <c r="D614" i="4"/>
  <c r="C614" i="4"/>
  <c r="B614" i="4"/>
  <c r="A614" i="4"/>
  <c r="D613" i="4"/>
  <c r="E613" i="4" s="1"/>
  <c r="C613" i="4"/>
  <c r="B613" i="4"/>
  <c r="A613" i="4"/>
  <c r="D612" i="4"/>
  <c r="C612" i="4"/>
  <c r="B612" i="4"/>
  <c r="A612" i="4"/>
  <c r="D611" i="4"/>
  <c r="C611" i="4"/>
  <c r="B611" i="4"/>
  <c r="A611" i="4"/>
  <c r="D610" i="4"/>
  <c r="C610" i="4"/>
  <c r="B610" i="4"/>
  <c r="A610" i="4"/>
  <c r="D609" i="4"/>
  <c r="C609" i="4"/>
  <c r="B609" i="4"/>
  <c r="A609" i="4"/>
  <c r="D608" i="4"/>
  <c r="C608" i="4"/>
  <c r="B608" i="4"/>
  <c r="A608" i="4"/>
  <c r="D607" i="4"/>
  <c r="C607" i="4"/>
  <c r="B607" i="4"/>
  <c r="A607" i="4"/>
  <c r="D606" i="4"/>
  <c r="C606" i="4"/>
  <c r="B606" i="4"/>
  <c r="A606" i="4"/>
  <c r="D605" i="4"/>
  <c r="C605" i="4"/>
  <c r="B605" i="4"/>
  <c r="A605" i="4"/>
  <c r="D604" i="4"/>
  <c r="C604" i="4"/>
  <c r="B604" i="4"/>
  <c r="A604" i="4"/>
  <c r="D603" i="4"/>
  <c r="C603" i="4"/>
  <c r="B603" i="4"/>
  <c r="A603" i="4"/>
  <c r="D602" i="4"/>
  <c r="C602" i="4"/>
  <c r="B602" i="4"/>
  <c r="A602" i="4"/>
  <c r="D601" i="4"/>
  <c r="C601" i="4"/>
  <c r="B601" i="4"/>
  <c r="A601" i="4"/>
  <c r="D600" i="4"/>
  <c r="C600" i="4"/>
  <c r="B600" i="4"/>
  <c r="A600" i="4"/>
  <c r="D599" i="4"/>
  <c r="C599" i="4"/>
  <c r="B599" i="4"/>
  <c r="A599" i="4"/>
  <c r="D598" i="4"/>
  <c r="C598" i="4"/>
  <c r="B598" i="4"/>
  <c r="A598" i="4"/>
  <c r="D597" i="4"/>
  <c r="C597" i="4"/>
  <c r="B597" i="4"/>
  <c r="A597" i="4"/>
  <c r="D596" i="4"/>
  <c r="C596" i="4"/>
  <c r="B596" i="4"/>
  <c r="A596" i="4"/>
  <c r="D595" i="4"/>
  <c r="C595" i="4"/>
  <c r="B595" i="4"/>
  <c r="A595" i="4"/>
  <c r="D594" i="4"/>
  <c r="C594" i="4"/>
  <c r="B594" i="4"/>
  <c r="A594" i="4"/>
  <c r="D593" i="4"/>
  <c r="C593" i="4"/>
  <c r="B593" i="4"/>
  <c r="A593" i="4"/>
  <c r="D592" i="4"/>
  <c r="C592" i="4"/>
  <c r="B592" i="4"/>
  <c r="A592" i="4"/>
  <c r="D591" i="4"/>
  <c r="C591" i="4"/>
  <c r="B591" i="4"/>
  <c r="A591" i="4"/>
  <c r="D590" i="4"/>
  <c r="C590" i="4"/>
  <c r="B590" i="4"/>
  <c r="A590" i="4"/>
  <c r="D589" i="4"/>
  <c r="C589" i="4"/>
  <c r="B589" i="4"/>
  <c r="A589" i="4"/>
  <c r="D588" i="4"/>
  <c r="C588" i="4"/>
  <c r="B588" i="4"/>
  <c r="A588" i="4"/>
  <c r="D587" i="4"/>
  <c r="C587" i="4"/>
  <c r="B587" i="4"/>
  <c r="A587" i="4"/>
  <c r="D586" i="4"/>
  <c r="C586" i="4"/>
  <c r="B586" i="4"/>
  <c r="A586" i="4"/>
  <c r="D585" i="4"/>
  <c r="E585" i="4" s="1"/>
  <c r="C585" i="4"/>
  <c r="B585" i="4"/>
  <c r="A585" i="4"/>
  <c r="D584" i="4"/>
  <c r="C584" i="4"/>
  <c r="B584" i="4"/>
  <c r="A584" i="4"/>
  <c r="D583" i="4"/>
  <c r="C583" i="4"/>
  <c r="B583" i="4"/>
  <c r="A583" i="4"/>
  <c r="D582" i="4"/>
  <c r="C582" i="4"/>
  <c r="B582" i="4"/>
  <c r="A582" i="4"/>
  <c r="D581" i="4"/>
  <c r="C581" i="4"/>
  <c r="B581" i="4"/>
  <c r="A581" i="4"/>
  <c r="D580" i="4"/>
  <c r="C580" i="4"/>
  <c r="B580" i="4"/>
  <c r="A580" i="4"/>
  <c r="D579" i="4"/>
  <c r="C579" i="4"/>
  <c r="B579" i="4"/>
  <c r="A579" i="4"/>
  <c r="D578" i="4"/>
  <c r="C578" i="4"/>
  <c r="B578" i="4"/>
  <c r="A578" i="4"/>
  <c r="D577" i="4"/>
  <c r="C577" i="4"/>
  <c r="B577" i="4"/>
  <c r="A577" i="4"/>
  <c r="D576" i="4"/>
  <c r="C576" i="4"/>
  <c r="B576" i="4"/>
  <c r="A576" i="4"/>
  <c r="D575" i="4"/>
  <c r="C575" i="4"/>
  <c r="B575" i="4"/>
  <c r="A575" i="4"/>
  <c r="D574" i="4"/>
  <c r="C574" i="4"/>
  <c r="B574" i="4"/>
  <c r="A574" i="4"/>
  <c r="D573" i="4"/>
  <c r="E573" i="4" s="1"/>
  <c r="C573" i="4"/>
  <c r="B573" i="4"/>
  <c r="A573" i="4"/>
  <c r="D572" i="4"/>
  <c r="C572" i="4"/>
  <c r="B572" i="4"/>
  <c r="A572" i="4"/>
  <c r="D571" i="4"/>
  <c r="E571" i="4" s="1"/>
  <c r="C571" i="4"/>
  <c r="B571" i="4"/>
  <c r="A571" i="4"/>
  <c r="D570" i="4"/>
  <c r="C570" i="4"/>
  <c r="B570" i="4"/>
  <c r="A570" i="4"/>
  <c r="D569" i="4"/>
  <c r="C569" i="4"/>
  <c r="B569" i="4"/>
  <c r="A569" i="4"/>
  <c r="D568" i="4"/>
  <c r="C568" i="4"/>
  <c r="B568" i="4"/>
  <c r="A568" i="4"/>
  <c r="D567" i="4"/>
  <c r="C567" i="4"/>
  <c r="B567" i="4"/>
  <c r="A567" i="4"/>
  <c r="D566" i="4"/>
  <c r="C566" i="4"/>
  <c r="B566" i="4"/>
  <c r="A566" i="4"/>
  <c r="D565" i="4"/>
  <c r="C565" i="4"/>
  <c r="B565" i="4"/>
  <c r="A565" i="4"/>
  <c r="D564" i="4"/>
  <c r="C564" i="4"/>
  <c r="B564" i="4"/>
  <c r="A564" i="4"/>
  <c r="D563" i="4"/>
  <c r="C563" i="4"/>
  <c r="B563" i="4"/>
  <c r="A563" i="4"/>
  <c r="D562" i="4"/>
  <c r="C562" i="4"/>
  <c r="B562" i="4"/>
  <c r="A562" i="4"/>
  <c r="D561" i="4"/>
  <c r="E561" i="4" s="1"/>
  <c r="C561" i="4"/>
  <c r="B561" i="4"/>
  <c r="A561" i="4"/>
  <c r="D560" i="4"/>
  <c r="C560" i="4"/>
  <c r="B560" i="4"/>
  <c r="A560" i="4"/>
  <c r="D559" i="4"/>
  <c r="C559" i="4"/>
  <c r="B559" i="4"/>
  <c r="A559" i="4"/>
  <c r="D558" i="4"/>
  <c r="C558" i="4"/>
  <c r="B558" i="4"/>
  <c r="A558" i="4"/>
  <c r="D557" i="4"/>
  <c r="C557" i="4"/>
  <c r="B557" i="4"/>
  <c r="A557" i="4"/>
  <c r="D556" i="4"/>
  <c r="C556" i="4"/>
  <c r="B556" i="4"/>
  <c r="A556" i="4"/>
  <c r="D555" i="4"/>
  <c r="C555" i="4"/>
  <c r="B555" i="4"/>
  <c r="A555" i="4"/>
  <c r="D554" i="4"/>
  <c r="C554" i="4"/>
  <c r="B554" i="4"/>
  <c r="A554" i="4"/>
  <c r="D553" i="4"/>
  <c r="C553" i="4"/>
  <c r="B553" i="4"/>
  <c r="A553" i="4"/>
  <c r="D552" i="4"/>
  <c r="C552" i="4"/>
  <c r="B552" i="4"/>
  <c r="A552" i="4"/>
  <c r="D551" i="4"/>
  <c r="C551" i="4"/>
  <c r="B551" i="4"/>
  <c r="A551" i="4"/>
  <c r="D550" i="4"/>
  <c r="C550" i="4"/>
  <c r="B550" i="4"/>
  <c r="A550" i="4"/>
  <c r="D549" i="4"/>
  <c r="C549" i="4"/>
  <c r="B549" i="4"/>
  <c r="A549" i="4"/>
  <c r="D548" i="4"/>
  <c r="C548" i="4"/>
  <c r="B548" i="4"/>
  <c r="A548" i="4"/>
  <c r="D547" i="4"/>
  <c r="C547" i="4"/>
  <c r="B547" i="4"/>
  <c r="A547" i="4"/>
  <c r="D546" i="4"/>
  <c r="C546" i="4"/>
  <c r="B546" i="4"/>
  <c r="A546" i="4"/>
  <c r="D545" i="4"/>
  <c r="C545" i="4"/>
  <c r="B545" i="4"/>
  <c r="A545" i="4"/>
  <c r="D544" i="4"/>
  <c r="C544" i="4"/>
  <c r="B544" i="4"/>
  <c r="A544" i="4"/>
  <c r="D543" i="4"/>
  <c r="C543" i="4"/>
  <c r="B543" i="4"/>
  <c r="A543" i="4"/>
  <c r="D542" i="4"/>
  <c r="C542" i="4"/>
  <c r="B542" i="4"/>
  <c r="A542" i="4"/>
  <c r="D541" i="4"/>
  <c r="C541" i="4"/>
  <c r="B541" i="4"/>
  <c r="A541" i="4"/>
  <c r="D540" i="4"/>
  <c r="C540" i="4"/>
  <c r="B540" i="4"/>
  <c r="A540" i="4"/>
  <c r="D539" i="4"/>
  <c r="C539" i="4"/>
  <c r="B539" i="4"/>
  <c r="A539" i="4"/>
  <c r="D538" i="4"/>
  <c r="C538" i="4"/>
  <c r="B538" i="4"/>
  <c r="A538" i="4"/>
  <c r="D537" i="4"/>
  <c r="C537" i="4"/>
  <c r="B537" i="4"/>
  <c r="A537" i="4"/>
  <c r="D536" i="4"/>
  <c r="C536" i="4"/>
  <c r="B536" i="4"/>
  <c r="A536" i="4"/>
  <c r="D535" i="4"/>
  <c r="C535" i="4"/>
  <c r="B535" i="4"/>
  <c r="A535" i="4"/>
  <c r="D534" i="4"/>
  <c r="C534" i="4"/>
  <c r="B534" i="4"/>
  <c r="A534" i="4"/>
  <c r="D533" i="4"/>
  <c r="C533" i="4"/>
  <c r="B533" i="4"/>
  <c r="A533" i="4"/>
  <c r="D532" i="4"/>
  <c r="C532" i="4"/>
  <c r="B532" i="4"/>
  <c r="A532" i="4"/>
  <c r="D531" i="4"/>
  <c r="C531" i="4"/>
  <c r="B531" i="4"/>
  <c r="A531" i="4"/>
  <c r="D530" i="4"/>
  <c r="C530" i="4"/>
  <c r="B530" i="4"/>
  <c r="A530" i="4"/>
  <c r="D529" i="4"/>
  <c r="C529" i="4"/>
  <c r="B529" i="4"/>
  <c r="A529" i="4"/>
  <c r="D528" i="4"/>
  <c r="C528" i="4"/>
  <c r="B528" i="4"/>
  <c r="A528" i="4"/>
  <c r="D527" i="4"/>
  <c r="C527" i="4"/>
  <c r="B527" i="4"/>
  <c r="A527" i="4"/>
  <c r="D526" i="4"/>
  <c r="C526" i="4"/>
  <c r="B526" i="4"/>
  <c r="A526" i="4"/>
  <c r="D525" i="4"/>
  <c r="C525" i="4"/>
  <c r="B525" i="4"/>
  <c r="A525" i="4"/>
  <c r="D524" i="4"/>
  <c r="C524" i="4"/>
  <c r="B524" i="4"/>
  <c r="A524" i="4"/>
  <c r="D523" i="4"/>
  <c r="C523" i="4"/>
  <c r="B523" i="4"/>
  <c r="A523" i="4"/>
  <c r="D522" i="4"/>
  <c r="C522" i="4"/>
  <c r="B522" i="4"/>
  <c r="A522" i="4"/>
  <c r="D521" i="4"/>
  <c r="C521" i="4"/>
  <c r="B521" i="4"/>
  <c r="A521" i="4"/>
  <c r="D520" i="4"/>
  <c r="C520" i="4"/>
  <c r="B520" i="4"/>
  <c r="A520" i="4"/>
  <c r="D519" i="4"/>
  <c r="C519" i="4"/>
  <c r="B519" i="4"/>
  <c r="A519" i="4"/>
  <c r="D518" i="4"/>
  <c r="C518" i="4"/>
  <c r="B518" i="4"/>
  <c r="A518" i="4"/>
  <c r="D517" i="4"/>
  <c r="C517" i="4"/>
  <c r="B517" i="4"/>
  <c r="A517" i="4"/>
  <c r="D516" i="4"/>
  <c r="C516" i="4"/>
  <c r="B516" i="4"/>
  <c r="A516" i="4"/>
  <c r="D515" i="4"/>
  <c r="C515" i="4"/>
  <c r="B515" i="4"/>
  <c r="A515" i="4"/>
  <c r="D514" i="4"/>
  <c r="C514" i="4"/>
  <c r="B514" i="4"/>
  <c r="A514" i="4"/>
  <c r="D513" i="4"/>
  <c r="C513" i="4"/>
  <c r="B513" i="4"/>
  <c r="A513" i="4"/>
  <c r="D512" i="4"/>
  <c r="C512" i="4"/>
  <c r="B512" i="4"/>
  <c r="A512" i="4"/>
  <c r="D511" i="4"/>
  <c r="C511" i="4"/>
  <c r="B511" i="4"/>
  <c r="A511" i="4"/>
  <c r="D510" i="4"/>
  <c r="C510" i="4"/>
  <c r="B510" i="4"/>
  <c r="A510" i="4"/>
  <c r="D509" i="4"/>
  <c r="C509" i="4"/>
  <c r="B509" i="4"/>
  <c r="A509" i="4"/>
  <c r="D508" i="4"/>
  <c r="C508" i="4"/>
  <c r="B508" i="4"/>
  <c r="A508" i="4"/>
  <c r="D507" i="4"/>
  <c r="C507" i="4"/>
  <c r="B507" i="4"/>
  <c r="A507" i="4"/>
  <c r="D506" i="4"/>
  <c r="E506" i="4" s="1"/>
  <c r="C506" i="4"/>
  <c r="B506" i="4"/>
  <c r="A506" i="4"/>
  <c r="D505" i="4"/>
  <c r="E505" i="4" s="1"/>
  <c r="C505" i="4"/>
  <c r="B505" i="4"/>
  <c r="A505" i="4"/>
  <c r="D504" i="4"/>
  <c r="C504" i="4"/>
  <c r="B504" i="4"/>
  <c r="A504" i="4"/>
  <c r="D503" i="4"/>
  <c r="E503" i="4" s="1"/>
  <c r="C503" i="4"/>
  <c r="B503" i="4"/>
  <c r="A503" i="4"/>
  <c r="D502" i="4"/>
  <c r="C502" i="4"/>
  <c r="B502" i="4"/>
  <c r="A502" i="4"/>
  <c r="D501" i="4"/>
  <c r="E501" i="4" s="1"/>
  <c r="C501" i="4"/>
  <c r="B501" i="4"/>
  <c r="A501" i="4"/>
  <c r="D500" i="4"/>
  <c r="C500" i="4"/>
  <c r="B500" i="4"/>
  <c r="A500" i="4"/>
  <c r="D499" i="4"/>
  <c r="C499" i="4"/>
  <c r="B499" i="4"/>
  <c r="A499" i="4"/>
  <c r="D498" i="4"/>
  <c r="C498" i="4"/>
  <c r="B498" i="4"/>
  <c r="A498" i="4"/>
  <c r="D497" i="4"/>
  <c r="C497" i="4"/>
  <c r="B497" i="4"/>
  <c r="A497" i="4"/>
  <c r="D496" i="4"/>
  <c r="C496" i="4"/>
  <c r="B496" i="4"/>
  <c r="A496" i="4"/>
  <c r="D495" i="4"/>
  <c r="C495" i="4"/>
  <c r="B495" i="4"/>
  <c r="A495" i="4"/>
  <c r="D494" i="4"/>
  <c r="C494" i="4"/>
  <c r="B494" i="4"/>
  <c r="F494" i="4" s="1" a="1"/>
  <c r="F494" i="4" s="1"/>
  <c r="A494" i="4"/>
  <c r="D493" i="4"/>
  <c r="C493" i="4"/>
  <c r="B493" i="4"/>
  <c r="A493" i="4"/>
  <c r="D492" i="4"/>
  <c r="C492" i="4"/>
  <c r="B492" i="4"/>
  <c r="A492" i="4"/>
  <c r="D491" i="4"/>
  <c r="C491" i="4"/>
  <c r="B491" i="4"/>
  <c r="A491" i="4"/>
  <c r="D490" i="4"/>
  <c r="C490" i="4"/>
  <c r="B490" i="4"/>
  <c r="A490" i="4"/>
  <c r="D489" i="4"/>
  <c r="C489" i="4"/>
  <c r="B489" i="4"/>
  <c r="A489" i="4"/>
  <c r="D488" i="4"/>
  <c r="C488" i="4"/>
  <c r="B488" i="4"/>
  <c r="A488" i="4"/>
  <c r="D487" i="4"/>
  <c r="C487" i="4"/>
  <c r="B487" i="4"/>
  <c r="A487" i="4"/>
  <c r="D486" i="4"/>
  <c r="C486" i="4"/>
  <c r="B486" i="4"/>
  <c r="A486" i="4"/>
  <c r="D485" i="4"/>
  <c r="C485" i="4"/>
  <c r="B485" i="4"/>
  <c r="A485" i="4"/>
  <c r="D484" i="4"/>
  <c r="C484" i="4"/>
  <c r="B484" i="4"/>
  <c r="A484" i="4"/>
  <c r="D483" i="4"/>
  <c r="C483" i="4"/>
  <c r="B483" i="4"/>
  <c r="A483" i="4"/>
  <c r="D482" i="4"/>
  <c r="C482" i="4"/>
  <c r="B482" i="4"/>
  <c r="A482" i="4"/>
  <c r="D481" i="4"/>
  <c r="C481" i="4"/>
  <c r="B481" i="4"/>
  <c r="A481" i="4"/>
  <c r="D480" i="4"/>
  <c r="C480" i="4"/>
  <c r="B480" i="4"/>
  <c r="A480" i="4"/>
  <c r="D479" i="4"/>
  <c r="C479" i="4"/>
  <c r="B479" i="4"/>
  <c r="A479" i="4"/>
  <c r="D478" i="4"/>
  <c r="C478" i="4"/>
  <c r="B478" i="4"/>
  <c r="A478" i="4"/>
  <c r="D477" i="4"/>
  <c r="C477" i="4"/>
  <c r="B477" i="4"/>
  <c r="A477" i="4"/>
  <c r="D476" i="4"/>
  <c r="C476" i="4"/>
  <c r="B476" i="4"/>
  <c r="A476" i="4"/>
  <c r="D475" i="4"/>
  <c r="C475" i="4"/>
  <c r="B475" i="4"/>
  <c r="A475" i="4"/>
  <c r="D474" i="4"/>
  <c r="C474" i="4"/>
  <c r="B474" i="4"/>
  <c r="A474" i="4"/>
  <c r="D473" i="4"/>
  <c r="C473" i="4"/>
  <c r="B473" i="4"/>
  <c r="A473" i="4"/>
  <c r="D472" i="4"/>
  <c r="C472" i="4"/>
  <c r="B472" i="4"/>
  <c r="A472" i="4"/>
  <c r="D471" i="4"/>
  <c r="C471" i="4"/>
  <c r="B471" i="4"/>
  <c r="A471" i="4"/>
  <c r="D470" i="4"/>
  <c r="C470" i="4"/>
  <c r="B470" i="4"/>
  <c r="A470" i="4"/>
  <c r="D469" i="4"/>
  <c r="C469" i="4"/>
  <c r="B469" i="4"/>
  <c r="A469" i="4"/>
  <c r="D468" i="4"/>
  <c r="C468" i="4"/>
  <c r="B468" i="4"/>
  <c r="A468" i="4"/>
  <c r="D467" i="4"/>
  <c r="C467" i="4"/>
  <c r="B467" i="4"/>
  <c r="A467" i="4"/>
  <c r="D466" i="4"/>
  <c r="C466" i="4"/>
  <c r="B466" i="4"/>
  <c r="A466" i="4"/>
  <c r="D465" i="4"/>
  <c r="C465" i="4"/>
  <c r="B465" i="4"/>
  <c r="A465" i="4"/>
  <c r="D464" i="4"/>
  <c r="C464" i="4"/>
  <c r="B464" i="4"/>
  <c r="A464" i="4"/>
  <c r="D463" i="4"/>
  <c r="C463" i="4"/>
  <c r="B463" i="4"/>
  <c r="A463" i="4"/>
  <c r="D462" i="4"/>
  <c r="C462" i="4"/>
  <c r="B462" i="4"/>
  <c r="A462" i="4"/>
  <c r="D461" i="4"/>
  <c r="C461" i="4"/>
  <c r="B461" i="4"/>
  <c r="A461" i="4"/>
  <c r="D460" i="4"/>
  <c r="C460" i="4"/>
  <c r="B460" i="4"/>
  <c r="A460" i="4"/>
  <c r="D459" i="4"/>
  <c r="C459" i="4"/>
  <c r="B459" i="4"/>
  <c r="A459" i="4"/>
  <c r="D458" i="4"/>
  <c r="C458" i="4"/>
  <c r="B458" i="4"/>
  <c r="A458" i="4"/>
  <c r="D457" i="4"/>
  <c r="C457" i="4"/>
  <c r="B457" i="4"/>
  <c r="A457" i="4"/>
  <c r="D456" i="4"/>
  <c r="C456" i="4"/>
  <c r="B456" i="4"/>
  <c r="A456" i="4"/>
  <c r="D455" i="4"/>
  <c r="C455" i="4"/>
  <c r="B455" i="4"/>
  <c r="A455" i="4"/>
  <c r="D454" i="4"/>
  <c r="C454" i="4"/>
  <c r="B454" i="4"/>
  <c r="A454" i="4"/>
  <c r="E453" i="4"/>
  <c r="D453" i="4"/>
  <c r="C453" i="4"/>
  <c r="B453" i="4"/>
  <c r="A453" i="4"/>
  <c r="D452" i="4"/>
  <c r="C452" i="4"/>
  <c r="B452" i="4"/>
  <c r="A452" i="4"/>
  <c r="D451" i="4"/>
  <c r="C451" i="4"/>
  <c r="B451" i="4"/>
  <c r="A451" i="4"/>
  <c r="D450" i="4"/>
  <c r="C450" i="4"/>
  <c r="B450" i="4"/>
  <c r="A450" i="4"/>
  <c r="D449" i="4"/>
  <c r="C449" i="4"/>
  <c r="B449" i="4"/>
  <c r="A449" i="4"/>
  <c r="D448" i="4"/>
  <c r="C448" i="4"/>
  <c r="B448" i="4"/>
  <c r="A448" i="4"/>
  <c r="D447" i="4"/>
  <c r="C447" i="4"/>
  <c r="B447" i="4"/>
  <c r="A447" i="4"/>
  <c r="D446" i="4"/>
  <c r="C446" i="4"/>
  <c r="B446" i="4"/>
  <c r="A446" i="4"/>
  <c r="D445" i="4"/>
  <c r="C445" i="4"/>
  <c r="B445" i="4"/>
  <c r="A445" i="4"/>
  <c r="D444" i="4"/>
  <c r="C444" i="4"/>
  <c r="B444" i="4"/>
  <c r="A444" i="4"/>
  <c r="D443" i="4"/>
  <c r="C443" i="4"/>
  <c r="B443" i="4"/>
  <c r="A443" i="4"/>
  <c r="D442" i="4"/>
  <c r="C442" i="4"/>
  <c r="B442" i="4"/>
  <c r="A442" i="4"/>
  <c r="D441" i="4"/>
  <c r="C441" i="4"/>
  <c r="B441" i="4"/>
  <c r="A441" i="4"/>
  <c r="D440" i="4"/>
  <c r="C440" i="4"/>
  <c r="B440" i="4"/>
  <c r="A440" i="4"/>
  <c r="D439" i="4"/>
  <c r="C439" i="4"/>
  <c r="B439" i="4"/>
  <c r="A439" i="4"/>
  <c r="D438" i="4"/>
  <c r="C438" i="4"/>
  <c r="B438" i="4"/>
  <c r="A438" i="4"/>
  <c r="D437" i="4"/>
  <c r="C437" i="4"/>
  <c r="B437" i="4"/>
  <c r="A437" i="4"/>
  <c r="D436" i="4"/>
  <c r="C436" i="4"/>
  <c r="B436" i="4"/>
  <c r="A436" i="4"/>
  <c r="D435" i="4"/>
  <c r="C435" i="4"/>
  <c r="B435" i="4"/>
  <c r="A435" i="4"/>
  <c r="D434" i="4"/>
  <c r="C434" i="4"/>
  <c r="B434" i="4"/>
  <c r="A434" i="4"/>
  <c r="D433" i="4"/>
  <c r="C433" i="4"/>
  <c r="B433" i="4"/>
  <c r="A433" i="4"/>
  <c r="D432" i="4"/>
  <c r="C432" i="4"/>
  <c r="B432" i="4"/>
  <c r="A432" i="4"/>
  <c r="D431" i="4"/>
  <c r="C431" i="4"/>
  <c r="B431" i="4"/>
  <c r="A431" i="4"/>
  <c r="D430" i="4"/>
  <c r="C430" i="4"/>
  <c r="B430" i="4"/>
  <c r="A430" i="4"/>
  <c r="D429" i="4"/>
  <c r="C429" i="4"/>
  <c r="B429" i="4"/>
  <c r="A429" i="4"/>
  <c r="D428" i="4"/>
  <c r="C428" i="4"/>
  <c r="B428" i="4"/>
  <c r="A428" i="4"/>
  <c r="D427" i="4"/>
  <c r="C427" i="4"/>
  <c r="B427" i="4"/>
  <c r="A427" i="4"/>
  <c r="D426" i="4"/>
  <c r="C426" i="4"/>
  <c r="B426" i="4"/>
  <c r="A426" i="4"/>
  <c r="D425" i="4"/>
  <c r="C425" i="4"/>
  <c r="B425" i="4"/>
  <c r="A425" i="4"/>
  <c r="D424" i="4"/>
  <c r="C424" i="4"/>
  <c r="B424" i="4"/>
  <c r="A424" i="4"/>
  <c r="D423" i="4"/>
  <c r="C423" i="4"/>
  <c r="B423" i="4"/>
  <c r="A423" i="4"/>
  <c r="D422" i="4"/>
  <c r="C422" i="4"/>
  <c r="B422" i="4"/>
  <c r="A422" i="4"/>
  <c r="D421" i="4"/>
  <c r="C421" i="4"/>
  <c r="B421" i="4"/>
  <c r="A421" i="4"/>
  <c r="D420" i="4"/>
  <c r="C420" i="4"/>
  <c r="B420" i="4"/>
  <c r="A420" i="4"/>
  <c r="D419" i="4"/>
  <c r="C419" i="4"/>
  <c r="B419" i="4"/>
  <c r="A419" i="4"/>
  <c r="D418" i="4"/>
  <c r="C418" i="4"/>
  <c r="B418" i="4"/>
  <c r="A418" i="4"/>
  <c r="D417" i="4"/>
  <c r="C417" i="4"/>
  <c r="B417" i="4"/>
  <c r="A417" i="4"/>
  <c r="D416" i="4"/>
  <c r="C416" i="4"/>
  <c r="B416" i="4"/>
  <c r="A416" i="4"/>
  <c r="D415" i="4"/>
  <c r="C415" i="4"/>
  <c r="B415" i="4"/>
  <c r="A415" i="4"/>
  <c r="D414" i="4"/>
  <c r="C414" i="4"/>
  <c r="B414" i="4"/>
  <c r="A414" i="4"/>
  <c r="D413" i="4"/>
  <c r="C413" i="4"/>
  <c r="B413" i="4"/>
  <c r="A413" i="4"/>
  <c r="D412" i="4"/>
  <c r="C412" i="4"/>
  <c r="B412" i="4"/>
  <c r="A412" i="4"/>
  <c r="D411" i="4"/>
  <c r="C411" i="4"/>
  <c r="B411" i="4"/>
  <c r="A411" i="4"/>
  <c r="D410" i="4"/>
  <c r="C410" i="4"/>
  <c r="B410" i="4"/>
  <c r="A410" i="4"/>
  <c r="D409" i="4"/>
  <c r="C409" i="4"/>
  <c r="B409" i="4"/>
  <c r="A409" i="4"/>
  <c r="D408" i="4"/>
  <c r="C408" i="4"/>
  <c r="B408" i="4"/>
  <c r="A408" i="4"/>
  <c r="D407" i="4"/>
  <c r="C407" i="4"/>
  <c r="B407" i="4"/>
  <c r="A407" i="4"/>
  <c r="D406" i="4"/>
  <c r="C406" i="4"/>
  <c r="B406" i="4"/>
  <c r="A406" i="4"/>
  <c r="D405" i="4"/>
  <c r="C405" i="4"/>
  <c r="B405" i="4"/>
  <c r="A405" i="4"/>
  <c r="D404" i="4"/>
  <c r="C404" i="4"/>
  <c r="B404" i="4"/>
  <c r="A404" i="4"/>
  <c r="D403" i="4"/>
  <c r="C403" i="4"/>
  <c r="B403" i="4"/>
  <c r="A403" i="4"/>
  <c r="D402" i="4"/>
  <c r="C402" i="4"/>
  <c r="B402" i="4"/>
  <c r="A402" i="4"/>
  <c r="D401" i="4"/>
  <c r="C401" i="4"/>
  <c r="B401" i="4"/>
  <c r="A401" i="4"/>
  <c r="D400" i="4"/>
  <c r="C400" i="4"/>
  <c r="B400" i="4"/>
  <c r="A400" i="4"/>
  <c r="D399" i="4"/>
  <c r="C399" i="4"/>
  <c r="B399" i="4"/>
  <c r="A399" i="4"/>
  <c r="D398" i="4"/>
  <c r="C398" i="4"/>
  <c r="B398" i="4"/>
  <c r="A398" i="4"/>
  <c r="D397" i="4"/>
  <c r="C397" i="4"/>
  <c r="B397" i="4"/>
  <c r="A397" i="4"/>
  <c r="D396" i="4"/>
  <c r="C396" i="4"/>
  <c r="B396" i="4"/>
  <c r="A396" i="4"/>
  <c r="D395" i="4"/>
  <c r="C395" i="4"/>
  <c r="B395" i="4"/>
  <c r="A395" i="4"/>
  <c r="D394" i="4"/>
  <c r="C394" i="4"/>
  <c r="B394" i="4"/>
  <c r="A394" i="4"/>
  <c r="D393" i="4"/>
  <c r="C393" i="4"/>
  <c r="B393" i="4"/>
  <c r="A393" i="4"/>
  <c r="D392" i="4"/>
  <c r="E392" i="4" s="1"/>
  <c r="C392" i="4"/>
  <c r="B392" i="4"/>
  <c r="A392" i="4"/>
  <c r="D391" i="4"/>
  <c r="C391" i="4"/>
  <c r="B391" i="4"/>
  <c r="A391" i="4"/>
  <c r="D390" i="4"/>
  <c r="C390" i="4"/>
  <c r="B390" i="4"/>
  <c r="A390" i="4"/>
  <c r="D389" i="4"/>
  <c r="C389" i="4"/>
  <c r="B389" i="4"/>
  <c r="A389" i="4"/>
  <c r="D388" i="4"/>
  <c r="C388" i="4"/>
  <c r="B388" i="4"/>
  <c r="A388" i="4"/>
  <c r="D387" i="4"/>
  <c r="C387" i="4"/>
  <c r="B387" i="4"/>
  <c r="A387" i="4"/>
  <c r="D386" i="4"/>
  <c r="C386" i="4"/>
  <c r="B386" i="4"/>
  <c r="A386" i="4"/>
  <c r="D385" i="4"/>
  <c r="C385" i="4"/>
  <c r="B385" i="4"/>
  <c r="A385" i="4"/>
  <c r="D384" i="4"/>
  <c r="C384" i="4"/>
  <c r="B384" i="4"/>
  <c r="A384" i="4"/>
  <c r="D383" i="4"/>
  <c r="C383" i="4"/>
  <c r="B383" i="4"/>
  <c r="A383" i="4"/>
  <c r="D382" i="4"/>
  <c r="C382" i="4"/>
  <c r="B382" i="4"/>
  <c r="A382" i="4"/>
  <c r="D381" i="4"/>
  <c r="C381" i="4"/>
  <c r="B381" i="4"/>
  <c r="A381" i="4"/>
  <c r="D380" i="4"/>
  <c r="C380" i="4"/>
  <c r="B380" i="4"/>
  <c r="A380" i="4"/>
  <c r="D379" i="4"/>
  <c r="C379" i="4"/>
  <c r="B379" i="4"/>
  <c r="A379" i="4"/>
  <c r="D378" i="4"/>
  <c r="C378" i="4"/>
  <c r="B378" i="4"/>
  <c r="A378" i="4"/>
  <c r="D377" i="4"/>
  <c r="C377" i="4"/>
  <c r="B377" i="4"/>
  <c r="A377" i="4"/>
  <c r="D376" i="4"/>
  <c r="C376" i="4"/>
  <c r="B376" i="4"/>
  <c r="A376" i="4"/>
  <c r="D375" i="4"/>
  <c r="C375" i="4"/>
  <c r="B375" i="4"/>
  <c r="A375" i="4"/>
  <c r="D374" i="4"/>
  <c r="C374" i="4"/>
  <c r="B374" i="4"/>
  <c r="A374" i="4"/>
  <c r="D373" i="4"/>
  <c r="C373" i="4"/>
  <c r="B373" i="4"/>
  <c r="A373" i="4"/>
  <c r="D372" i="4"/>
  <c r="C372" i="4"/>
  <c r="B372" i="4"/>
  <c r="A372" i="4"/>
  <c r="D371" i="4"/>
  <c r="C371" i="4"/>
  <c r="B371" i="4"/>
  <c r="A371" i="4"/>
  <c r="D370" i="4"/>
  <c r="C370" i="4"/>
  <c r="B370" i="4"/>
  <c r="A370" i="4"/>
  <c r="D369" i="4"/>
  <c r="C369" i="4"/>
  <c r="B369" i="4"/>
  <c r="A369" i="4"/>
  <c r="D368" i="4"/>
  <c r="C368" i="4"/>
  <c r="B368" i="4"/>
  <c r="A368" i="4"/>
  <c r="D367" i="4"/>
  <c r="C367" i="4"/>
  <c r="B367" i="4"/>
  <c r="A367" i="4"/>
  <c r="D366" i="4"/>
  <c r="C366" i="4"/>
  <c r="B366" i="4"/>
  <c r="A366" i="4"/>
  <c r="D365" i="4"/>
  <c r="C365" i="4"/>
  <c r="B365" i="4"/>
  <c r="A365" i="4"/>
  <c r="D364" i="4"/>
  <c r="C364" i="4"/>
  <c r="B364" i="4"/>
  <c r="A364" i="4"/>
  <c r="D363" i="4"/>
  <c r="C363" i="4"/>
  <c r="B363" i="4"/>
  <c r="A363" i="4"/>
  <c r="D362" i="4"/>
  <c r="C362" i="4"/>
  <c r="B362" i="4"/>
  <c r="A362" i="4"/>
  <c r="D361" i="4"/>
  <c r="C361" i="4"/>
  <c r="B361" i="4"/>
  <c r="A361" i="4"/>
  <c r="D360" i="4"/>
  <c r="C360" i="4"/>
  <c r="B360" i="4"/>
  <c r="A360" i="4"/>
  <c r="D359" i="4"/>
  <c r="C359" i="4"/>
  <c r="B359" i="4"/>
  <c r="A359" i="4"/>
  <c r="D358" i="4"/>
  <c r="C358" i="4"/>
  <c r="B358" i="4"/>
  <c r="A358" i="4"/>
  <c r="D357" i="4"/>
  <c r="C357" i="4"/>
  <c r="B357" i="4"/>
  <c r="A357" i="4"/>
  <c r="D356" i="4"/>
  <c r="C356" i="4"/>
  <c r="B356" i="4"/>
  <c r="A356" i="4"/>
  <c r="D355" i="4"/>
  <c r="C355" i="4"/>
  <c r="B355" i="4"/>
  <c r="A355" i="4"/>
  <c r="D354" i="4"/>
  <c r="C354" i="4"/>
  <c r="B354" i="4"/>
  <c r="A354" i="4"/>
  <c r="D353" i="4"/>
  <c r="C353" i="4"/>
  <c r="B353" i="4"/>
  <c r="A353" i="4"/>
  <c r="D352" i="4"/>
  <c r="C352" i="4"/>
  <c r="B352" i="4"/>
  <c r="A352" i="4"/>
  <c r="D351" i="4"/>
  <c r="C351" i="4"/>
  <c r="B351" i="4"/>
  <c r="A351" i="4"/>
  <c r="D350" i="4"/>
  <c r="C350" i="4"/>
  <c r="B350" i="4"/>
  <c r="A350" i="4"/>
  <c r="D349" i="4"/>
  <c r="C349" i="4"/>
  <c r="B349" i="4"/>
  <c r="A349" i="4"/>
  <c r="D348" i="4"/>
  <c r="C348" i="4"/>
  <c r="B348" i="4"/>
  <c r="A348" i="4"/>
  <c r="D347" i="4"/>
  <c r="C347" i="4"/>
  <c r="B347" i="4"/>
  <c r="A347" i="4"/>
  <c r="D346" i="4"/>
  <c r="C346" i="4"/>
  <c r="B346" i="4"/>
  <c r="A346" i="4"/>
  <c r="D345" i="4"/>
  <c r="E345" i="4" s="1"/>
  <c r="C345" i="4"/>
  <c r="B345" i="4"/>
  <c r="A345" i="4"/>
  <c r="D344" i="4"/>
  <c r="C344" i="4"/>
  <c r="B344" i="4"/>
  <c r="A344" i="4"/>
  <c r="D343" i="4"/>
  <c r="C343" i="4"/>
  <c r="B343" i="4"/>
  <c r="A343" i="4"/>
  <c r="D342" i="4"/>
  <c r="C342" i="4"/>
  <c r="B342" i="4"/>
  <c r="A342" i="4"/>
  <c r="D341" i="4"/>
  <c r="C341" i="4"/>
  <c r="B341" i="4"/>
  <c r="A341" i="4"/>
  <c r="D340" i="4"/>
  <c r="C340" i="4"/>
  <c r="B340" i="4"/>
  <c r="A340" i="4"/>
  <c r="D339" i="4"/>
  <c r="C339" i="4"/>
  <c r="B339" i="4"/>
  <c r="A339" i="4"/>
  <c r="D338" i="4"/>
  <c r="C338" i="4"/>
  <c r="B338" i="4"/>
  <c r="A338" i="4"/>
  <c r="D337" i="4"/>
  <c r="C337" i="4"/>
  <c r="B337" i="4"/>
  <c r="A337" i="4"/>
  <c r="D336" i="4"/>
  <c r="C336" i="4"/>
  <c r="B336" i="4"/>
  <c r="A336" i="4"/>
  <c r="D335" i="4"/>
  <c r="C335" i="4"/>
  <c r="B335" i="4"/>
  <c r="A335" i="4"/>
  <c r="D334" i="4"/>
  <c r="C334" i="4"/>
  <c r="B334" i="4"/>
  <c r="A334" i="4"/>
  <c r="D333" i="4"/>
  <c r="C333" i="4"/>
  <c r="B333" i="4"/>
  <c r="A333" i="4"/>
  <c r="D332" i="4"/>
  <c r="C332" i="4"/>
  <c r="B332" i="4"/>
  <c r="A332" i="4"/>
  <c r="D331" i="4"/>
  <c r="C331" i="4"/>
  <c r="B331" i="4"/>
  <c r="A331" i="4"/>
  <c r="D330" i="4"/>
  <c r="C330" i="4"/>
  <c r="B330" i="4"/>
  <c r="A330" i="4"/>
  <c r="D329" i="4"/>
  <c r="C329" i="4"/>
  <c r="B329" i="4"/>
  <c r="A329" i="4"/>
  <c r="D328" i="4"/>
  <c r="C328" i="4"/>
  <c r="B328" i="4"/>
  <c r="A328" i="4"/>
  <c r="D327" i="4"/>
  <c r="C327" i="4"/>
  <c r="B327" i="4"/>
  <c r="A327" i="4"/>
  <c r="D326" i="4"/>
  <c r="C326" i="4"/>
  <c r="B326" i="4"/>
  <c r="A326" i="4"/>
  <c r="D325" i="4"/>
  <c r="C325" i="4"/>
  <c r="B325" i="4"/>
  <c r="A325" i="4"/>
  <c r="D324" i="4"/>
  <c r="C324" i="4"/>
  <c r="B324" i="4"/>
  <c r="A324" i="4"/>
  <c r="D323" i="4"/>
  <c r="C323" i="4"/>
  <c r="B323" i="4"/>
  <c r="A323" i="4"/>
  <c r="D322" i="4"/>
  <c r="C322" i="4"/>
  <c r="B322" i="4"/>
  <c r="A322" i="4"/>
  <c r="D321" i="4"/>
  <c r="C321" i="4"/>
  <c r="B321" i="4"/>
  <c r="A321" i="4"/>
  <c r="D320" i="4"/>
  <c r="C320" i="4"/>
  <c r="B320" i="4"/>
  <c r="A320" i="4"/>
  <c r="D319" i="4"/>
  <c r="C319" i="4"/>
  <c r="B319" i="4"/>
  <c r="A319" i="4"/>
  <c r="D318" i="4"/>
  <c r="C318" i="4"/>
  <c r="B318" i="4"/>
  <c r="A318" i="4"/>
  <c r="D317" i="4"/>
  <c r="C317" i="4"/>
  <c r="B317" i="4"/>
  <c r="A317" i="4"/>
  <c r="D316" i="4"/>
  <c r="C316" i="4"/>
  <c r="B316" i="4"/>
  <c r="A316" i="4"/>
  <c r="D315" i="4"/>
  <c r="C315" i="4"/>
  <c r="B315" i="4"/>
  <c r="A315" i="4"/>
  <c r="D314" i="4"/>
  <c r="C314" i="4"/>
  <c r="B314" i="4"/>
  <c r="A314" i="4"/>
  <c r="D313" i="4"/>
  <c r="C313" i="4"/>
  <c r="B313" i="4"/>
  <c r="A313" i="4"/>
  <c r="D312" i="4"/>
  <c r="C312" i="4"/>
  <c r="B312" i="4"/>
  <c r="A312" i="4"/>
  <c r="D311" i="4"/>
  <c r="C311" i="4"/>
  <c r="B311" i="4"/>
  <c r="A311" i="4"/>
  <c r="D310" i="4"/>
  <c r="C310" i="4"/>
  <c r="B310" i="4"/>
  <c r="A310" i="4"/>
  <c r="D309" i="4"/>
  <c r="C309" i="4"/>
  <c r="B309" i="4"/>
  <c r="A309" i="4"/>
  <c r="D308" i="4"/>
  <c r="C308" i="4"/>
  <c r="B308" i="4"/>
  <c r="A308" i="4"/>
  <c r="D307" i="4"/>
  <c r="C307" i="4"/>
  <c r="B307" i="4"/>
  <c r="A307" i="4"/>
  <c r="D306" i="4"/>
  <c r="C306" i="4"/>
  <c r="B306" i="4"/>
  <c r="A306" i="4"/>
  <c r="D305" i="4"/>
  <c r="C305" i="4"/>
  <c r="B305" i="4"/>
  <c r="A305" i="4"/>
  <c r="D304" i="4"/>
  <c r="C304" i="4"/>
  <c r="B304" i="4"/>
  <c r="A304" i="4"/>
  <c r="D303" i="4"/>
  <c r="C303" i="4"/>
  <c r="B303" i="4"/>
  <c r="A303" i="4"/>
  <c r="D302" i="4"/>
  <c r="C302" i="4"/>
  <c r="B302" i="4"/>
  <c r="A302" i="4"/>
  <c r="D301" i="4"/>
  <c r="C301" i="4"/>
  <c r="B301" i="4"/>
  <c r="A301" i="4"/>
  <c r="D300" i="4"/>
  <c r="C300" i="4"/>
  <c r="B300" i="4"/>
  <c r="A300" i="4"/>
  <c r="D299" i="4"/>
  <c r="C299" i="4"/>
  <c r="B299" i="4"/>
  <c r="A299" i="4"/>
  <c r="D298" i="4"/>
  <c r="C298" i="4"/>
  <c r="B298" i="4"/>
  <c r="A298" i="4"/>
  <c r="D297" i="4"/>
  <c r="C297" i="4"/>
  <c r="B297" i="4"/>
  <c r="A297" i="4"/>
  <c r="D296" i="4"/>
  <c r="C296" i="4"/>
  <c r="B296" i="4"/>
  <c r="A296" i="4"/>
  <c r="D295" i="4"/>
  <c r="C295" i="4"/>
  <c r="B295" i="4"/>
  <c r="A295" i="4"/>
  <c r="D294" i="4"/>
  <c r="C294" i="4"/>
  <c r="B294" i="4"/>
  <c r="A294" i="4"/>
  <c r="D293" i="4"/>
  <c r="C293" i="4"/>
  <c r="B293" i="4"/>
  <c r="A293" i="4"/>
  <c r="D292" i="4"/>
  <c r="C292" i="4"/>
  <c r="B292" i="4"/>
  <c r="A292" i="4"/>
  <c r="D291" i="4"/>
  <c r="C291" i="4"/>
  <c r="B291" i="4"/>
  <c r="A291" i="4"/>
  <c r="D290" i="4"/>
  <c r="C290" i="4"/>
  <c r="B290" i="4"/>
  <c r="A290" i="4"/>
  <c r="D289" i="4"/>
  <c r="C289" i="4"/>
  <c r="B289" i="4"/>
  <c r="A289" i="4"/>
  <c r="D288" i="4"/>
  <c r="C288" i="4"/>
  <c r="B288" i="4"/>
  <c r="A288" i="4"/>
  <c r="D287" i="4"/>
  <c r="C287" i="4"/>
  <c r="B287" i="4"/>
  <c r="A287" i="4"/>
  <c r="D286" i="4"/>
  <c r="C286" i="4"/>
  <c r="B286" i="4"/>
  <c r="F286" i="4" s="1" a="1"/>
  <c r="F286" i="4" s="1"/>
  <c r="A286" i="4"/>
  <c r="D285" i="4"/>
  <c r="C285" i="4"/>
  <c r="B285" i="4"/>
  <c r="A285" i="4"/>
  <c r="D284" i="4"/>
  <c r="C284" i="4"/>
  <c r="B284" i="4"/>
  <c r="A284" i="4"/>
  <c r="D283" i="4"/>
  <c r="C283" i="4"/>
  <c r="B283" i="4"/>
  <c r="A283" i="4"/>
  <c r="D282" i="4"/>
  <c r="C282" i="4"/>
  <c r="B282" i="4"/>
  <c r="A282" i="4"/>
  <c r="D281" i="4"/>
  <c r="C281" i="4"/>
  <c r="B281" i="4"/>
  <c r="A281" i="4"/>
  <c r="D280" i="4"/>
  <c r="C280" i="4"/>
  <c r="B280" i="4"/>
  <c r="A280" i="4"/>
  <c r="D279" i="4"/>
  <c r="C279" i="4"/>
  <c r="B279" i="4"/>
  <c r="A279" i="4"/>
  <c r="D278" i="4"/>
  <c r="C278" i="4"/>
  <c r="B278" i="4"/>
  <c r="A278" i="4"/>
  <c r="D277" i="4"/>
  <c r="C277" i="4"/>
  <c r="B277" i="4"/>
  <c r="A277" i="4"/>
  <c r="D276" i="4"/>
  <c r="C276" i="4"/>
  <c r="B276" i="4"/>
  <c r="A276" i="4"/>
  <c r="D275" i="4"/>
  <c r="C275" i="4"/>
  <c r="B275" i="4"/>
  <c r="A275" i="4"/>
  <c r="D274" i="4"/>
  <c r="C274" i="4"/>
  <c r="B274" i="4"/>
  <c r="A274" i="4"/>
  <c r="D273" i="4"/>
  <c r="C273" i="4"/>
  <c r="B273" i="4"/>
  <c r="A273" i="4"/>
  <c r="D272" i="4"/>
  <c r="C272" i="4"/>
  <c r="B272" i="4"/>
  <c r="A272" i="4"/>
  <c r="D271" i="4"/>
  <c r="C271" i="4"/>
  <c r="B271" i="4"/>
  <c r="A271" i="4"/>
  <c r="D270" i="4"/>
  <c r="C270" i="4"/>
  <c r="B270" i="4"/>
  <c r="A270" i="4"/>
  <c r="D269" i="4"/>
  <c r="C269" i="4"/>
  <c r="B269" i="4"/>
  <c r="A269" i="4"/>
  <c r="D268" i="4"/>
  <c r="C268" i="4"/>
  <c r="B268" i="4"/>
  <c r="A268" i="4"/>
  <c r="D267" i="4"/>
  <c r="C267" i="4"/>
  <c r="B267" i="4"/>
  <c r="A267" i="4"/>
  <c r="D266" i="4"/>
  <c r="C266" i="4"/>
  <c r="B266" i="4"/>
  <c r="A266" i="4"/>
  <c r="D265" i="4"/>
  <c r="C265" i="4"/>
  <c r="B265" i="4"/>
  <c r="A265" i="4"/>
  <c r="D264" i="4"/>
  <c r="C264" i="4"/>
  <c r="B264" i="4"/>
  <c r="A264" i="4"/>
  <c r="D263" i="4"/>
  <c r="C263" i="4"/>
  <c r="B263" i="4"/>
  <c r="A263" i="4"/>
  <c r="D262" i="4"/>
  <c r="C262" i="4"/>
  <c r="B262" i="4"/>
  <c r="A262" i="4"/>
  <c r="D261" i="4"/>
  <c r="C261" i="4"/>
  <c r="B261" i="4"/>
  <c r="A261" i="4"/>
  <c r="D260" i="4"/>
  <c r="C260" i="4"/>
  <c r="B260" i="4"/>
  <c r="A260" i="4"/>
  <c r="D259" i="4"/>
  <c r="C259" i="4"/>
  <c r="B259" i="4"/>
  <c r="A259" i="4"/>
  <c r="D258" i="4"/>
  <c r="C258" i="4"/>
  <c r="B258" i="4"/>
  <c r="A258" i="4"/>
  <c r="D257" i="4"/>
  <c r="C257" i="4"/>
  <c r="B257" i="4"/>
  <c r="A257" i="4"/>
  <c r="D256" i="4"/>
  <c r="C256" i="4"/>
  <c r="B256" i="4"/>
  <c r="A256" i="4"/>
  <c r="D255" i="4"/>
  <c r="C255" i="4"/>
  <c r="B255" i="4"/>
  <c r="A255" i="4"/>
  <c r="D254" i="4"/>
  <c r="C254" i="4"/>
  <c r="B254" i="4"/>
  <c r="A254" i="4"/>
  <c r="D253" i="4"/>
  <c r="C253" i="4"/>
  <c r="B253" i="4"/>
  <c r="A253" i="4"/>
  <c r="D252" i="4"/>
  <c r="C252" i="4"/>
  <c r="B252" i="4"/>
  <c r="A252" i="4"/>
  <c r="D251" i="4"/>
  <c r="C251" i="4"/>
  <c r="B251" i="4"/>
  <c r="A251" i="4"/>
  <c r="D250" i="4"/>
  <c r="E250" i="4" s="1"/>
  <c r="C250" i="4"/>
  <c r="B250" i="4"/>
  <c r="A250" i="4"/>
  <c r="D249" i="4"/>
  <c r="C249" i="4"/>
  <c r="B249" i="4"/>
  <c r="A249" i="4"/>
  <c r="D248" i="4"/>
  <c r="C248" i="4"/>
  <c r="B248" i="4"/>
  <c r="A248" i="4"/>
  <c r="D247" i="4"/>
  <c r="C247" i="4"/>
  <c r="B247" i="4"/>
  <c r="A247" i="4"/>
  <c r="D246" i="4"/>
  <c r="C246" i="4"/>
  <c r="B246" i="4"/>
  <c r="A246" i="4"/>
  <c r="D245" i="4"/>
  <c r="C245" i="4"/>
  <c r="B245" i="4"/>
  <c r="A245" i="4"/>
  <c r="D244" i="4"/>
  <c r="C244" i="4"/>
  <c r="B244" i="4"/>
  <c r="A244" i="4"/>
  <c r="D243" i="4"/>
  <c r="C243" i="4"/>
  <c r="B243" i="4"/>
  <c r="A243" i="4"/>
  <c r="D242" i="4"/>
  <c r="C242" i="4"/>
  <c r="B242" i="4"/>
  <c r="A242" i="4"/>
  <c r="D241" i="4"/>
  <c r="C241" i="4"/>
  <c r="B241" i="4"/>
  <c r="A241" i="4"/>
  <c r="D240" i="4"/>
  <c r="C240" i="4"/>
  <c r="B240" i="4"/>
  <c r="A240" i="4"/>
  <c r="D239" i="4"/>
  <c r="C239" i="4"/>
  <c r="B239" i="4"/>
  <c r="A239" i="4"/>
  <c r="D238" i="4"/>
  <c r="C238" i="4"/>
  <c r="B238" i="4"/>
  <c r="A238" i="4"/>
  <c r="D237" i="4"/>
  <c r="C237" i="4"/>
  <c r="B237" i="4"/>
  <c r="A237" i="4"/>
  <c r="D236" i="4"/>
  <c r="C236" i="4"/>
  <c r="B236" i="4"/>
  <c r="A236" i="4"/>
  <c r="D235" i="4"/>
  <c r="C235" i="4"/>
  <c r="B235" i="4"/>
  <c r="A235" i="4"/>
  <c r="D234" i="4"/>
  <c r="C234" i="4"/>
  <c r="B234" i="4"/>
  <c r="A234" i="4"/>
  <c r="D233" i="4"/>
  <c r="C233" i="4"/>
  <c r="B233" i="4"/>
  <c r="A233" i="4"/>
  <c r="D232" i="4"/>
  <c r="C232" i="4"/>
  <c r="B232" i="4"/>
  <c r="A232" i="4"/>
  <c r="D231" i="4"/>
  <c r="C231" i="4"/>
  <c r="B231" i="4"/>
  <c r="A231" i="4"/>
  <c r="D230" i="4"/>
  <c r="C230" i="4"/>
  <c r="B230" i="4"/>
  <c r="A230" i="4"/>
  <c r="D229" i="4"/>
  <c r="C229" i="4"/>
  <c r="B229" i="4"/>
  <c r="A229" i="4"/>
  <c r="D228" i="4"/>
  <c r="C228" i="4"/>
  <c r="B228" i="4"/>
  <c r="A228" i="4"/>
  <c r="D227" i="4"/>
  <c r="C227" i="4"/>
  <c r="B227" i="4"/>
  <c r="A227" i="4"/>
  <c r="D226" i="4"/>
  <c r="C226" i="4"/>
  <c r="B226" i="4"/>
  <c r="A226" i="4"/>
  <c r="D225" i="4"/>
  <c r="C225" i="4"/>
  <c r="B225" i="4"/>
  <c r="A225" i="4"/>
  <c r="D224" i="4"/>
  <c r="C224" i="4"/>
  <c r="B224" i="4"/>
  <c r="A224" i="4"/>
  <c r="D223" i="4"/>
  <c r="C223" i="4"/>
  <c r="B223" i="4"/>
  <c r="A223" i="4"/>
  <c r="D222" i="4"/>
  <c r="C222" i="4"/>
  <c r="B222" i="4"/>
  <c r="A222" i="4"/>
  <c r="D221" i="4"/>
  <c r="C221" i="4"/>
  <c r="B221" i="4"/>
  <c r="A221" i="4"/>
  <c r="D220" i="4"/>
  <c r="C220" i="4"/>
  <c r="B220" i="4"/>
  <c r="A220" i="4"/>
  <c r="D219" i="4"/>
  <c r="C219" i="4"/>
  <c r="B219" i="4"/>
  <c r="F219" i="4" s="1" a="1"/>
  <c r="F219" i="4" s="1"/>
  <c r="A219" i="4"/>
  <c r="D218" i="4"/>
  <c r="C218" i="4"/>
  <c r="B218" i="4"/>
  <c r="A218" i="4"/>
  <c r="D217" i="4"/>
  <c r="C217" i="4"/>
  <c r="B217" i="4"/>
  <c r="A217" i="4"/>
  <c r="D216" i="4"/>
  <c r="C216" i="4"/>
  <c r="B216" i="4"/>
  <c r="A216" i="4"/>
  <c r="D215" i="4"/>
  <c r="C215" i="4"/>
  <c r="B215" i="4"/>
  <c r="A215" i="4"/>
  <c r="D214" i="4"/>
  <c r="C214" i="4"/>
  <c r="B214" i="4"/>
  <c r="A214" i="4"/>
  <c r="D213" i="4"/>
  <c r="C213" i="4"/>
  <c r="B213" i="4"/>
  <c r="A213" i="4"/>
  <c r="D212" i="4"/>
  <c r="C212" i="4"/>
  <c r="B212" i="4"/>
  <c r="A212" i="4"/>
  <c r="D211" i="4"/>
  <c r="C211" i="4"/>
  <c r="B211" i="4"/>
  <c r="A211" i="4"/>
  <c r="D210" i="4"/>
  <c r="C210" i="4"/>
  <c r="B210" i="4"/>
  <c r="A210" i="4"/>
  <c r="D209" i="4"/>
  <c r="C209" i="4"/>
  <c r="B209" i="4"/>
  <c r="A209" i="4"/>
  <c r="D208" i="4"/>
  <c r="C208" i="4"/>
  <c r="B208" i="4"/>
  <c r="A208" i="4"/>
  <c r="D207" i="4"/>
  <c r="C207" i="4"/>
  <c r="B207" i="4"/>
  <c r="A207" i="4"/>
  <c r="D206" i="4"/>
  <c r="C206" i="4"/>
  <c r="B206" i="4"/>
  <c r="A206" i="4"/>
  <c r="D205" i="4"/>
  <c r="C205" i="4"/>
  <c r="B205" i="4"/>
  <c r="A205" i="4"/>
  <c r="D204" i="4"/>
  <c r="C204" i="4"/>
  <c r="B204" i="4"/>
  <c r="A204" i="4"/>
  <c r="D203" i="4"/>
  <c r="C203" i="4"/>
  <c r="B203" i="4"/>
  <c r="A203" i="4"/>
  <c r="D202" i="4"/>
  <c r="C202" i="4"/>
  <c r="B202" i="4"/>
  <c r="A202" i="4"/>
  <c r="D201" i="4"/>
  <c r="C201" i="4"/>
  <c r="B201" i="4"/>
  <c r="A201" i="4"/>
  <c r="D200" i="4"/>
  <c r="C200" i="4"/>
  <c r="B200" i="4"/>
  <c r="A200" i="4"/>
  <c r="D199" i="4"/>
  <c r="C199" i="4"/>
  <c r="B199" i="4"/>
  <c r="A199" i="4"/>
  <c r="D198" i="4"/>
  <c r="C198" i="4"/>
  <c r="B198" i="4"/>
  <c r="A198" i="4"/>
  <c r="D197" i="4"/>
  <c r="C197" i="4"/>
  <c r="B197" i="4"/>
  <c r="A197" i="4"/>
  <c r="D196" i="4"/>
  <c r="C196" i="4"/>
  <c r="B196" i="4"/>
  <c r="A196" i="4"/>
  <c r="D195" i="4"/>
  <c r="C195" i="4"/>
  <c r="B195" i="4"/>
  <c r="A195" i="4"/>
  <c r="D194" i="4"/>
  <c r="C194" i="4"/>
  <c r="B194" i="4"/>
  <c r="A194" i="4"/>
  <c r="D193" i="4"/>
  <c r="C193" i="4"/>
  <c r="B193" i="4"/>
  <c r="A193" i="4"/>
  <c r="D192" i="4"/>
  <c r="C192" i="4"/>
  <c r="B192" i="4"/>
  <c r="A192" i="4"/>
  <c r="D191" i="4"/>
  <c r="C191" i="4"/>
  <c r="B191" i="4"/>
  <c r="A191" i="4"/>
  <c r="D190" i="4"/>
  <c r="C190" i="4"/>
  <c r="B190" i="4"/>
  <c r="A190" i="4"/>
  <c r="D189" i="4"/>
  <c r="C189" i="4"/>
  <c r="B189" i="4"/>
  <c r="A189" i="4"/>
  <c r="D188" i="4"/>
  <c r="C188" i="4"/>
  <c r="B188" i="4"/>
  <c r="A188" i="4"/>
  <c r="D187" i="4"/>
  <c r="C187" i="4"/>
  <c r="B187" i="4"/>
  <c r="A187" i="4"/>
  <c r="D186" i="4"/>
  <c r="C186" i="4"/>
  <c r="B186" i="4"/>
  <c r="A186" i="4"/>
  <c r="D185" i="4"/>
  <c r="E185" i="4" s="1"/>
  <c r="C185" i="4"/>
  <c r="B185" i="4"/>
  <c r="A185" i="4"/>
  <c r="D184" i="4"/>
  <c r="C184" i="4"/>
  <c r="B184" i="4"/>
  <c r="A184" i="4"/>
  <c r="D183" i="4"/>
  <c r="C183" i="4"/>
  <c r="B183" i="4"/>
  <c r="A183" i="4"/>
  <c r="D182" i="4"/>
  <c r="C182" i="4"/>
  <c r="B182" i="4"/>
  <c r="A182" i="4"/>
  <c r="D181" i="4"/>
  <c r="C181" i="4"/>
  <c r="B181" i="4"/>
  <c r="A181" i="4"/>
  <c r="D180" i="4"/>
  <c r="C180" i="4"/>
  <c r="B180" i="4"/>
  <c r="A180" i="4"/>
  <c r="D179" i="4"/>
  <c r="C179" i="4"/>
  <c r="B179" i="4"/>
  <c r="A179" i="4"/>
  <c r="D178" i="4"/>
  <c r="C178" i="4"/>
  <c r="B178" i="4"/>
  <c r="A178" i="4"/>
  <c r="D177" i="4"/>
  <c r="C177" i="4"/>
  <c r="B177" i="4"/>
  <c r="A177" i="4"/>
  <c r="D176" i="4"/>
  <c r="C176" i="4"/>
  <c r="B176" i="4"/>
  <c r="A176" i="4"/>
  <c r="D175" i="4"/>
  <c r="C175" i="4"/>
  <c r="B175" i="4"/>
  <c r="A175" i="4"/>
  <c r="D174" i="4"/>
  <c r="E174" i="4" s="1"/>
  <c r="C174" i="4"/>
  <c r="B174" i="4"/>
  <c r="A174" i="4"/>
  <c r="D173" i="4"/>
  <c r="C173" i="4"/>
  <c r="B173" i="4"/>
  <c r="A173" i="4"/>
  <c r="D172" i="4"/>
  <c r="C172" i="4"/>
  <c r="B172" i="4"/>
  <c r="A172" i="4"/>
  <c r="D171" i="4"/>
  <c r="C171" i="4"/>
  <c r="B171" i="4"/>
  <c r="A171" i="4"/>
  <c r="D170" i="4"/>
  <c r="C170" i="4"/>
  <c r="B170" i="4"/>
  <c r="A170" i="4"/>
  <c r="D169" i="4"/>
  <c r="C169" i="4"/>
  <c r="B169" i="4"/>
  <c r="A169" i="4"/>
  <c r="D168" i="4"/>
  <c r="C168" i="4"/>
  <c r="B168" i="4"/>
  <c r="A168" i="4"/>
  <c r="D167" i="4"/>
  <c r="C167" i="4"/>
  <c r="B167" i="4"/>
  <c r="F167" i="4" s="1" a="1"/>
  <c r="F167" i="4" s="1"/>
  <c r="A167" i="4"/>
  <c r="D166" i="4"/>
  <c r="C166" i="4"/>
  <c r="B166" i="4"/>
  <c r="A166" i="4"/>
  <c r="D165" i="4"/>
  <c r="C165" i="4"/>
  <c r="B165" i="4"/>
  <c r="A165" i="4"/>
  <c r="D164" i="4"/>
  <c r="C164" i="4"/>
  <c r="B164" i="4"/>
  <c r="A164" i="4"/>
  <c r="D163" i="4"/>
  <c r="C163" i="4"/>
  <c r="B163" i="4"/>
  <c r="A163" i="4"/>
  <c r="D162" i="4"/>
  <c r="C162" i="4"/>
  <c r="B162" i="4"/>
  <c r="A162" i="4"/>
  <c r="D161" i="4"/>
  <c r="C161" i="4"/>
  <c r="B161" i="4"/>
  <c r="A161" i="4"/>
  <c r="D160" i="4"/>
  <c r="E160" i="4" s="1"/>
  <c r="C160" i="4"/>
  <c r="B160" i="4"/>
  <c r="A160" i="4"/>
  <c r="D159" i="4"/>
  <c r="C159" i="4"/>
  <c r="B159" i="4"/>
  <c r="A159" i="4"/>
  <c r="D158" i="4"/>
  <c r="C158" i="4"/>
  <c r="B158" i="4"/>
  <c r="A158" i="4"/>
  <c r="D157" i="4"/>
  <c r="C157" i="4"/>
  <c r="B157" i="4"/>
  <c r="A157" i="4"/>
  <c r="D156" i="4"/>
  <c r="C156" i="4"/>
  <c r="B156" i="4"/>
  <c r="A156" i="4"/>
  <c r="D155" i="4"/>
  <c r="C155" i="4"/>
  <c r="B155" i="4"/>
  <c r="A155" i="4"/>
  <c r="D154" i="4"/>
  <c r="C154" i="4"/>
  <c r="B154" i="4"/>
  <c r="A154" i="4"/>
  <c r="D153" i="4"/>
  <c r="C153" i="4"/>
  <c r="B153" i="4"/>
  <c r="A153" i="4"/>
  <c r="D152" i="4"/>
  <c r="E152" i="4" s="1"/>
  <c r="C152" i="4"/>
  <c r="B152" i="4"/>
  <c r="A152" i="4"/>
  <c r="D151" i="4"/>
  <c r="C151" i="4"/>
  <c r="B151" i="4"/>
  <c r="A151" i="4"/>
  <c r="D150" i="4"/>
  <c r="C150" i="4"/>
  <c r="B150" i="4"/>
  <c r="A150" i="4"/>
  <c r="D149" i="4"/>
  <c r="C149" i="4"/>
  <c r="B149" i="4"/>
  <c r="F149" i="4" s="1" a="1"/>
  <c r="F149" i="4" s="1"/>
  <c r="A149" i="4"/>
  <c r="D148" i="4"/>
  <c r="C148" i="4"/>
  <c r="B148" i="4"/>
  <c r="A148" i="4"/>
  <c r="D147" i="4"/>
  <c r="C147" i="4"/>
  <c r="B147" i="4"/>
  <c r="A147" i="4"/>
  <c r="D146" i="4"/>
  <c r="C146" i="4"/>
  <c r="B146" i="4"/>
  <c r="A146" i="4"/>
  <c r="D145" i="4"/>
  <c r="C145" i="4"/>
  <c r="B145" i="4"/>
  <c r="A145" i="4"/>
  <c r="D144" i="4"/>
  <c r="E144" i="4" s="1"/>
  <c r="C144" i="4"/>
  <c r="B144" i="4"/>
  <c r="A144" i="4"/>
  <c r="D143" i="4"/>
  <c r="C143" i="4"/>
  <c r="B143" i="4"/>
  <c r="A143" i="4"/>
  <c r="D142" i="4"/>
  <c r="C142" i="4"/>
  <c r="B142" i="4"/>
  <c r="A142" i="4"/>
  <c r="D141" i="4"/>
  <c r="C141" i="4"/>
  <c r="B141" i="4"/>
  <c r="A141" i="4"/>
  <c r="D140" i="4"/>
  <c r="C140" i="4"/>
  <c r="B140" i="4"/>
  <c r="A140" i="4"/>
  <c r="D139" i="4"/>
  <c r="C139" i="4"/>
  <c r="B139" i="4"/>
  <c r="A139" i="4"/>
  <c r="D138" i="4"/>
  <c r="C138" i="4"/>
  <c r="B138" i="4"/>
  <c r="A138" i="4"/>
  <c r="D137" i="4"/>
  <c r="C137" i="4"/>
  <c r="B137" i="4"/>
  <c r="A137" i="4"/>
  <c r="D136" i="4"/>
  <c r="C136" i="4"/>
  <c r="B136" i="4"/>
  <c r="A136" i="4"/>
  <c r="D135" i="4"/>
  <c r="C135" i="4"/>
  <c r="B135" i="4"/>
  <c r="A135" i="4"/>
  <c r="D134" i="4"/>
  <c r="C134" i="4"/>
  <c r="B134" i="4"/>
  <c r="A134" i="4"/>
  <c r="D133" i="4"/>
  <c r="C133" i="4"/>
  <c r="B133" i="4"/>
  <c r="A133" i="4"/>
  <c r="D132" i="4"/>
  <c r="C132" i="4"/>
  <c r="B132" i="4"/>
  <c r="A132" i="4"/>
  <c r="D131" i="4"/>
  <c r="C131" i="4"/>
  <c r="B131" i="4"/>
  <c r="A131" i="4"/>
  <c r="D130" i="4"/>
  <c r="E130" i="4" s="1"/>
  <c r="C130" i="4"/>
  <c r="B130" i="4"/>
  <c r="A130" i="4"/>
  <c r="D129" i="4"/>
  <c r="E129" i="4" s="1"/>
  <c r="C129" i="4"/>
  <c r="B129" i="4"/>
  <c r="A129" i="4"/>
  <c r="D128" i="4"/>
  <c r="C128" i="4"/>
  <c r="B128" i="4"/>
  <c r="A128" i="4"/>
  <c r="D127" i="4"/>
  <c r="E127" i="4" s="1"/>
  <c r="C127" i="4"/>
  <c r="B127" i="4"/>
  <c r="A127" i="4"/>
  <c r="D126" i="4"/>
  <c r="C126" i="4"/>
  <c r="B126" i="4"/>
  <c r="A126" i="4"/>
  <c r="D125" i="4"/>
  <c r="E125" i="4" s="1"/>
  <c r="C125" i="4"/>
  <c r="B125" i="4"/>
  <c r="A125" i="4"/>
  <c r="D124" i="4"/>
  <c r="C124" i="4"/>
  <c r="B124" i="4"/>
  <c r="A124" i="4"/>
  <c r="D123" i="4"/>
  <c r="C123" i="4"/>
  <c r="B123" i="4"/>
  <c r="A123" i="4"/>
  <c r="D122" i="4"/>
  <c r="C122" i="4"/>
  <c r="B122" i="4"/>
  <c r="A122" i="4"/>
  <c r="D121" i="4"/>
  <c r="E121" i="4" s="1"/>
  <c r="C121" i="4"/>
  <c r="B121" i="4"/>
  <c r="A121" i="4"/>
  <c r="D120" i="4"/>
  <c r="C120" i="4"/>
  <c r="B120" i="4"/>
  <c r="A120" i="4"/>
  <c r="D119" i="4"/>
  <c r="C119" i="4"/>
  <c r="B119" i="4"/>
  <c r="A119" i="4"/>
  <c r="D118" i="4"/>
  <c r="C118" i="4"/>
  <c r="B118" i="4"/>
  <c r="A118" i="4"/>
  <c r="D117" i="4"/>
  <c r="C117" i="4"/>
  <c r="B117" i="4"/>
  <c r="A117" i="4"/>
  <c r="D116" i="4"/>
  <c r="C116" i="4"/>
  <c r="B116" i="4"/>
  <c r="A116" i="4"/>
  <c r="D115" i="4"/>
  <c r="C115" i="4"/>
  <c r="B115" i="4"/>
  <c r="A115" i="4"/>
  <c r="D114" i="4"/>
  <c r="C114" i="4"/>
  <c r="B114" i="4"/>
  <c r="A114" i="4"/>
  <c r="D113" i="4"/>
  <c r="E113" i="4" s="1"/>
  <c r="C113" i="4"/>
  <c r="B113" i="4"/>
  <c r="A113" i="4"/>
  <c r="D112" i="4"/>
  <c r="C112" i="4"/>
  <c r="B112" i="4"/>
  <c r="A112" i="4"/>
  <c r="D111" i="4"/>
  <c r="E111" i="4" s="1"/>
  <c r="C111" i="4"/>
  <c r="B111" i="4"/>
  <c r="A111" i="4"/>
  <c r="D110" i="4"/>
  <c r="C110" i="4"/>
  <c r="B110" i="4"/>
  <c r="A110" i="4"/>
  <c r="D109" i="4"/>
  <c r="E109" i="4" s="1"/>
  <c r="C109" i="4"/>
  <c r="B109" i="4"/>
  <c r="A109" i="4"/>
  <c r="D108" i="4"/>
  <c r="C108" i="4"/>
  <c r="B108" i="4"/>
  <c r="A108" i="4"/>
  <c r="D107" i="4"/>
  <c r="C107" i="4"/>
  <c r="B107" i="4"/>
  <c r="A107" i="4"/>
  <c r="D106" i="4"/>
  <c r="C106" i="4"/>
  <c r="B106" i="4"/>
  <c r="F106" i="4" s="1" a="1"/>
  <c r="F106" i="4" s="1"/>
  <c r="A106" i="4"/>
  <c r="D105" i="4"/>
  <c r="C105" i="4"/>
  <c r="B105" i="4"/>
  <c r="A105" i="4"/>
  <c r="D104" i="4"/>
  <c r="C104" i="4"/>
  <c r="B104" i="4"/>
  <c r="A104" i="4"/>
  <c r="D103" i="4"/>
  <c r="C103" i="4"/>
  <c r="B103" i="4"/>
  <c r="A103" i="4"/>
  <c r="D102" i="4"/>
  <c r="C102" i="4"/>
  <c r="B102" i="4"/>
  <c r="A102" i="4"/>
  <c r="D101" i="4"/>
  <c r="C101" i="4"/>
  <c r="B101" i="4"/>
  <c r="A101" i="4"/>
  <c r="D100" i="4"/>
  <c r="C100" i="4"/>
  <c r="B100" i="4"/>
  <c r="A100" i="4"/>
  <c r="D99" i="4"/>
  <c r="C99" i="4"/>
  <c r="B99" i="4"/>
  <c r="A99" i="4"/>
  <c r="D98" i="4"/>
  <c r="C98" i="4"/>
  <c r="B98" i="4"/>
  <c r="A98" i="4"/>
  <c r="D97" i="4"/>
  <c r="C97" i="4"/>
  <c r="B97" i="4"/>
  <c r="A97" i="4"/>
  <c r="D96" i="4"/>
  <c r="C96" i="4"/>
  <c r="B96" i="4"/>
  <c r="A96" i="4"/>
  <c r="D95" i="4"/>
  <c r="C95" i="4"/>
  <c r="B95" i="4"/>
  <c r="A95" i="4"/>
  <c r="D94" i="4"/>
  <c r="C94" i="4"/>
  <c r="B94" i="4"/>
  <c r="A94" i="4"/>
  <c r="D93" i="4"/>
  <c r="C93" i="4"/>
  <c r="B93" i="4"/>
  <c r="A93" i="4"/>
  <c r="D92" i="4"/>
  <c r="C92" i="4"/>
  <c r="B92" i="4"/>
  <c r="A92" i="4"/>
  <c r="D91" i="4"/>
  <c r="C91" i="4"/>
  <c r="B91" i="4"/>
  <c r="A91" i="4"/>
  <c r="D90" i="4"/>
  <c r="C90" i="4"/>
  <c r="B90" i="4"/>
  <c r="A90" i="4"/>
  <c r="D89" i="4"/>
  <c r="C89" i="4"/>
  <c r="B89" i="4"/>
  <c r="A89" i="4"/>
  <c r="D88" i="4"/>
  <c r="C88" i="4"/>
  <c r="B88" i="4"/>
  <c r="A88" i="4"/>
  <c r="D87" i="4"/>
  <c r="C87" i="4"/>
  <c r="B87" i="4"/>
  <c r="A87" i="4"/>
  <c r="D86" i="4"/>
  <c r="C86" i="4"/>
  <c r="B86" i="4"/>
  <c r="A86" i="4"/>
  <c r="D85" i="4"/>
  <c r="C85" i="4"/>
  <c r="B85" i="4"/>
  <c r="A85" i="4"/>
  <c r="D84" i="4"/>
  <c r="C84" i="4"/>
  <c r="B84" i="4"/>
  <c r="A84" i="4"/>
  <c r="D83" i="4"/>
  <c r="C83" i="4"/>
  <c r="B83" i="4"/>
  <c r="A83" i="4"/>
  <c r="D82" i="4"/>
  <c r="C82" i="4"/>
  <c r="B82" i="4"/>
  <c r="A82" i="4"/>
  <c r="D81" i="4"/>
  <c r="E81" i="4" s="1"/>
  <c r="C81" i="4"/>
  <c r="B81" i="4"/>
  <c r="A81" i="4"/>
  <c r="D80" i="4"/>
  <c r="C80" i="4"/>
  <c r="B80" i="4"/>
  <c r="A80" i="4"/>
  <c r="D79" i="4"/>
  <c r="C79" i="4"/>
  <c r="B79" i="4"/>
  <c r="A79" i="4"/>
  <c r="D78" i="4"/>
  <c r="C78" i="4"/>
  <c r="B78" i="4"/>
  <c r="A78" i="4"/>
  <c r="D77" i="4"/>
  <c r="C77" i="4"/>
  <c r="B77" i="4"/>
  <c r="A77" i="4"/>
  <c r="D76" i="4"/>
  <c r="C76" i="4"/>
  <c r="B76" i="4"/>
  <c r="A76" i="4"/>
  <c r="D75" i="4"/>
  <c r="C75" i="4"/>
  <c r="B75" i="4"/>
  <c r="A75" i="4"/>
  <c r="D74" i="4"/>
  <c r="C74" i="4"/>
  <c r="B74" i="4"/>
  <c r="A74" i="4"/>
  <c r="D73" i="4"/>
  <c r="C73" i="4"/>
  <c r="B73" i="4"/>
  <c r="F73" i="4" s="1" a="1"/>
  <c r="F73" i="4" s="1"/>
  <c r="A73" i="4"/>
  <c r="D72" i="4"/>
  <c r="C72" i="4"/>
  <c r="B72" i="4"/>
  <c r="A72" i="4"/>
  <c r="D71" i="4"/>
  <c r="C71" i="4"/>
  <c r="B71" i="4"/>
  <c r="A71" i="4"/>
  <c r="D70" i="4"/>
  <c r="C70" i="4"/>
  <c r="B70" i="4"/>
  <c r="A70" i="4"/>
  <c r="D69" i="4"/>
  <c r="C69" i="4"/>
  <c r="B69" i="4"/>
  <c r="A69" i="4"/>
  <c r="D68" i="4"/>
  <c r="C68" i="4"/>
  <c r="B68" i="4"/>
  <c r="A68" i="4"/>
  <c r="D67" i="4"/>
  <c r="C67" i="4"/>
  <c r="B67" i="4"/>
  <c r="F67" i="4" s="1" a="1"/>
  <c r="F67" i="4" s="1"/>
  <c r="A67" i="4"/>
  <c r="D66" i="4"/>
  <c r="C66" i="4"/>
  <c r="B66" i="4"/>
  <c r="A66" i="4"/>
  <c r="D65" i="4"/>
  <c r="E65" i="4" s="1"/>
  <c r="C65" i="4"/>
  <c r="B65" i="4"/>
  <c r="A65" i="4"/>
  <c r="D64" i="4"/>
  <c r="C64" i="4"/>
  <c r="B64" i="4"/>
  <c r="A64" i="4"/>
  <c r="D63" i="4"/>
  <c r="E63" i="4" s="1"/>
  <c r="C63" i="4"/>
  <c r="B63" i="4"/>
  <c r="A63" i="4"/>
  <c r="D62" i="4"/>
  <c r="C62" i="4"/>
  <c r="B62" i="4"/>
  <c r="A62" i="4"/>
  <c r="D61" i="4"/>
  <c r="E61" i="4" s="1"/>
  <c r="C61" i="4"/>
  <c r="B61" i="4"/>
  <c r="A61" i="4"/>
  <c r="D60" i="4"/>
  <c r="C60" i="4"/>
  <c r="B60" i="4"/>
  <c r="A60" i="4"/>
  <c r="D59" i="4"/>
  <c r="C59" i="4"/>
  <c r="B59" i="4"/>
  <c r="A59" i="4"/>
  <c r="D58" i="4"/>
  <c r="C58" i="4"/>
  <c r="B58" i="4"/>
  <c r="A58" i="4"/>
  <c r="D57" i="4"/>
  <c r="E57" i="4" s="1"/>
  <c r="C57" i="4"/>
  <c r="B57" i="4"/>
  <c r="A57" i="4"/>
  <c r="D56" i="4"/>
  <c r="C56" i="4"/>
  <c r="B56" i="4"/>
  <c r="A56" i="4"/>
  <c r="D55" i="4"/>
  <c r="E55" i="4" s="1"/>
  <c r="C55" i="4"/>
  <c r="B55" i="4"/>
  <c r="A55" i="4"/>
  <c r="D54" i="4"/>
  <c r="C54" i="4"/>
  <c r="B54" i="4"/>
  <c r="A54" i="4"/>
  <c r="D53" i="4"/>
  <c r="E53" i="4" s="1"/>
  <c r="C53" i="4"/>
  <c r="B53" i="4"/>
  <c r="A53" i="4"/>
  <c r="D52" i="4"/>
  <c r="C52" i="4"/>
  <c r="B52" i="4"/>
  <c r="A52" i="4"/>
  <c r="D51" i="4"/>
  <c r="C51" i="4"/>
  <c r="B51" i="4"/>
  <c r="A51" i="4"/>
  <c r="D50" i="4"/>
  <c r="C50" i="4"/>
  <c r="B50" i="4"/>
  <c r="A50" i="4"/>
  <c r="D49" i="4"/>
  <c r="C49" i="4"/>
  <c r="B49" i="4"/>
  <c r="A49" i="4"/>
  <c r="D48" i="4"/>
  <c r="C48" i="4"/>
  <c r="B48" i="4"/>
  <c r="A48" i="4"/>
  <c r="D47" i="4"/>
  <c r="C47" i="4"/>
  <c r="B47" i="4"/>
  <c r="A47" i="4"/>
  <c r="D46" i="4"/>
  <c r="C46" i="4"/>
  <c r="B46" i="4"/>
  <c r="A46" i="4"/>
  <c r="D45" i="4"/>
  <c r="C45" i="4"/>
  <c r="B45" i="4"/>
  <c r="A45" i="4"/>
  <c r="D44" i="4"/>
  <c r="C44" i="4"/>
  <c r="B44" i="4"/>
  <c r="A44" i="4"/>
  <c r="D43" i="4"/>
  <c r="C43" i="4"/>
  <c r="B43" i="4"/>
  <c r="A43" i="4"/>
  <c r="D42" i="4"/>
  <c r="C42" i="4"/>
  <c r="B42" i="4"/>
  <c r="F42" i="4" s="1" a="1"/>
  <c r="F42" i="4" s="1"/>
  <c r="A42" i="4"/>
  <c r="D41" i="4"/>
  <c r="C41" i="4"/>
  <c r="B41" i="4"/>
  <c r="A41" i="4"/>
  <c r="D40" i="4"/>
  <c r="C40" i="4"/>
  <c r="B40" i="4"/>
  <c r="A40" i="4"/>
  <c r="D39" i="4"/>
  <c r="C39" i="4"/>
  <c r="B39" i="4"/>
  <c r="A39" i="4"/>
  <c r="D38" i="4"/>
  <c r="C38" i="4"/>
  <c r="B38" i="4"/>
  <c r="A38" i="4"/>
  <c r="D37" i="4"/>
  <c r="C37" i="4"/>
  <c r="B37" i="4"/>
  <c r="A37" i="4"/>
  <c r="D36" i="4"/>
  <c r="C36" i="4"/>
  <c r="B36" i="4"/>
  <c r="A36" i="4"/>
  <c r="D35" i="4"/>
  <c r="C35" i="4"/>
  <c r="B35" i="4"/>
  <c r="A35" i="4"/>
  <c r="D34" i="4"/>
  <c r="E34" i="4" s="1"/>
  <c r="C34" i="4"/>
  <c r="B34" i="4"/>
  <c r="A34" i="4"/>
  <c r="D33" i="4"/>
  <c r="C33" i="4"/>
  <c r="B33" i="4"/>
  <c r="A33" i="4"/>
  <c r="D32" i="4"/>
  <c r="C32" i="4"/>
  <c r="B32" i="4"/>
  <c r="A32" i="4"/>
  <c r="D31" i="4"/>
  <c r="C31" i="4"/>
  <c r="B31" i="4"/>
  <c r="A31" i="4"/>
  <c r="D30" i="4"/>
  <c r="C30" i="4"/>
  <c r="B30" i="4"/>
  <c r="A30" i="4"/>
  <c r="D29" i="4"/>
  <c r="C29" i="4"/>
  <c r="B29" i="4"/>
  <c r="A29" i="4"/>
  <c r="D28" i="4"/>
  <c r="C28" i="4"/>
  <c r="B28" i="4"/>
  <c r="A28" i="4"/>
  <c r="D27" i="4"/>
  <c r="C27" i="4"/>
  <c r="B27" i="4"/>
  <c r="A27" i="4"/>
  <c r="D26" i="4"/>
  <c r="C26" i="4"/>
  <c r="B26" i="4"/>
  <c r="F26" i="4" s="1" a="1"/>
  <c r="F26" i="4" s="1"/>
  <c r="A26" i="4"/>
  <c r="D25" i="4"/>
  <c r="C25" i="4"/>
  <c r="B25" i="4"/>
  <c r="A25" i="4"/>
  <c r="D24" i="4"/>
  <c r="C24" i="4"/>
  <c r="B24" i="4"/>
  <c r="A24" i="4"/>
  <c r="D23" i="4"/>
  <c r="C23" i="4"/>
  <c r="B23" i="4"/>
  <c r="A23" i="4"/>
  <c r="D22" i="4"/>
  <c r="C22" i="4"/>
  <c r="B22" i="4"/>
  <c r="A22" i="4"/>
  <c r="D21" i="4"/>
  <c r="C21" i="4"/>
  <c r="B21" i="4"/>
  <c r="A21" i="4"/>
  <c r="N20" i="4"/>
  <c r="M20" i="4"/>
  <c r="D20" i="4"/>
  <c r="C20" i="4"/>
  <c r="B20" i="4"/>
  <c r="A20" i="4"/>
  <c r="N19" i="4"/>
  <c r="M19" i="4"/>
  <c r="D19" i="4"/>
  <c r="C19" i="4"/>
  <c r="B19" i="4"/>
  <c r="A19" i="4"/>
  <c r="N18" i="4"/>
  <c r="M18" i="4"/>
  <c r="D18" i="4"/>
  <c r="C18" i="4"/>
  <c r="B18" i="4"/>
  <c r="A18" i="4"/>
  <c r="N17" i="4"/>
  <c r="M17" i="4"/>
  <c r="D17" i="4"/>
  <c r="C17" i="4"/>
  <c r="B17" i="4"/>
  <c r="A17" i="4"/>
  <c r="N16" i="4"/>
  <c r="M16" i="4"/>
  <c r="D16" i="4"/>
  <c r="C16" i="4"/>
  <c r="B16" i="4"/>
  <c r="A16" i="4"/>
  <c r="N15" i="4"/>
  <c r="M15" i="4"/>
  <c r="D15" i="4"/>
  <c r="C15" i="4"/>
  <c r="B15" i="4"/>
  <c r="A15" i="4"/>
  <c r="D14" i="4"/>
  <c r="C14" i="4"/>
  <c r="B14" i="4"/>
  <c r="A14" i="4"/>
  <c r="D13" i="4"/>
  <c r="E13" i="4" s="1"/>
  <c r="C13" i="4"/>
  <c r="B13" i="4"/>
  <c r="A13" i="4"/>
  <c r="D12" i="4"/>
  <c r="C12" i="4"/>
  <c r="B12" i="4"/>
  <c r="A12" i="4"/>
  <c r="D11" i="4"/>
  <c r="C11" i="4"/>
  <c r="B11" i="4"/>
  <c r="A11" i="4"/>
  <c r="D10" i="4"/>
  <c r="E10" i="4" s="1"/>
  <c r="C10" i="4"/>
  <c r="B10" i="4"/>
  <c r="A10" i="4"/>
  <c r="D9" i="4"/>
  <c r="E9" i="4" s="1"/>
  <c r="C9" i="4"/>
  <c r="B9" i="4"/>
  <c r="A9" i="4"/>
  <c r="D8" i="4"/>
  <c r="C8" i="4"/>
  <c r="B8" i="4"/>
  <c r="A8" i="4"/>
  <c r="D7" i="4"/>
  <c r="C7" i="4"/>
  <c r="B7" i="4"/>
  <c r="A7" i="4"/>
  <c r="D6" i="4"/>
  <c r="C6" i="4"/>
  <c r="B6" i="4"/>
  <c r="A6" i="4"/>
  <c r="D5" i="4"/>
  <c r="C5" i="4"/>
  <c r="B5" i="4"/>
  <c r="A5" i="4"/>
  <c r="D4" i="4"/>
  <c r="C4" i="4"/>
  <c r="B4" i="4"/>
  <c r="A4" i="4"/>
  <c r="A3" i="4"/>
  <c r="B15" i="6"/>
  <c r="B22" i="6" s="1"/>
  <c r="B14" i="6"/>
  <c r="B21" i="6" s="1"/>
  <c r="B13" i="6"/>
  <c r="B20" i="6" s="1"/>
  <c r="B10" i="6"/>
  <c r="B17" i="6" s="1"/>
  <c r="B12" i="6"/>
  <c r="B19" i="6" s="1"/>
  <c r="B11" i="6"/>
  <c r="B18" i="6" s="1"/>
  <c r="F95" i="4" l="1" a="1"/>
  <c r="F95" i="4" s="1"/>
  <c r="F47" i="4" a="1"/>
  <c r="F47" i="4" s="1"/>
  <c r="E493" i="4"/>
  <c r="E710" i="4"/>
  <c r="E910" i="4"/>
  <c r="E1318" i="4"/>
  <c r="E1372" i="4"/>
  <c r="E1388" i="4"/>
  <c r="E759" i="4"/>
  <c r="F82" i="4" a="1"/>
  <c r="F82" i="4" s="1"/>
  <c r="F98" i="4" a="1"/>
  <c r="F98" i="4" s="1"/>
  <c r="F34" i="4" a="1"/>
  <c r="F34" i="4" s="1"/>
  <c r="F50" i="4" a="1"/>
  <c r="F50" i="4" s="1"/>
  <c r="F58" i="4" a="1"/>
  <c r="F58" i="4" s="1"/>
  <c r="F90" i="4" a="1"/>
  <c r="F90" i="4" s="1"/>
  <c r="E49" i="4"/>
  <c r="E577" i="4"/>
  <c r="E774" i="4"/>
  <c r="F14" i="4" a="1"/>
  <c r="F14" i="4" s="1"/>
  <c r="E635" i="4"/>
  <c r="E641" i="4"/>
  <c r="E673" i="4"/>
  <c r="E689" i="4"/>
  <c r="E1361" i="4"/>
  <c r="E1377" i="4"/>
  <c r="F143" i="4" a="1"/>
  <c r="F143" i="4" s="1"/>
  <c r="E462" i="4"/>
  <c r="E729" i="4"/>
  <c r="E534" i="4"/>
  <c r="F610" i="4" a="1"/>
  <c r="F610" i="4" s="1"/>
  <c r="F1397" i="4" a="1"/>
  <c r="F1397" i="4" s="1"/>
  <c r="F714" i="4" a="1"/>
  <c r="F714" i="4" s="1"/>
  <c r="E830" i="4"/>
  <c r="E1202" i="4"/>
  <c r="E1452" i="4"/>
  <c r="F694" i="4" a="1"/>
  <c r="F694" i="4" s="1"/>
  <c r="F709" i="4" a="1"/>
  <c r="F709" i="4" s="1"/>
  <c r="E1115" i="4"/>
  <c r="F1485" i="4" a="1"/>
  <c r="F1485" i="4" s="1"/>
  <c r="E83" i="4"/>
  <c r="F13" i="4" a="1"/>
  <c r="F13" i="4" s="1"/>
  <c r="F16" i="4" a="1"/>
  <c r="F16" i="4" s="1"/>
  <c r="F27" i="4" a="1"/>
  <c r="F27" i="4" s="1"/>
  <c r="F33" i="4" a="1"/>
  <c r="F33" i="4" s="1"/>
  <c r="E43" i="4"/>
  <c r="F52" i="4" a="1"/>
  <c r="F52" i="4" s="1"/>
  <c r="F55" i="4" a="1"/>
  <c r="F55" i="4" s="1"/>
  <c r="E69" i="4"/>
  <c r="E71" i="4"/>
  <c r="E73" i="4"/>
  <c r="E91" i="4"/>
  <c r="E98" i="4"/>
  <c r="E153" i="4"/>
  <c r="E186" i="4"/>
  <c r="F391" i="4" a="1"/>
  <c r="F391" i="4" s="1"/>
  <c r="E496" i="4"/>
  <c r="F544" i="4" a="1"/>
  <c r="F544" i="4" s="1"/>
  <c r="F548" i="4" a="1"/>
  <c r="F548" i="4" s="1"/>
  <c r="F562" i="4" a="1"/>
  <c r="F562" i="4" s="1"/>
  <c r="F566" i="4" a="1"/>
  <c r="F566" i="4" s="1"/>
  <c r="F674" i="4" a="1"/>
  <c r="F674" i="4" s="1"/>
  <c r="E700" i="4"/>
  <c r="E703" i="4"/>
  <c r="F815" i="4" a="1"/>
  <c r="F815" i="4" s="1"/>
  <c r="F831" i="4" a="1"/>
  <c r="F831" i="4" s="1"/>
  <c r="F847" i="4" a="1"/>
  <c r="F847" i="4" s="1"/>
  <c r="F864" i="4" a="1"/>
  <c r="F864" i="4" s="1"/>
  <c r="E1321" i="4"/>
  <c r="F1453" i="4" a="1"/>
  <c r="F1453" i="4" s="1"/>
  <c r="F92" i="4" a="1"/>
  <c r="F92" i="4" s="1"/>
  <c r="E1412" i="4"/>
  <c r="F5" i="4" a="1"/>
  <c r="F5" i="4" s="1"/>
  <c r="E15" i="4"/>
  <c r="F100" i="4" a="1"/>
  <c r="F100" i="4" s="1"/>
  <c r="F530" i="4" a="1"/>
  <c r="F530" i="4" s="1"/>
  <c r="F1021" i="4" a="1"/>
  <c r="F1021" i="4" s="1"/>
  <c r="E5" i="4"/>
  <c r="E7" i="4"/>
  <c r="E17" i="4"/>
  <c r="F6" i="4" a="1"/>
  <c r="F6" i="4" s="1"/>
  <c r="E21" i="4"/>
  <c r="E23" i="4"/>
  <c r="E25" i="4"/>
  <c r="F35" i="4" a="1"/>
  <c r="F35" i="4" s="1"/>
  <c r="F41" i="4" a="1"/>
  <c r="F41" i="4" s="1"/>
  <c r="F60" i="4" a="1"/>
  <c r="F60" i="4" s="1"/>
  <c r="F63" i="4" a="1"/>
  <c r="F63" i="4" s="1"/>
  <c r="E77" i="4"/>
  <c r="E79" i="4"/>
  <c r="F83" i="4" a="1"/>
  <c r="F83" i="4" s="1"/>
  <c r="F89" i="4" a="1"/>
  <c r="F89" i="4" s="1"/>
  <c r="E99" i="4"/>
  <c r="F114" i="4" a="1"/>
  <c r="F114" i="4" s="1"/>
  <c r="F116" i="4" a="1"/>
  <c r="F116" i="4" s="1"/>
  <c r="F119" i="4" a="1"/>
  <c r="F119" i="4" s="1"/>
  <c r="F130" i="4" a="1"/>
  <c r="F130" i="4" s="1"/>
  <c r="E229" i="4"/>
  <c r="F487" i="4" a="1"/>
  <c r="F487" i="4" s="1"/>
  <c r="F491" i="4" a="1"/>
  <c r="F491" i="4" s="1"/>
  <c r="F589" i="4" a="1"/>
  <c r="F589" i="4" s="1"/>
  <c r="F594" i="4" a="1"/>
  <c r="F594" i="4" s="1"/>
  <c r="F596" i="4" a="1"/>
  <c r="F596" i="4" s="1"/>
  <c r="F602" i="4" a="1"/>
  <c r="F602" i="4" s="1"/>
  <c r="F604" i="4" a="1"/>
  <c r="F604" i="4" s="1"/>
  <c r="E625" i="4"/>
  <c r="F756" i="4" a="1"/>
  <c r="F756" i="4" s="1"/>
  <c r="E894" i="4"/>
  <c r="E902" i="4"/>
  <c r="E911" i="4"/>
  <c r="E919" i="4"/>
  <c r="E959" i="4"/>
  <c r="E1021" i="4"/>
  <c r="E1022" i="4"/>
  <c r="E1026" i="4"/>
  <c r="E1050" i="4"/>
  <c r="E1052" i="4"/>
  <c r="E1404" i="4"/>
  <c r="E1414" i="4"/>
  <c r="F25" i="4" a="1"/>
  <c r="F25" i="4" s="1"/>
  <c r="E35" i="4"/>
  <c r="F103" i="4" a="1"/>
  <c r="F103" i="4" s="1"/>
  <c r="F511" i="4" a="1"/>
  <c r="F511" i="4" s="1"/>
  <c r="F1050" i="4" a="1"/>
  <c r="F1050" i="4" s="1"/>
  <c r="E11" i="4"/>
  <c r="F15" i="4" a="1"/>
  <c r="F15" i="4" s="1"/>
  <c r="E16" i="4"/>
  <c r="E29" i="4"/>
  <c r="E31" i="4"/>
  <c r="E33" i="4"/>
  <c r="F43" i="4" a="1"/>
  <c r="F43" i="4" s="1"/>
  <c r="F49" i="4" a="1"/>
  <c r="F49" i="4" s="1"/>
  <c r="E51" i="4"/>
  <c r="F68" i="4" a="1"/>
  <c r="F68" i="4" s="1"/>
  <c r="F71" i="4" a="1"/>
  <c r="F71" i="4" s="1"/>
  <c r="F91" i="4" a="1"/>
  <c r="F91" i="4" s="1"/>
  <c r="F97" i="4" a="1"/>
  <c r="F97" i="4" s="1"/>
  <c r="E107" i="4"/>
  <c r="F153" i="4" a="1"/>
  <c r="F153" i="4" s="1"/>
  <c r="F182" i="4" a="1"/>
  <c r="F182" i="4" s="1"/>
  <c r="F204" i="4" a="1"/>
  <c r="F204" i="4" s="1"/>
  <c r="F214" i="4" a="1"/>
  <c r="F214" i="4" s="1"/>
  <c r="E341" i="4"/>
  <c r="E414" i="4"/>
  <c r="E421" i="4"/>
  <c r="E445" i="4"/>
  <c r="E540" i="4"/>
  <c r="E637" i="4"/>
  <c r="E783" i="4"/>
  <c r="E810" i="4"/>
  <c r="F1350" i="4" a="1"/>
  <c r="F1350" i="4" s="1"/>
  <c r="F44" i="4" a="1"/>
  <c r="F44" i="4" s="1"/>
  <c r="F1333" i="4" a="1"/>
  <c r="F1333" i="4" s="1"/>
  <c r="F75" i="4" a="1"/>
  <c r="F75" i="4" s="1"/>
  <c r="F251" i="4" a="1"/>
  <c r="F251" i="4" s="1"/>
  <c r="F516" i="4" a="1"/>
  <c r="F516" i="4" s="1"/>
  <c r="F1045" i="4" a="1"/>
  <c r="F1045" i="4" s="1"/>
  <c r="F8" i="4" a="1"/>
  <c r="F8" i="4" s="1"/>
  <c r="F21" i="4" a="1"/>
  <c r="F21" i="4" s="1"/>
  <c r="F23" i="4" a="1"/>
  <c r="F23" i="4" s="1"/>
  <c r="E37" i="4"/>
  <c r="E39" i="4"/>
  <c r="E41" i="4"/>
  <c r="E59" i="4"/>
  <c r="E66" i="4"/>
  <c r="F76" i="4" a="1"/>
  <c r="F76" i="4" s="1"/>
  <c r="F79" i="4" a="1"/>
  <c r="F79" i="4" s="1"/>
  <c r="E85" i="4"/>
  <c r="E87" i="4"/>
  <c r="E89" i="4"/>
  <c r="F99" i="4" a="1"/>
  <c r="F99" i="4" s="1"/>
  <c r="F105" i="4" a="1"/>
  <c r="F105" i="4" s="1"/>
  <c r="E136" i="4"/>
  <c r="E138" i="4"/>
  <c r="F265" i="4" a="1"/>
  <c r="F265" i="4" s="1"/>
  <c r="F270" i="4" a="1"/>
  <c r="F270" i="4" s="1"/>
  <c r="F278" i="4" a="1"/>
  <c r="F278" i="4" s="1"/>
  <c r="E478" i="4"/>
  <c r="E477" i="4"/>
  <c r="E481" i="4"/>
  <c r="E482" i="4"/>
  <c r="E485" i="4"/>
  <c r="F529" i="4" a="1"/>
  <c r="F529" i="4" s="1"/>
  <c r="F527" i="4" a="1"/>
  <c r="F527" i="4" s="1"/>
  <c r="E579" i="4"/>
  <c r="F626" i="4" a="1"/>
  <c r="F626" i="4" s="1"/>
  <c r="F630" i="4" a="1"/>
  <c r="F630" i="4" s="1"/>
  <c r="E677" i="4"/>
  <c r="E870" i="4"/>
  <c r="F911" i="4" a="1"/>
  <c r="F911" i="4" s="1"/>
  <c r="F967" i="4" a="1"/>
  <c r="F967" i="4" s="1"/>
  <c r="F997" i="4" a="1"/>
  <c r="F997" i="4" s="1"/>
  <c r="E1149" i="4"/>
  <c r="E1188" i="4"/>
  <c r="F1461" i="4" a="1"/>
  <c r="F1461" i="4" s="1"/>
  <c r="E27" i="4"/>
  <c r="F159" i="4" a="1"/>
  <c r="F159" i="4" s="1"/>
  <c r="F161" i="4" a="1"/>
  <c r="F161" i="4" s="1"/>
  <c r="E312" i="4"/>
  <c r="E437" i="4"/>
  <c r="E541" i="4"/>
  <c r="E545" i="4"/>
  <c r="E547" i="4"/>
  <c r="E643" i="4"/>
  <c r="F81" i="4" a="1"/>
  <c r="F81" i="4" s="1"/>
  <c r="F509" i="4" a="1"/>
  <c r="F509" i="4" s="1"/>
  <c r="F870" i="4" a="1"/>
  <c r="F870" i="4" s="1"/>
  <c r="E871" i="4"/>
  <c r="E878" i="4"/>
  <c r="F12" i="4" a="1"/>
  <c r="F12" i="4" s="1"/>
  <c r="F28" i="4" a="1"/>
  <c r="F28" i="4" s="1"/>
  <c r="F31" i="4" a="1"/>
  <c r="F31" i="4" s="1"/>
  <c r="E45" i="4"/>
  <c r="E47" i="4"/>
  <c r="F51" i="4" a="1"/>
  <c r="F51" i="4" s="1"/>
  <c r="F57" i="4" a="1"/>
  <c r="F57" i="4" s="1"/>
  <c r="F66" i="4" a="1"/>
  <c r="F66" i="4" s="1"/>
  <c r="E67" i="4"/>
  <c r="E93" i="4"/>
  <c r="E95" i="4"/>
  <c r="E97" i="4"/>
  <c r="E168" i="4"/>
  <c r="F318" i="4" a="1"/>
  <c r="F318" i="4" s="1"/>
  <c r="F350" i="4" a="1"/>
  <c r="F350" i="4" s="1"/>
  <c r="F361" i="4" a="1"/>
  <c r="F361" i="4" s="1"/>
  <c r="F374" i="4" a="1"/>
  <c r="F374" i="4" s="1"/>
  <c r="F382" i="4" a="1"/>
  <c r="F382" i="4" s="1"/>
  <c r="F430" i="4" a="1"/>
  <c r="F430" i="4" s="1"/>
  <c r="F542" i="4" a="1"/>
  <c r="F542" i="4" s="1"/>
  <c r="F653" i="4" a="1"/>
  <c r="F653" i="4" s="1"/>
  <c r="F652" i="4" a="1"/>
  <c r="F652" i="4" s="1"/>
  <c r="F658" i="4" a="1"/>
  <c r="F658" i="4" s="1"/>
  <c r="F660" i="4" a="1"/>
  <c r="F660" i="4" s="1"/>
  <c r="F666" i="4" a="1"/>
  <c r="F666" i="4" s="1"/>
  <c r="F676" i="4" a="1"/>
  <c r="F676" i="4" s="1"/>
  <c r="F724" i="4" a="1"/>
  <c r="F724" i="4" s="1"/>
  <c r="F731" i="4" a="1"/>
  <c r="F731" i="4" s="1"/>
  <c r="F747" i="4" a="1"/>
  <c r="F747" i="4" s="1"/>
  <c r="E1222" i="4"/>
  <c r="E1308" i="4"/>
  <c r="F11" i="4" a="1"/>
  <c r="F11" i="4" s="1"/>
  <c r="E19" i="4"/>
  <c r="E22" i="4"/>
  <c r="F36" i="4" a="1"/>
  <c r="F36" i="4" s="1"/>
  <c r="F39" i="4" a="1"/>
  <c r="F39" i="4" s="1"/>
  <c r="F59" i="4" a="1"/>
  <c r="F59" i="4" s="1"/>
  <c r="F65" i="4" a="1"/>
  <c r="F65" i="4" s="1"/>
  <c r="F74" i="4" a="1"/>
  <c r="F74" i="4" s="1"/>
  <c r="E75" i="4"/>
  <c r="F84" i="4" a="1"/>
  <c r="F84" i="4" s="1"/>
  <c r="F87" i="4" a="1"/>
  <c r="F87" i="4" s="1"/>
  <c r="E101" i="4"/>
  <c r="E103" i="4"/>
  <c r="E105" i="4"/>
  <c r="F122" i="4" a="1"/>
  <c r="F122" i="4" s="1"/>
  <c r="F131" i="4" a="1"/>
  <c r="F131" i="4" s="1"/>
  <c r="F137" i="4" a="1"/>
  <c r="F137" i="4" s="1"/>
  <c r="E242" i="4"/>
  <c r="F472" i="4" a="1"/>
  <c r="F472" i="4" s="1"/>
  <c r="F478" i="4" a="1"/>
  <c r="F478" i="4" s="1"/>
  <c r="F486" i="4" a="1"/>
  <c r="F486" i="4" s="1"/>
  <c r="E531" i="4"/>
  <c r="F588" i="4" a="1"/>
  <c r="F588" i="4" s="1"/>
  <c r="E1079" i="4"/>
  <c r="E1097" i="4"/>
  <c r="F1358" i="4" a="1"/>
  <c r="F1358" i="4" s="1"/>
  <c r="F115" i="4" a="1"/>
  <c r="F115" i="4" s="1"/>
  <c r="F121" i="4" a="1"/>
  <c r="F121" i="4" s="1"/>
  <c r="E123" i="4"/>
  <c r="F132" i="4" a="1"/>
  <c r="F132" i="4" s="1"/>
  <c r="F135" i="4" a="1"/>
  <c r="F135" i="4" s="1"/>
  <c r="E143" i="4"/>
  <c r="E170" i="4"/>
  <c r="E180" i="4"/>
  <c r="F213" i="4" a="1"/>
  <c r="F213" i="4" s="1"/>
  <c r="E222" i="4"/>
  <c r="E296" i="4"/>
  <c r="E309" i="4"/>
  <c r="E313" i="4"/>
  <c r="F359" i="4" a="1"/>
  <c r="F359" i="4" s="1"/>
  <c r="E449" i="4"/>
  <c r="E450" i="4"/>
  <c r="F471" i="4" a="1"/>
  <c r="F471" i="4" s="1"/>
  <c r="F475" i="4" a="1"/>
  <c r="F475" i="4" s="1"/>
  <c r="E480" i="4"/>
  <c r="F488" i="4" a="1"/>
  <c r="F488" i="4" s="1"/>
  <c r="F489" i="4" a="1"/>
  <c r="F489" i="4" s="1"/>
  <c r="E494" i="4"/>
  <c r="E497" i="4"/>
  <c r="E498" i="4"/>
  <c r="F506" i="4" a="1"/>
  <c r="F506" i="4" s="1"/>
  <c r="F514" i="4" a="1"/>
  <c r="F514" i="4" s="1"/>
  <c r="E572" i="4"/>
  <c r="E633" i="4"/>
  <c r="E690" i="4"/>
  <c r="E691" i="4"/>
  <c r="F725" i="4" a="1"/>
  <c r="F725" i="4" s="1"/>
  <c r="F735" i="4" a="1"/>
  <c r="F735" i="4" s="1"/>
  <c r="F741" i="4" a="1"/>
  <c r="F741" i="4" s="1"/>
  <c r="F751" i="4" a="1"/>
  <c r="F751" i="4" s="1"/>
  <c r="F777" i="4" a="1"/>
  <c r="F777" i="4" s="1"/>
  <c r="E784" i="4"/>
  <c r="E800" i="4"/>
  <c r="F828" i="4" a="1"/>
  <c r="F828" i="4" s="1"/>
  <c r="F829" i="4" a="1"/>
  <c r="F829" i="4" s="1"/>
  <c r="F878" i="4" a="1"/>
  <c r="F878" i="4" s="1"/>
  <c r="E889" i="4"/>
  <c r="E890" i="4"/>
  <c r="F968" i="4" a="1"/>
  <c r="F968" i="4" s="1"/>
  <c r="F972" i="4" a="1"/>
  <c r="F972" i="4" s="1"/>
  <c r="E1025" i="4"/>
  <c r="F1031" i="4" a="1"/>
  <c r="F1031" i="4" s="1"/>
  <c r="E1054" i="4"/>
  <c r="E1074" i="4"/>
  <c r="E1076" i="4"/>
  <c r="E1082" i="4"/>
  <c r="E1086" i="4"/>
  <c r="E1084" i="4"/>
  <c r="E1139" i="4"/>
  <c r="E1177" i="4"/>
  <c r="E1185" i="4"/>
  <c r="E1187" i="4"/>
  <c r="E1201" i="4"/>
  <c r="E1289" i="4"/>
  <c r="E1408" i="4"/>
  <c r="E1410" i="4"/>
  <c r="F1450" i="4" a="1"/>
  <c r="F1450" i="4" s="1"/>
  <c r="F1451" i="4" a="1"/>
  <c r="F1451" i="4" s="1"/>
  <c r="E1478" i="4"/>
  <c r="F1473" i="4" a="1"/>
  <c r="F1473" i="4" s="1"/>
  <c r="E1492" i="4"/>
  <c r="F108" i="4" a="1"/>
  <c r="F108" i="4" s="1"/>
  <c r="F111" i="4" a="1"/>
  <c r="F111" i="4" s="1"/>
  <c r="E117" i="4"/>
  <c r="E119" i="4"/>
  <c r="F123" i="4" a="1"/>
  <c r="F123" i="4" s="1"/>
  <c r="F129" i="4" a="1"/>
  <c r="F129" i="4" s="1"/>
  <c r="F138" i="4" a="1"/>
  <c r="F138" i="4" s="1"/>
  <c r="F142" i="4" a="1"/>
  <c r="F142" i="4" s="1"/>
  <c r="E145" i="4"/>
  <c r="F151" i="4" a="1"/>
  <c r="F151" i="4" s="1"/>
  <c r="E209" i="4"/>
  <c r="F297" i="4" a="1"/>
  <c r="F297" i="4" s="1"/>
  <c r="F302" i="4" a="1"/>
  <c r="F302" i="4" s="1"/>
  <c r="F310" i="4" a="1"/>
  <c r="F310" i="4" s="1"/>
  <c r="E373" i="4"/>
  <c r="E377" i="4"/>
  <c r="F479" i="4" a="1"/>
  <c r="F479" i="4" s="1"/>
  <c r="F483" i="4" a="1"/>
  <c r="F483" i="4" s="1"/>
  <c r="E488" i="4"/>
  <c r="F496" i="4" a="1"/>
  <c r="F496" i="4" s="1"/>
  <c r="F497" i="4" a="1"/>
  <c r="F497" i="4" s="1"/>
  <c r="E509" i="4"/>
  <c r="E519" i="4"/>
  <c r="E523" i="4"/>
  <c r="E525" i="4"/>
  <c r="F668" i="4" a="1"/>
  <c r="F668" i="4" s="1"/>
  <c r="E734" i="4"/>
  <c r="E745" i="4"/>
  <c r="E750" i="4"/>
  <c r="F793" i="4" a="1"/>
  <c r="F793" i="4" s="1"/>
  <c r="F809" i="4" a="1"/>
  <c r="F809" i="4" s="1"/>
  <c r="E846" i="4"/>
  <c r="E855" i="4"/>
  <c r="E897" i="4"/>
  <c r="E898" i="4"/>
  <c r="E901" i="4"/>
  <c r="E988" i="4"/>
  <c r="F1022" i="4" a="1"/>
  <c r="F1022" i="4" s="1"/>
  <c r="F1024" i="4" a="1"/>
  <c r="F1024" i="4" s="1"/>
  <c r="F1056" i="4" a="1"/>
  <c r="F1056" i="4" s="1"/>
  <c r="F1091" i="4" a="1"/>
  <c r="F1091" i="4" s="1"/>
  <c r="E1106" i="4"/>
  <c r="F1260" i="4" a="1"/>
  <c r="F1260" i="4" s="1"/>
  <c r="E1364" i="4"/>
  <c r="E1366" i="4"/>
  <c r="E1446" i="4"/>
  <c r="F1452" i="4" a="1"/>
  <c r="F1452" i="4" s="1"/>
  <c r="F1456" i="4" a="1"/>
  <c r="F1456" i="4" s="1"/>
  <c r="F1458" i="4" a="1"/>
  <c r="F1458" i="4" s="1"/>
  <c r="F1459" i="4" a="1"/>
  <c r="F1459" i="4" s="1"/>
  <c r="F1479" i="4" a="1"/>
  <c r="F1479" i="4" s="1"/>
  <c r="E42" i="4"/>
  <c r="E74" i="4"/>
  <c r="E106" i="4"/>
  <c r="E147" i="4"/>
  <c r="E148" i="4"/>
  <c r="E151" i="4"/>
  <c r="F157" i="4" a="1"/>
  <c r="F157" i="4" s="1"/>
  <c r="E166" i="4"/>
  <c r="F196" i="4" a="1"/>
  <c r="F196" i="4" s="1"/>
  <c r="F230" i="4" a="1"/>
  <c r="F230" i="4" s="1"/>
  <c r="F235" i="4" a="1"/>
  <c r="F235" i="4" s="1"/>
  <c r="F243" i="4" a="1"/>
  <c r="F243" i="4" s="1"/>
  <c r="E264" i="4"/>
  <c r="E280" i="4"/>
  <c r="E386" i="4"/>
  <c r="F427" i="4" a="1"/>
  <c r="F427" i="4" s="1"/>
  <c r="F456" i="4" a="1"/>
  <c r="F456" i="4" s="1"/>
  <c r="F502" i="4" a="1"/>
  <c r="F502" i="4" s="1"/>
  <c r="E542" i="4"/>
  <c r="F549" i="4" a="1"/>
  <c r="F549" i="4" s="1"/>
  <c r="F558" i="4" a="1"/>
  <c r="F558" i="4" s="1"/>
  <c r="E587" i="4"/>
  <c r="E596" i="4"/>
  <c r="E597" i="4"/>
  <c r="F614" i="4" a="1"/>
  <c r="F614" i="4" s="1"/>
  <c r="F622" i="4" a="1"/>
  <c r="F622" i="4" s="1"/>
  <c r="E651" i="4"/>
  <c r="E660" i="4"/>
  <c r="E661" i="4"/>
  <c r="E768" i="4"/>
  <c r="F844" i="4" a="1"/>
  <c r="F844" i="4" s="1"/>
  <c r="F845" i="4" a="1"/>
  <c r="F845" i="4" s="1"/>
  <c r="F877" i="4" a="1"/>
  <c r="F877" i="4" s="1"/>
  <c r="E905" i="4"/>
  <c r="E906" i="4"/>
  <c r="E909" i="4"/>
  <c r="E1004" i="4"/>
  <c r="E1002" i="4"/>
  <c r="E1010" i="4"/>
  <c r="E1014" i="4"/>
  <c r="F1034" i="4" a="1"/>
  <c r="F1034" i="4" s="1"/>
  <c r="F1042" i="4" a="1"/>
  <c r="F1042" i="4" s="1"/>
  <c r="E1049" i="4"/>
  <c r="E1130" i="4"/>
  <c r="E1131" i="4"/>
  <c r="E1270" i="4"/>
  <c r="E1278" i="4"/>
  <c r="E1277" i="4"/>
  <c r="F1423" i="4" a="1"/>
  <c r="F1423" i="4" s="1"/>
  <c r="F1429" i="4" a="1"/>
  <c r="F1429" i="4" s="1"/>
  <c r="F1460" i="4" a="1"/>
  <c r="F1460" i="4" s="1"/>
  <c r="F1464" i="4" a="1"/>
  <c r="F1464" i="4" s="1"/>
  <c r="F1085" i="4" a="1"/>
  <c r="F1085" i="4" s="1"/>
  <c r="E1209" i="4"/>
  <c r="F1392" i="4" a="1"/>
  <c r="F1392" i="4" s="1"/>
  <c r="F1394" i="4" a="1"/>
  <c r="F1394" i="4" s="1"/>
  <c r="F1395" i="4" a="1"/>
  <c r="F1395" i="4" s="1"/>
  <c r="F1447" i="4" a="1"/>
  <c r="F1447" i="4" s="1"/>
  <c r="F1449" i="4" a="1"/>
  <c r="F1449" i="4" s="1"/>
  <c r="E1454" i="4"/>
  <c r="F1470" i="4" a="1"/>
  <c r="F1470" i="4" s="1"/>
  <c r="E4" i="4"/>
  <c r="E50" i="4"/>
  <c r="E82" i="4"/>
  <c r="E114" i="4"/>
  <c r="F146" i="4" a="1"/>
  <c r="F146" i="4" s="1"/>
  <c r="E156" i="4"/>
  <c r="E159" i="4"/>
  <c r="E184" i="4"/>
  <c r="F211" i="4" a="1"/>
  <c r="F211" i="4" s="1"/>
  <c r="E249" i="4"/>
  <c r="F271" i="4" a="1"/>
  <c r="F271" i="4" s="1"/>
  <c r="E344" i="4"/>
  <c r="E422" i="4"/>
  <c r="E502" i="4"/>
  <c r="E504" i="4"/>
  <c r="F526" i="4" a="1"/>
  <c r="F526" i="4" s="1"/>
  <c r="E539" i="4"/>
  <c r="E554" i="4"/>
  <c r="E555" i="4"/>
  <c r="F564" i="4" a="1"/>
  <c r="F564" i="4" s="1"/>
  <c r="F595" i="4" a="1"/>
  <c r="F595" i="4" s="1"/>
  <c r="F609" i="4" a="1"/>
  <c r="F609" i="4" s="1"/>
  <c r="E618" i="4"/>
  <c r="E619" i="4"/>
  <c r="F628" i="4" a="1"/>
  <c r="F628" i="4" s="1"/>
  <c r="F659" i="4" a="1"/>
  <c r="F659" i="4" s="1"/>
  <c r="F673" i="4" a="1"/>
  <c r="F673" i="4" s="1"/>
  <c r="F678" i="4" a="1"/>
  <c r="F678" i="4" s="1"/>
  <c r="F686" i="4" a="1"/>
  <c r="F686" i="4" s="1"/>
  <c r="F711" i="4" a="1"/>
  <c r="F711" i="4" s="1"/>
  <c r="E715" i="4"/>
  <c r="E723" i="4"/>
  <c r="E840" i="4"/>
  <c r="E877" i="4"/>
  <c r="F904" i="4" a="1"/>
  <c r="F904" i="4" s="1"/>
  <c r="F908" i="4" a="1"/>
  <c r="F908" i="4" s="1"/>
  <c r="E929" i="4"/>
  <c r="E930" i="4"/>
  <c r="E933" i="4"/>
  <c r="E937" i="4"/>
  <c r="E953" i="4"/>
  <c r="E954" i="4"/>
  <c r="F1003" i="4" a="1"/>
  <c r="F1003" i="4" s="1"/>
  <c r="F1013" i="4" a="1"/>
  <c r="F1013" i="4" s="1"/>
  <c r="F1016" i="4" a="1"/>
  <c r="F1016" i="4" s="1"/>
  <c r="E1028" i="4"/>
  <c r="E1036" i="4"/>
  <c r="E1037" i="4"/>
  <c r="E1107" i="4"/>
  <c r="E1113" i="4"/>
  <c r="E1324" i="4"/>
  <c r="E1382" i="4"/>
  <c r="F1472" i="4" a="1"/>
  <c r="F1472" i="4" s="1"/>
  <c r="F1474" i="4" a="1"/>
  <c r="F1474" i="4" s="1"/>
  <c r="F1475" i="4" a="1"/>
  <c r="F1475" i="4" s="1"/>
  <c r="F107" i="4" a="1"/>
  <c r="F107" i="4" s="1"/>
  <c r="F113" i="4" a="1"/>
  <c r="F113" i="4" s="1"/>
  <c r="E115" i="4"/>
  <c r="F124" i="4" a="1"/>
  <c r="F124" i="4" s="1"/>
  <c r="F127" i="4" a="1"/>
  <c r="F127" i="4" s="1"/>
  <c r="E133" i="4"/>
  <c r="E135" i="4"/>
  <c r="F139" i="4" a="1"/>
  <c r="F139" i="4" s="1"/>
  <c r="F170" i="4" a="1"/>
  <c r="F170" i="4" s="1"/>
  <c r="F303" i="4" a="1"/>
  <c r="F303" i="4" s="1"/>
  <c r="E352" i="4"/>
  <c r="E376" i="4"/>
  <c r="F393" i="4" a="1"/>
  <c r="F393" i="4" s="1"/>
  <c r="F447" i="4" a="1"/>
  <c r="F447" i="4" s="1"/>
  <c r="F480" i="4" a="1"/>
  <c r="F480" i="4" s="1"/>
  <c r="F481" i="4" a="1"/>
  <c r="F481" i="4" s="1"/>
  <c r="E486" i="4"/>
  <c r="E489" i="4"/>
  <c r="E490" i="4"/>
  <c r="F495" i="4" a="1"/>
  <c r="F495" i="4" s="1"/>
  <c r="F499" i="4" a="1"/>
  <c r="F499" i="4" s="1"/>
  <c r="E515" i="4"/>
  <c r="E522" i="4"/>
  <c r="E524" i="4"/>
  <c r="F532" i="4" a="1"/>
  <c r="F532" i="4" s="1"/>
  <c r="E563" i="4"/>
  <c r="E627" i="4"/>
  <c r="F690" i="4" a="1"/>
  <c r="F690" i="4" s="1"/>
  <c r="E731" i="4"/>
  <c r="E733" i="4"/>
  <c r="E739" i="4"/>
  <c r="E747" i="4"/>
  <c r="E748" i="4"/>
  <c r="E757" i="4"/>
  <c r="F812" i="4" a="1"/>
  <c r="F812" i="4" s="1"/>
  <c r="F813" i="4" a="1"/>
  <c r="F813" i="4" s="1"/>
  <c r="E826" i="4"/>
  <c r="E814" i="4"/>
  <c r="F823" i="4" a="1"/>
  <c r="F823" i="4" s="1"/>
  <c r="E848" i="4"/>
  <c r="E895" i="4"/>
  <c r="E997" i="4"/>
  <c r="E1044" i="4"/>
  <c r="F1035" i="4" a="1"/>
  <c r="F1035" i="4" s="1"/>
  <c r="F1084" i="4" a="1"/>
  <c r="F1084" i="4" s="1"/>
  <c r="E1257" i="4"/>
  <c r="E1258" i="4"/>
  <c r="F1352" i="4" a="1"/>
  <c r="F1352" i="4" s="1"/>
  <c r="F1354" i="4" a="1"/>
  <c r="F1354" i="4" s="1"/>
  <c r="F1357" i="4" a="1"/>
  <c r="F1357" i="4" s="1"/>
  <c r="E1390" i="4"/>
  <c r="F1455" i="4" a="1"/>
  <c r="F1455" i="4" s="1"/>
  <c r="F1478" i="4" a="1"/>
  <c r="F1478" i="4" s="1"/>
  <c r="F1480" i="4" a="1"/>
  <c r="F1480" i="4" s="1"/>
  <c r="F1482" i="4" a="1"/>
  <c r="F1482" i="4" s="1"/>
  <c r="F1483" i="4" a="1"/>
  <c r="F1483" i="4" s="1"/>
  <c r="F9" i="4" a="1"/>
  <c r="F9" i="4" s="1"/>
  <c r="E14" i="4"/>
  <c r="F17" i="4" a="1"/>
  <c r="F17" i="4" s="1"/>
  <c r="E26" i="4"/>
  <c r="E58" i="4"/>
  <c r="E90" i="4"/>
  <c r="E122" i="4"/>
  <c r="E137" i="4"/>
  <c r="E146" i="4"/>
  <c r="E150" i="4"/>
  <c r="E158" i="4"/>
  <c r="E167" i="4"/>
  <c r="F203" i="4" a="1"/>
  <c r="F203" i="4" s="1"/>
  <c r="F236" i="4" a="1"/>
  <c r="F236" i="4" s="1"/>
  <c r="F248" i="4" a="1"/>
  <c r="F248" i="4" s="1"/>
  <c r="E277" i="4"/>
  <c r="F327" i="4" a="1"/>
  <c r="F327" i="4" s="1"/>
  <c r="E384" i="4"/>
  <c r="E438" i="4"/>
  <c r="E441" i="4"/>
  <c r="E442" i="4"/>
  <c r="F463" i="4" a="1"/>
  <c r="F463" i="4" s="1"/>
  <c r="F503" i="4" a="1"/>
  <c r="F503" i="4" s="1"/>
  <c r="E526" i="4"/>
  <c r="F538" i="4" a="1"/>
  <c r="F538" i="4" s="1"/>
  <c r="F572" i="4" a="1"/>
  <c r="F572" i="4" s="1"/>
  <c r="F578" i="4" a="1"/>
  <c r="F578" i="4" s="1"/>
  <c r="F580" i="4" a="1"/>
  <c r="F580" i="4" s="1"/>
  <c r="F636" i="4" a="1"/>
  <c r="F636" i="4" s="1"/>
  <c r="F642" i="4" a="1"/>
  <c r="F642" i="4" s="1"/>
  <c r="F644" i="4" a="1"/>
  <c r="F644" i="4" s="1"/>
  <c r="E682" i="4"/>
  <c r="E683" i="4"/>
  <c r="F692" i="4" a="1"/>
  <c r="F692" i="4" s="1"/>
  <c r="F707" i="4" a="1"/>
  <c r="F707" i="4" s="1"/>
  <c r="F716" i="4" a="1"/>
  <c r="F716" i="4" s="1"/>
  <c r="F719" i="4" a="1"/>
  <c r="F719" i="4" s="1"/>
  <c r="E762" i="4"/>
  <c r="E770" i="4"/>
  <c r="E766" i="4"/>
  <c r="F841" i="4" a="1"/>
  <c r="F841" i="4" s="1"/>
  <c r="E903" i="4"/>
  <c r="E1009" i="4"/>
  <c r="E1015" i="4"/>
  <c r="F1027" i="4" a="1"/>
  <c r="F1027" i="4" s="1"/>
  <c r="F1104" i="4" a="1"/>
  <c r="F1104" i="4" s="1"/>
  <c r="E1198" i="4"/>
  <c r="E1283" i="4"/>
  <c r="F1327" i="4" a="1"/>
  <c r="F1327" i="4" s="1"/>
  <c r="E1336" i="4"/>
  <c r="E1338" i="4"/>
  <c r="E1345" i="4"/>
  <c r="F1436" i="4" a="1"/>
  <c r="F1436" i="4" s="1"/>
  <c r="E1472" i="4"/>
  <c r="E1474" i="4"/>
  <c r="F1504" i="4" a="1"/>
  <c r="F1504" i="4" s="1"/>
  <c r="F1509" i="4" a="1"/>
  <c r="F1509" i="4" s="1"/>
  <c r="H4" i="4"/>
  <c r="M7" i="4" s="1"/>
  <c r="N7" i="4" s="1" a="1"/>
  <c r="N7" i="4" s="1"/>
  <c r="G5" i="6"/>
  <c r="E5" i="6"/>
  <c r="E7" i="6"/>
  <c r="G7" i="6"/>
  <c r="G6" i="6"/>
  <c r="E6" i="6"/>
  <c r="C15" i="6"/>
  <c r="C22" i="6" s="1"/>
  <c r="G3" i="6"/>
  <c r="E3" i="6"/>
  <c r="C10" i="6"/>
  <c r="C17" i="6" s="1"/>
  <c r="C11" i="6"/>
  <c r="C18" i="6" s="1"/>
  <c r="G4" i="6"/>
  <c r="E4" i="6"/>
  <c r="C12" i="6"/>
  <c r="C19" i="6" s="1"/>
  <c r="C13" i="6"/>
  <c r="C20" i="6" s="1"/>
  <c r="C14" i="6"/>
  <c r="C21" i="6" s="1"/>
  <c r="H508" i="4"/>
  <c r="M9" i="4" s="1"/>
  <c r="O9" i="4" s="1"/>
  <c r="K4" i="4"/>
  <c r="E196" i="4"/>
  <c r="E190" i="4"/>
  <c r="E194" i="4"/>
  <c r="E195" i="4"/>
  <c r="F201" i="4" a="1"/>
  <c r="F201" i="4" s="1"/>
  <c r="F202" i="4" a="1"/>
  <c r="F202" i="4" s="1"/>
  <c r="E214" i="4"/>
  <c r="E216" i="4"/>
  <c r="E211" i="4"/>
  <c r="E213" i="4"/>
  <c r="E334" i="4"/>
  <c r="E335" i="4"/>
  <c r="E333" i="4"/>
  <c r="E317" i="4"/>
  <c r="E325" i="4"/>
  <c r="E372" i="4"/>
  <c r="E368" i="4"/>
  <c r="E32" i="4"/>
  <c r="E48" i="4"/>
  <c r="E64" i="4"/>
  <c r="E80" i="4"/>
  <c r="E88" i="4"/>
  <c r="E96" i="4"/>
  <c r="E104" i="4"/>
  <c r="E112" i="4"/>
  <c r="E120" i="4"/>
  <c r="E128" i="4"/>
  <c r="F136" i="4" a="1"/>
  <c r="F136" i="4" s="1"/>
  <c r="E142" i="4"/>
  <c r="F150" i="4" a="1"/>
  <c r="F150" i="4" s="1"/>
  <c r="F152" i="4" a="1"/>
  <c r="F152" i="4" s="1"/>
  <c r="F158" i="4" a="1"/>
  <c r="F158" i="4" s="1"/>
  <c r="F160" i="4" a="1"/>
  <c r="F160" i="4" s="1"/>
  <c r="F163" i="4" a="1"/>
  <c r="F163" i="4" s="1"/>
  <c r="E164" i="4"/>
  <c r="E172" i="4"/>
  <c r="E173" i="4"/>
  <c r="E176" i="4"/>
  <c r="F178" i="4" a="1"/>
  <c r="F178" i="4" s="1"/>
  <c r="E181" i="4"/>
  <c r="E189" i="4"/>
  <c r="F249" i="4" a="1"/>
  <c r="F249" i="4" s="1"/>
  <c r="F250" i="4" a="1"/>
  <c r="F250" i="4" s="1"/>
  <c r="F227" i="4" a="1"/>
  <c r="F227" i="4" s="1"/>
  <c r="F238" i="4" a="1"/>
  <c r="F238" i="4" s="1"/>
  <c r="F246" i="4" a="1"/>
  <c r="F246" i="4" s="1"/>
  <c r="E257" i="4"/>
  <c r="F283" i="4" a="1"/>
  <c r="F283" i="4" s="1"/>
  <c r="F284" i="4" a="1"/>
  <c r="F284" i="4" s="1"/>
  <c r="F285" i="4" a="1"/>
  <c r="F285" i="4" s="1"/>
  <c r="F262" i="4" a="1"/>
  <c r="F262" i="4" s="1"/>
  <c r="F273" i="4" a="1"/>
  <c r="F273" i="4" s="1"/>
  <c r="F281" i="4" a="1"/>
  <c r="F281" i="4" s="1"/>
  <c r="E18" i="4"/>
  <c r="E24" i="4"/>
  <c r="E40" i="4"/>
  <c r="E56" i="4"/>
  <c r="E72" i="4"/>
  <c r="F18" i="4" a="1"/>
  <c r="F18" i="4" s="1"/>
  <c r="F24" i="4" a="1"/>
  <c r="F24" i="4" s="1"/>
  <c r="F32" i="4" a="1"/>
  <c r="F32" i="4" s="1"/>
  <c r="F40" i="4" a="1"/>
  <c r="F40" i="4" s="1"/>
  <c r="F48" i="4" a="1"/>
  <c r="F48" i="4" s="1"/>
  <c r="F56" i="4" a="1"/>
  <c r="F56" i="4" s="1"/>
  <c r="F64" i="4" a="1"/>
  <c r="F64" i="4" s="1"/>
  <c r="F72" i="4" a="1"/>
  <c r="F72" i="4" s="1"/>
  <c r="F80" i="4" a="1"/>
  <c r="F80" i="4" s="1"/>
  <c r="F88" i="4" a="1"/>
  <c r="F88" i="4" s="1"/>
  <c r="F96" i="4" a="1"/>
  <c r="F96" i="4" s="1"/>
  <c r="F104" i="4" a="1"/>
  <c r="F104" i="4" s="1"/>
  <c r="F112" i="4" a="1"/>
  <c r="F112" i="4" s="1"/>
  <c r="F120" i="4" a="1"/>
  <c r="F120" i="4" s="1"/>
  <c r="F128" i="4" a="1"/>
  <c r="F128" i="4" s="1"/>
  <c r="E141" i="4"/>
  <c r="F155" i="4" a="1"/>
  <c r="F155" i="4" s="1"/>
  <c r="F183" i="4" a="1"/>
  <c r="F183" i="4" s="1"/>
  <c r="F194" i="4" a="1"/>
  <c r="F194" i="4" s="1"/>
  <c r="F195" i="4" a="1"/>
  <c r="F195" i="4" s="1"/>
  <c r="E200" i="4"/>
  <c r="E198" i="4"/>
  <c r="E202" i="4"/>
  <c r="E204" i="4"/>
  <c r="E203" i="4"/>
  <c r="F210" i="4" a="1"/>
  <c r="F210" i="4" s="1"/>
  <c r="E235" i="4"/>
  <c r="E236" i="4"/>
  <c r="E234" i="4"/>
  <c r="E217" i="4"/>
  <c r="E218" i="4"/>
  <c r="E221" i="4"/>
  <c r="E226" i="4"/>
  <c r="E270" i="4"/>
  <c r="E271" i="4"/>
  <c r="E269" i="4"/>
  <c r="E256" i="4"/>
  <c r="E253" i="4"/>
  <c r="E261" i="4"/>
  <c r="E308" i="4"/>
  <c r="E304" i="4"/>
  <c r="F329" i="4" a="1"/>
  <c r="F329" i="4" s="1"/>
  <c r="E354" i="4"/>
  <c r="F379" i="4" a="1"/>
  <c r="F379" i="4" s="1"/>
  <c r="F380" i="4" a="1"/>
  <c r="F380" i="4" s="1"/>
  <c r="F381" i="4" a="1"/>
  <c r="F381" i="4" s="1"/>
  <c r="F358" i="4" a="1"/>
  <c r="F358" i="4" s="1"/>
  <c r="F369" i="4" a="1"/>
  <c r="F369" i="4" s="1"/>
  <c r="F377" i="4" a="1"/>
  <c r="F377" i="4" s="1"/>
  <c r="F19" i="4" a="1"/>
  <c r="F19" i="4" s="1"/>
  <c r="E20" i="4"/>
  <c r="E30" i="4"/>
  <c r="E38" i="4"/>
  <c r="E46" i="4"/>
  <c r="E54" i="4"/>
  <c r="E62" i="4"/>
  <c r="E70" i="4"/>
  <c r="E78" i="4"/>
  <c r="E86" i="4"/>
  <c r="E94" i="4"/>
  <c r="E102" i="4"/>
  <c r="E110" i="4"/>
  <c r="E118" i="4"/>
  <c r="E126" i="4"/>
  <c r="E134" i="4"/>
  <c r="F141" i="4" a="1"/>
  <c r="F141" i="4" s="1"/>
  <c r="F147" i="4" a="1"/>
  <c r="F147" i="4" s="1"/>
  <c r="E162" i="4"/>
  <c r="E163" i="4"/>
  <c r="F165" i="4" a="1"/>
  <c r="F165" i="4" s="1"/>
  <c r="F172" i="4" a="1"/>
  <c r="F172" i="4" s="1"/>
  <c r="F174" i="4" a="1"/>
  <c r="F174" i="4" s="1"/>
  <c r="E175" i="4"/>
  <c r="E320" i="4"/>
  <c r="F342" i="4" a="1"/>
  <c r="F342" i="4" s="1"/>
  <c r="E366" i="4"/>
  <c r="E367" i="4"/>
  <c r="E365" i="4"/>
  <c r="E349" i="4"/>
  <c r="E357" i="4"/>
  <c r="F10" i="4" a="1"/>
  <c r="F10" i="4" s="1"/>
  <c r="F20" i="4" a="1"/>
  <c r="F20" i="4" s="1"/>
  <c r="F22" i="4" a="1"/>
  <c r="F22" i="4" s="1"/>
  <c r="F30" i="4" a="1"/>
  <c r="F30" i="4" s="1"/>
  <c r="F38" i="4" a="1"/>
  <c r="F38" i="4" s="1"/>
  <c r="F46" i="4" a="1"/>
  <c r="F46" i="4" s="1"/>
  <c r="F54" i="4" a="1"/>
  <c r="F54" i="4" s="1"/>
  <c r="F62" i="4" a="1"/>
  <c r="F62" i="4" s="1"/>
  <c r="F70" i="4" a="1"/>
  <c r="F70" i="4" s="1"/>
  <c r="F78" i="4" a="1"/>
  <c r="F78" i="4" s="1"/>
  <c r="F86" i="4" a="1"/>
  <c r="F86" i="4" s="1"/>
  <c r="F94" i="4" a="1"/>
  <c r="F94" i="4" s="1"/>
  <c r="F102" i="4" a="1"/>
  <c r="F102" i="4" s="1"/>
  <c r="F110" i="4" a="1"/>
  <c r="F110" i="4" s="1"/>
  <c r="F118" i="4" a="1"/>
  <c r="F118" i="4" s="1"/>
  <c r="F126" i="4" a="1"/>
  <c r="F126" i="4" s="1"/>
  <c r="F134" i="4" a="1"/>
  <c r="F134" i="4" s="1"/>
  <c r="E140" i="4"/>
  <c r="E155" i="4"/>
  <c r="E169" i="4"/>
  <c r="F175" i="4" a="1"/>
  <c r="F175" i="4" s="1"/>
  <c r="E193" i="4"/>
  <c r="F198" i="4" a="1"/>
  <c r="F198" i="4" s="1"/>
  <c r="F199" i="4" a="1"/>
  <c r="F199" i="4" s="1"/>
  <c r="E206" i="4"/>
  <c r="E289" i="4"/>
  <c r="F315" i="4" a="1"/>
  <c r="F315" i="4" s="1"/>
  <c r="F316" i="4" a="1"/>
  <c r="F316" i="4" s="1"/>
  <c r="F317" i="4" a="1"/>
  <c r="F317" i="4" s="1"/>
  <c r="F294" i="4" a="1"/>
  <c r="F294" i="4" s="1"/>
  <c r="F305" i="4" a="1"/>
  <c r="F305" i="4" s="1"/>
  <c r="F313" i="4" a="1"/>
  <c r="F313" i="4" s="1"/>
  <c r="E328" i="4"/>
  <c r="F4" i="4" a="1"/>
  <c r="F4" i="4" s="1"/>
  <c r="E6" i="4"/>
  <c r="F7" i="4" a="1"/>
  <c r="F7" i="4" s="1"/>
  <c r="E28" i="4"/>
  <c r="F29" i="4" a="1"/>
  <c r="F29" i="4" s="1"/>
  <c r="E36" i="4"/>
  <c r="F37" i="4" a="1"/>
  <c r="F37" i="4" s="1"/>
  <c r="E44" i="4"/>
  <c r="F45" i="4" a="1"/>
  <c r="F45" i="4" s="1"/>
  <c r="E52" i="4"/>
  <c r="F53" i="4" a="1"/>
  <c r="F53" i="4" s="1"/>
  <c r="E60" i="4"/>
  <c r="F61" i="4" a="1"/>
  <c r="F61" i="4" s="1"/>
  <c r="E68" i="4"/>
  <c r="F69" i="4" a="1"/>
  <c r="F69" i="4" s="1"/>
  <c r="E76" i="4"/>
  <c r="F77" i="4" a="1"/>
  <c r="F77" i="4" s="1"/>
  <c r="E84" i="4"/>
  <c r="F85" i="4" a="1"/>
  <c r="F85" i="4" s="1"/>
  <c r="E92" i="4"/>
  <c r="F93" i="4" a="1"/>
  <c r="F93" i="4" s="1"/>
  <c r="E100" i="4"/>
  <c r="F101" i="4" a="1"/>
  <c r="F101" i="4" s="1"/>
  <c r="E108" i="4"/>
  <c r="F109" i="4" a="1"/>
  <c r="F109" i="4" s="1"/>
  <c r="E116" i="4"/>
  <c r="F117" i="4" a="1"/>
  <c r="F117" i="4" s="1"/>
  <c r="E124" i="4"/>
  <c r="F125" i="4" a="1"/>
  <c r="F125" i="4" s="1"/>
  <c r="E132" i="4"/>
  <c r="F133" i="4" a="1"/>
  <c r="F133" i="4" s="1"/>
  <c r="E139" i="4"/>
  <c r="F140" i="4" a="1"/>
  <c r="F140" i="4" s="1"/>
  <c r="F145" i="4" a="1"/>
  <c r="F145" i="4" s="1"/>
  <c r="E165" i="4"/>
  <c r="F169" i="4" a="1"/>
  <c r="F169" i="4" s="1"/>
  <c r="F179" i="4" a="1"/>
  <c r="F179" i="4" s="1"/>
  <c r="F186" i="4" a="1"/>
  <c r="F186" i="4" s="1"/>
  <c r="F187" i="4" a="1"/>
  <c r="F187" i="4" s="1"/>
  <c r="F192" i="4" a="1"/>
  <c r="F192" i="4" s="1"/>
  <c r="F191" i="4" a="1"/>
  <c r="F191" i="4" s="1"/>
  <c r="F188" i="4" a="1"/>
  <c r="F188" i="4" s="1"/>
  <c r="E197" i="4"/>
  <c r="E210" i="4"/>
  <c r="E302" i="4"/>
  <c r="E303" i="4"/>
  <c r="E301" i="4"/>
  <c r="E285" i="4"/>
  <c r="E288" i="4"/>
  <c r="E293" i="4"/>
  <c r="E340" i="4"/>
  <c r="E336" i="4"/>
  <c r="E8" i="4"/>
  <c r="E12" i="4"/>
  <c r="E131" i="4"/>
  <c r="F144" i="4" a="1"/>
  <c r="F144" i="4" s="1"/>
  <c r="F148" i="4" a="1"/>
  <c r="F148" i="4" s="1"/>
  <c r="E149" i="4"/>
  <c r="E154" i="4"/>
  <c r="E157" i="4"/>
  <c r="F162" i="4" a="1"/>
  <c r="F162" i="4" s="1"/>
  <c r="F164" i="4" a="1"/>
  <c r="F164" i="4" s="1"/>
  <c r="F168" i="4" a="1"/>
  <c r="F168" i="4" s="1"/>
  <c r="F171" i="4" a="1"/>
  <c r="F171" i="4" s="1"/>
  <c r="F180" i="4" a="1"/>
  <c r="F180" i="4" s="1"/>
  <c r="F184" i="4" a="1"/>
  <c r="F184" i="4" s="1"/>
  <c r="F185" i="4" a="1"/>
  <c r="F185" i="4" s="1"/>
  <c r="F189" i="4" a="1"/>
  <c r="F189" i="4" s="1"/>
  <c r="F190" i="4" a="1"/>
  <c r="F190" i="4" s="1"/>
  <c r="E201" i="4"/>
  <c r="F207" i="4" a="1"/>
  <c r="F207" i="4" s="1"/>
  <c r="F206" i="4" a="1"/>
  <c r="F206" i="4" s="1"/>
  <c r="F217" i="4" a="1"/>
  <c r="F217" i="4" s="1"/>
  <c r="F218" i="4" a="1"/>
  <c r="F218" i="4" s="1"/>
  <c r="F154" i="4" a="1"/>
  <c r="F154" i="4" s="1"/>
  <c r="F156" i="4" a="1"/>
  <c r="F156" i="4" s="1"/>
  <c r="E161" i="4"/>
  <c r="F166" i="4" a="1"/>
  <c r="F166" i="4" s="1"/>
  <c r="F173" i="4" a="1"/>
  <c r="F173" i="4" s="1"/>
  <c r="F177" i="4" a="1"/>
  <c r="F177" i="4" s="1"/>
  <c r="E177" i="4"/>
  <c r="E178" i="4"/>
  <c r="E179" i="4"/>
  <c r="E182" i="4"/>
  <c r="E205" i="4"/>
  <c r="E241" i="4"/>
  <c r="E237" i="4"/>
  <c r="E276" i="4"/>
  <c r="E272" i="4"/>
  <c r="E322" i="4"/>
  <c r="F347" i="4" a="1"/>
  <c r="F347" i="4" s="1"/>
  <c r="F348" i="4" a="1"/>
  <c r="F348" i="4" s="1"/>
  <c r="F349" i="4" a="1"/>
  <c r="F349" i="4" s="1"/>
  <c r="F326" i="4" a="1"/>
  <c r="F326" i="4" s="1"/>
  <c r="F337" i="4" a="1"/>
  <c r="F337" i="4" s="1"/>
  <c r="F345" i="4" a="1"/>
  <c r="F345" i="4" s="1"/>
  <c r="E360" i="4"/>
  <c r="E398" i="4"/>
  <c r="E399" i="4"/>
  <c r="E408" i="4"/>
  <c r="E412" i="4"/>
  <c r="F457" i="4" a="1"/>
  <c r="F457" i="4" s="1"/>
  <c r="F458" i="4" a="1"/>
  <c r="F458" i="4" s="1"/>
  <c r="E472" i="4"/>
  <c r="E476" i="4"/>
  <c r="F223" i="4" a="1"/>
  <c r="F223" i="4" s="1"/>
  <c r="F245" i="4" a="1"/>
  <c r="F245" i="4" s="1"/>
  <c r="F255" i="4" a="1"/>
  <c r="F255" i="4" s="1"/>
  <c r="H255" i="4"/>
  <c r="M8" i="4" s="1"/>
  <c r="N8" i="4" s="1" a="1"/>
  <c r="N8" i="4" s="1"/>
  <c r="E255" i="4"/>
  <c r="F258" i="4" a="1"/>
  <c r="F258" i="4" s="1"/>
  <c r="F280" i="4" a="1"/>
  <c r="F280" i="4" s="1"/>
  <c r="F290" i="4" a="1"/>
  <c r="F290" i="4" s="1"/>
  <c r="F312" i="4" a="1"/>
  <c r="F312" i="4" s="1"/>
  <c r="F322" i="4" a="1"/>
  <c r="F322" i="4" s="1"/>
  <c r="F344" i="4" a="1"/>
  <c r="F344" i="4" s="1"/>
  <c r="F354" i="4" a="1"/>
  <c r="F354" i="4" s="1"/>
  <c r="F376" i="4" a="1"/>
  <c r="F376" i="4" s="1"/>
  <c r="F386" i="4" a="1"/>
  <c r="F386" i="4" s="1"/>
  <c r="E389" i="4"/>
  <c r="E401" i="4"/>
  <c r="E402" i="4"/>
  <c r="F407" i="4" a="1"/>
  <c r="F407" i="4" s="1"/>
  <c r="F416" i="4" a="1"/>
  <c r="F416" i="4" s="1"/>
  <c r="F417" i="4" a="1"/>
  <c r="F417" i="4" s="1"/>
  <c r="F418" i="4" a="1"/>
  <c r="F418" i="4" s="1"/>
  <c r="E432" i="4"/>
  <c r="E436" i="4"/>
  <c r="F451" i="4" a="1"/>
  <c r="F451" i="4" s="1"/>
  <c r="F454" i="4" a="1"/>
  <c r="F454" i="4" s="1"/>
  <c r="E465" i="4"/>
  <c r="E466" i="4"/>
  <c r="E188" i="4"/>
  <c r="E192" i="4"/>
  <c r="F193" i="4" a="1"/>
  <c r="F193" i="4" s="1"/>
  <c r="E207" i="4"/>
  <c r="F215" i="4" a="1"/>
  <c r="F215" i="4" s="1"/>
  <c r="E227" i="4"/>
  <c r="E228" i="4"/>
  <c r="F228" i="4" a="1"/>
  <c r="F228" i="4" s="1"/>
  <c r="E233" i="4"/>
  <c r="F240" i="4" a="1"/>
  <c r="F240" i="4" s="1"/>
  <c r="F241" i="4" a="1"/>
  <c r="F241" i="4" s="1"/>
  <c r="F242" i="4" a="1"/>
  <c r="F242" i="4" s="1"/>
  <c r="E246" i="4"/>
  <c r="E262" i="4"/>
  <c r="E263" i="4"/>
  <c r="F263" i="4" a="1"/>
  <c r="F263" i="4" s="1"/>
  <c r="E268" i="4"/>
  <c r="F275" i="4" a="1"/>
  <c r="F275" i="4" s="1"/>
  <c r="F276" i="4" a="1"/>
  <c r="F276" i="4" s="1"/>
  <c r="F277" i="4" a="1"/>
  <c r="F277" i="4" s="1"/>
  <c r="E281" i="4"/>
  <c r="E294" i="4"/>
  <c r="E295" i="4"/>
  <c r="F295" i="4" a="1"/>
  <c r="F295" i="4" s="1"/>
  <c r="E300" i="4"/>
  <c r="E305" i="4"/>
  <c r="F307" i="4" a="1"/>
  <c r="F307" i="4" s="1"/>
  <c r="F308" i="4" a="1"/>
  <c r="F308" i="4" s="1"/>
  <c r="F309" i="4" a="1"/>
  <c r="F309" i="4" s="1"/>
  <c r="E314" i="4"/>
  <c r="F319" i="4" a="1"/>
  <c r="F319" i="4" s="1"/>
  <c r="E326" i="4"/>
  <c r="E327" i="4"/>
  <c r="E332" i="4"/>
  <c r="E337" i="4"/>
  <c r="F339" i="4" a="1"/>
  <c r="F339" i="4" s="1"/>
  <c r="F340" i="4" a="1"/>
  <c r="F340" i="4" s="1"/>
  <c r="F341" i="4" a="1"/>
  <c r="F341" i="4" s="1"/>
  <c r="E346" i="4"/>
  <c r="F351" i="4" a="1"/>
  <c r="F351" i="4" s="1"/>
  <c r="E358" i="4"/>
  <c r="E359" i="4"/>
  <c r="E364" i="4"/>
  <c r="E369" i="4"/>
  <c r="F371" i="4" a="1"/>
  <c r="F371" i="4" s="1"/>
  <c r="F372" i="4" a="1"/>
  <c r="F372" i="4" s="1"/>
  <c r="F373" i="4" a="1"/>
  <c r="F373" i="4" s="1"/>
  <c r="E378" i="4"/>
  <c r="F383" i="4" a="1"/>
  <c r="F383" i="4" s="1"/>
  <c r="E390" i="4"/>
  <c r="E391" i="4"/>
  <c r="E396" i="4"/>
  <c r="E405" i="4"/>
  <c r="F411" i="4" a="1"/>
  <c r="F411" i="4" s="1"/>
  <c r="F414" i="4" a="1"/>
  <c r="F414" i="4" s="1"/>
  <c r="E425" i="4"/>
  <c r="E426" i="4"/>
  <c r="F431" i="4" a="1"/>
  <c r="F431" i="4" s="1"/>
  <c r="F440" i="4" a="1"/>
  <c r="F440" i="4" s="1"/>
  <c r="F441" i="4" a="1"/>
  <c r="F441" i="4" s="1"/>
  <c r="F442" i="4" a="1"/>
  <c r="F442" i="4" s="1"/>
  <c r="E446" i="4"/>
  <c r="E456" i="4"/>
  <c r="E460" i="4"/>
  <c r="E469" i="4"/>
  <c r="E183" i="4"/>
  <c r="E199" i="4"/>
  <c r="E223" i="4"/>
  <c r="F237" i="4" a="1"/>
  <c r="F237" i="4" s="1"/>
  <c r="F247" i="4" a="1"/>
  <c r="F247" i="4" s="1"/>
  <c r="F272" i="4" a="1"/>
  <c r="F272" i="4" s="1"/>
  <c r="F282" i="4" a="1"/>
  <c r="F282" i="4" s="1"/>
  <c r="F304" i="4" a="1"/>
  <c r="F304" i="4" s="1"/>
  <c r="F314" i="4" a="1"/>
  <c r="F314" i="4" s="1"/>
  <c r="F336" i="4" a="1"/>
  <c r="F336" i="4" s="1"/>
  <c r="F346" i="4" a="1"/>
  <c r="F346" i="4" s="1"/>
  <c r="F368" i="4" a="1"/>
  <c r="F368" i="4" s="1"/>
  <c r="F378" i="4" a="1"/>
  <c r="F378" i="4" s="1"/>
  <c r="E381" i="4"/>
  <c r="F400" i="4" a="1"/>
  <c r="F400" i="4" s="1"/>
  <c r="F401" i="4" a="1"/>
  <c r="F401" i="4" s="1"/>
  <c r="F402" i="4" a="1"/>
  <c r="F402" i="4" s="1"/>
  <c r="E406" i="4"/>
  <c r="E416" i="4"/>
  <c r="E420" i="4"/>
  <c r="E429" i="4"/>
  <c r="F435" i="4" a="1"/>
  <c r="F435" i="4" s="1"/>
  <c r="F438" i="4" a="1"/>
  <c r="F438" i="4" s="1"/>
  <c r="F455" i="4" a="1"/>
  <c r="F455" i="4" s="1"/>
  <c r="F464" i="4" a="1"/>
  <c r="F464" i="4" s="1"/>
  <c r="F465" i="4" a="1"/>
  <c r="F465" i="4" s="1"/>
  <c r="F466" i="4" a="1"/>
  <c r="F466" i="4" s="1"/>
  <c r="E470" i="4"/>
  <c r="E171" i="4"/>
  <c r="F176" i="4" a="1"/>
  <c r="F176" i="4" s="1"/>
  <c r="E187" i="4"/>
  <c r="E191" i="4"/>
  <c r="F205" i="4" a="1"/>
  <c r="F205" i="4" s="1"/>
  <c r="E215" i="4"/>
  <c r="E219" i="4"/>
  <c r="E220" i="4"/>
  <c r="F220" i="4" a="1"/>
  <c r="F220" i="4" s="1"/>
  <c r="E225" i="4"/>
  <c r="F232" i="4" a="1"/>
  <c r="F232" i="4" s="1"/>
  <c r="F233" i="4" a="1"/>
  <c r="F233" i="4" s="1"/>
  <c r="F234" i="4" a="1"/>
  <c r="F234" i="4" s="1"/>
  <c r="E238" i="4"/>
  <c r="E245" i="4"/>
  <c r="E251" i="4"/>
  <c r="E252" i="4"/>
  <c r="F252" i="4" a="1"/>
  <c r="F252" i="4" s="1"/>
  <c r="E260" i="4"/>
  <c r="F267" i="4" a="1"/>
  <c r="F267" i="4" s="1"/>
  <c r="F268" i="4" a="1"/>
  <c r="F268" i="4" s="1"/>
  <c r="F269" i="4" a="1"/>
  <c r="F269" i="4" s="1"/>
  <c r="E273" i="4"/>
  <c r="E286" i="4"/>
  <c r="E287" i="4"/>
  <c r="F287" i="4" a="1"/>
  <c r="F287" i="4" s="1"/>
  <c r="E292" i="4"/>
  <c r="F299" i="4" a="1"/>
  <c r="F299" i="4" s="1"/>
  <c r="F300" i="4" a="1"/>
  <c r="F300" i="4" s="1"/>
  <c r="F301" i="4" a="1"/>
  <c r="F301" i="4" s="1"/>
  <c r="E306" i="4"/>
  <c r="F311" i="4" a="1"/>
  <c r="F311" i="4" s="1"/>
  <c r="E318" i="4"/>
  <c r="E319" i="4"/>
  <c r="E324" i="4"/>
  <c r="E329" i="4"/>
  <c r="F331" i="4" a="1"/>
  <c r="F331" i="4" s="1"/>
  <c r="F332" i="4" a="1"/>
  <c r="F332" i="4" s="1"/>
  <c r="F333" i="4" a="1"/>
  <c r="F333" i="4" s="1"/>
  <c r="F334" i="4" a="1"/>
  <c r="F334" i="4" s="1"/>
  <c r="E338" i="4"/>
  <c r="F343" i="4" a="1"/>
  <c r="F343" i="4" s="1"/>
  <c r="E350" i="4"/>
  <c r="E351" i="4"/>
  <c r="E356" i="4"/>
  <c r="E361" i="4"/>
  <c r="F363" i="4" a="1"/>
  <c r="F363" i="4" s="1"/>
  <c r="F364" i="4" a="1"/>
  <c r="F364" i="4" s="1"/>
  <c r="F365" i="4" a="1"/>
  <c r="F365" i="4" s="1"/>
  <c r="F366" i="4" a="1"/>
  <c r="F366" i="4" s="1"/>
  <c r="E370" i="4"/>
  <c r="F375" i="4" a="1"/>
  <c r="F375" i="4" s="1"/>
  <c r="E382" i="4"/>
  <c r="E383" i="4"/>
  <c r="E388" i="4"/>
  <c r="E393" i="4"/>
  <c r="F395" i="4" a="1"/>
  <c r="F395" i="4" s="1"/>
  <c r="F396" i="4" a="1"/>
  <c r="F396" i="4" s="1"/>
  <c r="F397" i="4" a="1"/>
  <c r="F397" i="4" s="1"/>
  <c r="F398" i="4" a="1"/>
  <c r="F398" i="4" s="1"/>
  <c r="E409" i="4"/>
  <c r="E410" i="4"/>
  <c r="F415" i="4" a="1"/>
  <c r="F415" i="4" s="1"/>
  <c r="F424" i="4" a="1"/>
  <c r="F424" i="4" s="1"/>
  <c r="F425" i="4" a="1"/>
  <c r="F425" i="4" s="1"/>
  <c r="F426" i="4" a="1"/>
  <c r="F426" i="4" s="1"/>
  <c r="E430" i="4"/>
  <c r="E440" i="4"/>
  <c r="E444" i="4"/>
  <c r="F459" i="4" a="1"/>
  <c r="F459" i="4" s="1"/>
  <c r="F462" i="4" a="1"/>
  <c r="F462" i="4" s="1"/>
  <c r="E473" i="4"/>
  <c r="E474" i="4"/>
  <c r="F181" i="4" a="1"/>
  <c r="F181" i="4" s="1"/>
  <c r="F197" i="4" a="1"/>
  <c r="F197" i="4" s="1"/>
  <c r="F208" i="4" a="1"/>
  <c r="F208" i="4" s="1"/>
  <c r="E212" i="4"/>
  <c r="F212" i="4" a="1"/>
  <c r="F212" i="4" s="1"/>
  <c r="F229" i="4" a="1"/>
  <c r="F229" i="4" s="1"/>
  <c r="F239" i="4" a="1"/>
  <c r="F239" i="4" s="1"/>
  <c r="F264" i="4" a="1"/>
  <c r="F264" i="4" s="1"/>
  <c r="F274" i="4" a="1"/>
  <c r="F274" i="4" s="1"/>
  <c r="F296" i="4" a="1"/>
  <c r="F296" i="4" s="1"/>
  <c r="F306" i="4" a="1"/>
  <c r="F306" i="4" s="1"/>
  <c r="F328" i="4" a="1"/>
  <c r="F328" i="4" s="1"/>
  <c r="F338" i="4" a="1"/>
  <c r="F338" i="4" s="1"/>
  <c r="F360" i="4" a="1"/>
  <c r="F360" i="4" s="1"/>
  <c r="F370" i="4" a="1"/>
  <c r="F370" i="4" s="1"/>
  <c r="F392" i="4" a="1"/>
  <c r="F392" i="4" s="1"/>
  <c r="E400" i="4"/>
  <c r="E404" i="4"/>
  <c r="E413" i="4"/>
  <c r="F419" i="4" a="1"/>
  <c r="F419" i="4" s="1"/>
  <c r="F422" i="4" a="1"/>
  <c r="F422" i="4" s="1"/>
  <c r="E433" i="4"/>
  <c r="E434" i="4"/>
  <c r="F439" i="4" a="1"/>
  <c r="F439" i="4" s="1"/>
  <c r="F448" i="4" a="1"/>
  <c r="F448" i="4" s="1"/>
  <c r="F449" i="4" a="1"/>
  <c r="F449" i="4" s="1"/>
  <c r="F450" i="4" a="1"/>
  <c r="F450" i="4" s="1"/>
  <c r="E454" i="4"/>
  <c r="E464" i="4"/>
  <c r="E468" i="4"/>
  <c r="F209" i="4" a="1"/>
  <c r="F209" i="4" s="1"/>
  <c r="F224" i="4" a="1"/>
  <c r="F224" i="4" s="1"/>
  <c r="F225" i="4" a="1"/>
  <c r="F225" i="4" s="1"/>
  <c r="F226" i="4" a="1"/>
  <c r="F226" i="4" s="1"/>
  <c r="E230" i="4"/>
  <c r="E243" i="4"/>
  <c r="E244" i="4"/>
  <c r="F244" i="4" a="1"/>
  <c r="F244" i="4" s="1"/>
  <c r="F259" i="4" a="1"/>
  <c r="F259" i="4" s="1"/>
  <c r="F260" i="4" a="1"/>
  <c r="F260" i="4" s="1"/>
  <c r="F261" i="4" a="1"/>
  <c r="F261" i="4" s="1"/>
  <c r="E265" i="4"/>
  <c r="E278" i="4"/>
  <c r="E279" i="4"/>
  <c r="F279" i="4" a="1"/>
  <c r="F279" i="4" s="1"/>
  <c r="E284" i="4"/>
  <c r="F291" i="4" a="1"/>
  <c r="F291" i="4" s="1"/>
  <c r="F292" i="4" a="1"/>
  <c r="F292" i="4" s="1"/>
  <c r="F293" i="4" a="1"/>
  <c r="F293" i="4" s="1"/>
  <c r="E297" i="4"/>
  <c r="E310" i="4"/>
  <c r="E311" i="4"/>
  <c r="E316" i="4"/>
  <c r="E321" i="4"/>
  <c r="F323" i="4" a="1"/>
  <c r="F323" i="4" s="1"/>
  <c r="F324" i="4" a="1"/>
  <c r="F324" i="4" s="1"/>
  <c r="F325" i="4" a="1"/>
  <c r="F325" i="4" s="1"/>
  <c r="E330" i="4"/>
  <c r="F335" i="4" a="1"/>
  <c r="F335" i="4" s="1"/>
  <c r="E342" i="4"/>
  <c r="E343" i="4"/>
  <c r="E348" i="4"/>
  <c r="E353" i="4"/>
  <c r="F355" i="4" a="1"/>
  <c r="F355" i="4" s="1"/>
  <c r="F356" i="4" a="1"/>
  <c r="F356" i="4" s="1"/>
  <c r="F357" i="4" a="1"/>
  <c r="F357" i="4" s="1"/>
  <c r="E362" i="4"/>
  <c r="F367" i="4" a="1"/>
  <c r="F367" i="4" s="1"/>
  <c r="E374" i="4"/>
  <c r="E375" i="4"/>
  <c r="E380" i="4"/>
  <c r="E385" i="4"/>
  <c r="F387" i="4" a="1"/>
  <c r="F387" i="4" s="1"/>
  <c r="F388" i="4" a="1"/>
  <c r="F388" i="4" s="1"/>
  <c r="F389" i="4" a="1"/>
  <c r="F389" i="4" s="1"/>
  <c r="F390" i="4" a="1"/>
  <c r="F390" i="4" s="1"/>
  <c r="E394" i="4"/>
  <c r="F399" i="4" a="1"/>
  <c r="F399" i="4" s="1"/>
  <c r="F408" i="4" a="1"/>
  <c r="F408" i="4" s="1"/>
  <c r="F409" i="4" a="1"/>
  <c r="F409" i="4" s="1"/>
  <c r="F410" i="4" a="1"/>
  <c r="F410" i="4" s="1"/>
  <c r="E424" i="4"/>
  <c r="E428" i="4"/>
  <c r="F443" i="4" a="1"/>
  <c r="F443" i="4" s="1"/>
  <c r="F446" i="4" a="1"/>
  <c r="F446" i="4" s="1"/>
  <c r="E457" i="4"/>
  <c r="E458" i="4"/>
  <c r="F473" i="4" a="1"/>
  <c r="F473" i="4" s="1"/>
  <c r="F474" i="4" a="1"/>
  <c r="F474" i="4" s="1"/>
  <c r="F200" i="4" a="1"/>
  <c r="F200" i="4" s="1"/>
  <c r="E208" i="4"/>
  <c r="F216" i="4" a="1"/>
  <c r="F216" i="4" s="1"/>
  <c r="F221" i="4" a="1"/>
  <c r="F221" i="4" s="1"/>
  <c r="F222" i="4" a="1"/>
  <c r="F222" i="4" s="1"/>
  <c r="F231" i="4" a="1"/>
  <c r="F231" i="4" s="1"/>
  <c r="F253" i="4" a="1"/>
  <c r="F253" i="4" s="1"/>
  <c r="F254" i="4" a="1"/>
  <c r="F254" i="4" s="1"/>
  <c r="F256" i="4" a="1"/>
  <c r="F256" i="4" s="1"/>
  <c r="F257" i="4" a="1"/>
  <c r="F257" i="4" s="1"/>
  <c r="F266" i="4" a="1"/>
  <c r="F266" i="4" s="1"/>
  <c r="F288" i="4" a="1"/>
  <c r="F288" i="4" s="1"/>
  <c r="F289" i="4" a="1"/>
  <c r="F289" i="4" s="1"/>
  <c r="F298" i="4" a="1"/>
  <c r="F298" i="4" s="1"/>
  <c r="F320" i="4" a="1"/>
  <c r="F320" i="4" s="1"/>
  <c r="F321" i="4" a="1"/>
  <c r="F321" i="4" s="1"/>
  <c r="F330" i="4" a="1"/>
  <c r="F330" i="4" s="1"/>
  <c r="F352" i="4" a="1"/>
  <c r="F352" i="4" s="1"/>
  <c r="F353" i="4" a="1"/>
  <c r="F353" i="4" s="1"/>
  <c r="F362" i="4" a="1"/>
  <c r="F362" i="4" s="1"/>
  <c r="F384" i="4" a="1"/>
  <c r="F384" i="4" s="1"/>
  <c r="F385" i="4" a="1"/>
  <c r="F385" i="4" s="1"/>
  <c r="F394" i="4" a="1"/>
  <c r="F394" i="4" s="1"/>
  <c r="E397" i="4"/>
  <c r="F403" i="4" a="1"/>
  <c r="F403" i="4" s="1"/>
  <c r="F406" i="4" a="1"/>
  <c r="F406" i="4" s="1"/>
  <c r="E417" i="4"/>
  <c r="E418" i="4"/>
  <c r="F423" i="4" a="1"/>
  <c r="F423" i="4" s="1"/>
  <c r="F432" i="4" a="1"/>
  <c r="F432" i="4" s="1"/>
  <c r="F433" i="4" a="1"/>
  <c r="F433" i="4" s="1"/>
  <c r="F434" i="4" a="1"/>
  <c r="F434" i="4" s="1"/>
  <c r="E448" i="4"/>
  <c r="E452" i="4"/>
  <c r="E461" i="4"/>
  <c r="F467" i="4" a="1"/>
  <c r="F467" i="4" s="1"/>
  <c r="F470" i="4" a="1"/>
  <c r="F470" i="4" s="1"/>
  <c r="E407" i="4"/>
  <c r="E415" i="4"/>
  <c r="E423" i="4"/>
  <c r="E431" i="4"/>
  <c r="E439" i="4"/>
  <c r="E447" i="4"/>
  <c r="E455" i="4"/>
  <c r="E463" i="4"/>
  <c r="E471" i="4"/>
  <c r="E479" i="4"/>
  <c r="E487" i="4"/>
  <c r="E495" i="4"/>
  <c r="F507" i="4" a="1"/>
  <c r="F507" i="4" s="1"/>
  <c r="E520" i="4"/>
  <c r="E538" i="4"/>
  <c r="E551" i="4"/>
  <c r="E552" i="4"/>
  <c r="F559" i="4" a="1"/>
  <c r="F559" i="4" s="1"/>
  <c r="F560" i="4" a="1"/>
  <c r="F560" i="4" s="1"/>
  <c r="E569" i="4"/>
  <c r="F573" i="4" a="1"/>
  <c r="F573" i="4" s="1"/>
  <c r="F579" i="4" a="1"/>
  <c r="F579" i="4" s="1"/>
  <c r="E580" i="4"/>
  <c r="F593" i="4" a="1"/>
  <c r="F593" i="4" s="1"/>
  <c r="E602" i="4"/>
  <c r="E606" i="4"/>
  <c r="E608" i="4"/>
  <c r="F623" i="4" a="1"/>
  <c r="F623" i="4" s="1"/>
  <c r="F624" i="4" a="1"/>
  <c r="F624" i="4" s="1"/>
  <c r="F637" i="4" a="1"/>
  <c r="F637" i="4" s="1"/>
  <c r="F643" i="4" a="1"/>
  <c r="F643" i="4" s="1"/>
  <c r="E644" i="4"/>
  <c r="F657" i="4" a="1"/>
  <c r="F657" i="4" s="1"/>
  <c r="E666" i="4"/>
  <c r="E670" i="4"/>
  <c r="E671" i="4"/>
  <c r="E672" i="4"/>
  <c r="F687" i="4" a="1"/>
  <c r="F687" i="4" s="1"/>
  <c r="F688" i="4" a="1"/>
  <c r="F688" i="4" s="1"/>
  <c r="E697" i="4"/>
  <c r="E701" i="4"/>
  <c r="E702" i="4"/>
  <c r="F504" i="4" a="1"/>
  <c r="F504" i="4" s="1"/>
  <c r="E512" i="4"/>
  <c r="E530" i="4"/>
  <c r="F535" i="4" a="1"/>
  <c r="F535" i="4" s="1"/>
  <c r="F537" i="4" a="1"/>
  <c r="F537" i="4" s="1"/>
  <c r="F547" i="4" a="1"/>
  <c r="F547" i="4" s="1"/>
  <c r="E548" i="4"/>
  <c r="F567" i="4" a="1"/>
  <c r="F567" i="4" s="1"/>
  <c r="F568" i="4" a="1"/>
  <c r="F568" i="4" s="1"/>
  <c r="F581" i="4" a="1"/>
  <c r="F581" i="4" s="1"/>
  <c r="F587" i="4" a="1"/>
  <c r="F587" i="4" s="1"/>
  <c r="E588" i="4"/>
  <c r="E591" i="4"/>
  <c r="F601" i="4" a="1"/>
  <c r="F601" i="4" s="1"/>
  <c r="E605" i="4"/>
  <c r="E610" i="4"/>
  <c r="E614" i="4"/>
  <c r="E615" i="4"/>
  <c r="E616" i="4"/>
  <c r="F631" i="4" a="1"/>
  <c r="F631" i="4" s="1"/>
  <c r="F632" i="4" a="1"/>
  <c r="F632" i="4" s="1"/>
  <c r="F645" i="4" a="1"/>
  <c r="F645" i="4" s="1"/>
  <c r="F651" i="4" a="1"/>
  <c r="F651" i="4" s="1"/>
  <c r="E652" i="4"/>
  <c r="F665" i="4" a="1"/>
  <c r="F665" i="4" s="1"/>
  <c r="E669" i="4"/>
  <c r="E674" i="4"/>
  <c r="E678" i="4"/>
  <c r="E679" i="4"/>
  <c r="E680" i="4"/>
  <c r="F695" i="4" a="1"/>
  <c r="F695" i="4" s="1"/>
  <c r="F696" i="4" a="1"/>
  <c r="F696" i="4" s="1"/>
  <c r="E704" i="4"/>
  <c r="F708" i="4" a="1"/>
  <c r="F708" i="4" s="1"/>
  <c r="F715" i="4" a="1"/>
  <c r="F715" i="4" s="1"/>
  <c r="F712" i="4" a="1"/>
  <c r="F712" i="4" s="1"/>
  <c r="E718" i="4"/>
  <c r="E558" i="4"/>
  <c r="E559" i="4"/>
  <c r="E560" i="4"/>
  <c r="F575" i="4" a="1"/>
  <c r="F575" i="4" s="1"/>
  <c r="F576" i="4" a="1"/>
  <c r="F576" i="4" s="1"/>
  <c r="E622" i="4"/>
  <c r="E623" i="4"/>
  <c r="E624" i="4"/>
  <c r="F639" i="4" a="1"/>
  <c r="F639" i="4" s="1"/>
  <c r="F640" i="4" a="1"/>
  <c r="F640" i="4" s="1"/>
  <c r="E686" i="4"/>
  <c r="E687" i="4"/>
  <c r="E688" i="4"/>
  <c r="F405" i="4" a="1"/>
  <c r="F405" i="4" s="1"/>
  <c r="F413" i="4" a="1"/>
  <c r="F413" i="4" s="1"/>
  <c r="F421" i="4" a="1"/>
  <c r="F421" i="4" s="1"/>
  <c r="F429" i="4" a="1"/>
  <c r="F429" i="4" s="1"/>
  <c r="F437" i="4" a="1"/>
  <c r="F437" i="4" s="1"/>
  <c r="F445" i="4" a="1"/>
  <c r="F445" i="4" s="1"/>
  <c r="F453" i="4" a="1"/>
  <c r="F453" i="4" s="1"/>
  <c r="F461" i="4" a="1"/>
  <c r="F461" i="4" s="1"/>
  <c r="F469" i="4" a="1"/>
  <c r="F469" i="4" s="1"/>
  <c r="F477" i="4" a="1"/>
  <c r="F477" i="4" s="1"/>
  <c r="E484" i="4"/>
  <c r="F485" i="4" a="1"/>
  <c r="F485" i="4" s="1"/>
  <c r="E492" i="4"/>
  <c r="F493" i="4" a="1"/>
  <c r="F493" i="4" s="1"/>
  <c r="E500" i="4"/>
  <c r="F505" i="4" a="1"/>
  <c r="F505" i="4" s="1"/>
  <c r="E511" i="4"/>
  <c r="E514" i="4"/>
  <c r="F519" i="4" a="1"/>
  <c r="F519" i="4" s="1"/>
  <c r="F521" i="4" a="1"/>
  <c r="F521" i="4" s="1"/>
  <c r="F522" i="4" a="1"/>
  <c r="F522" i="4" s="1"/>
  <c r="E533" i="4"/>
  <c r="F534" i="4" a="1"/>
  <c r="F534" i="4" s="1"/>
  <c r="F539" i="4" a="1"/>
  <c r="F539" i="4" s="1"/>
  <c r="F541" i="4" a="1"/>
  <c r="F541" i="4" s="1"/>
  <c r="F551" i="4" a="1"/>
  <c r="F551" i="4" s="1"/>
  <c r="F553" i="4" a="1"/>
  <c r="F553" i="4" s="1"/>
  <c r="F554" i="4" a="1"/>
  <c r="F554" i="4" s="1"/>
  <c r="E557" i="4"/>
  <c r="E562" i="4"/>
  <c r="E566" i="4"/>
  <c r="E567" i="4"/>
  <c r="E568" i="4"/>
  <c r="F574" i="4" a="1"/>
  <c r="F574" i="4" s="1"/>
  <c r="F583" i="4" a="1"/>
  <c r="F583" i="4" s="1"/>
  <c r="F584" i="4" a="1"/>
  <c r="F584" i="4" s="1"/>
  <c r="E593" i="4"/>
  <c r="F597" i="4" a="1"/>
  <c r="F597" i="4" s="1"/>
  <c r="F603" i="4" a="1"/>
  <c r="F603" i="4" s="1"/>
  <c r="E604" i="4"/>
  <c r="E607" i="4"/>
  <c r="F617" i="4" a="1"/>
  <c r="F617" i="4" s="1"/>
  <c r="F618" i="4" a="1"/>
  <c r="F618" i="4" s="1"/>
  <c r="E621" i="4"/>
  <c r="E626" i="4"/>
  <c r="E630" i="4"/>
  <c r="E631" i="4"/>
  <c r="E632" i="4"/>
  <c r="F638" i="4" a="1"/>
  <c r="F638" i="4" s="1"/>
  <c r="F647" i="4" a="1"/>
  <c r="F647" i="4" s="1"/>
  <c r="F648" i="4" a="1"/>
  <c r="F648" i="4" s="1"/>
  <c r="E657" i="4"/>
  <c r="F661" i="4" a="1"/>
  <c r="F661" i="4" s="1"/>
  <c r="F667" i="4" a="1"/>
  <c r="F667" i="4" s="1"/>
  <c r="E668" i="4"/>
  <c r="F681" i="4" a="1"/>
  <c r="F681" i="4" s="1"/>
  <c r="F682" i="4" a="1"/>
  <c r="F682" i="4" s="1"/>
  <c r="E685" i="4"/>
  <c r="E694" i="4"/>
  <c r="E695" i="4"/>
  <c r="E696" i="4"/>
  <c r="E708" i="4"/>
  <c r="E717" i="4"/>
  <c r="E716" i="4"/>
  <c r="E224" i="4"/>
  <c r="E232" i="4"/>
  <c r="E240" i="4"/>
  <c r="E248" i="4"/>
  <c r="E259" i="4"/>
  <c r="E267" i="4"/>
  <c r="E275" i="4"/>
  <c r="E283" i="4"/>
  <c r="E291" i="4"/>
  <c r="E299" i="4"/>
  <c r="E307" i="4"/>
  <c r="E315" i="4"/>
  <c r="E323" i="4"/>
  <c r="E331" i="4"/>
  <c r="E339" i="4"/>
  <c r="E347" i="4"/>
  <c r="E355" i="4"/>
  <c r="E363" i="4"/>
  <c r="E371" i="4"/>
  <c r="E379" i="4"/>
  <c r="E387" i="4"/>
  <c r="E395" i="4"/>
  <c r="E403" i="4"/>
  <c r="F404" i="4" a="1"/>
  <c r="F404" i="4" s="1"/>
  <c r="E411" i="4"/>
  <c r="F412" i="4" a="1"/>
  <c r="F412" i="4" s="1"/>
  <c r="E419" i="4"/>
  <c r="F420" i="4" a="1"/>
  <c r="F420" i="4" s="1"/>
  <c r="E427" i="4"/>
  <c r="F428" i="4" a="1"/>
  <c r="F428" i="4" s="1"/>
  <c r="E435" i="4"/>
  <c r="F436" i="4" a="1"/>
  <c r="F436" i="4" s="1"/>
  <c r="E443" i="4"/>
  <c r="F444" i="4" a="1"/>
  <c r="F444" i="4" s="1"/>
  <c r="E451" i="4"/>
  <c r="F452" i="4" a="1"/>
  <c r="F452" i="4" s="1"/>
  <c r="E459" i="4"/>
  <c r="F460" i="4" a="1"/>
  <c r="F460" i="4" s="1"/>
  <c r="E467" i="4"/>
  <c r="F468" i="4" a="1"/>
  <c r="F468" i="4" s="1"/>
  <c r="E475" i="4"/>
  <c r="F476" i="4" a="1"/>
  <c r="F476" i="4" s="1"/>
  <c r="E483" i="4"/>
  <c r="F484" i="4" a="1"/>
  <c r="F484" i="4" s="1"/>
  <c r="E491" i="4"/>
  <c r="F492" i="4" a="1"/>
  <c r="F492" i="4" s="1"/>
  <c r="E499" i="4"/>
  <c r="F500" i="4" a="1"/>
  <c r="F500" i="4" s="1"/>
  <c r="F513" i="4" a="1"/>
  <c r="F513" i="4" s="1"/>
  <c r="E518" i="4"/>
  <c r="F531" i="4" a="1"/>
  <c r="F531" i="4" s="1"/>
  <c r="F533" i="4" a="1"/>
  <c r="F533" i="4" s="1"/>
  <c r="F536" i="4" a="1"/>
  <c r="F536" i="4" s="1"/>
  <c r="E537" i="4"/>
  <c r="E543" i="4"/>
  <c r="E544" i="4"/>
  <c r="F561" i="4" a="1"/>
  <c r="F561" i="4" s="1"/>
  <c r="E565" i="4"/>
  <c r="E570" i="4"/>
  <c r="E574" i="4"/>
  <c r="E575" i="4"/>
  <c r="E576" i="4"/>
  <c r="F582" i="4" a="1"/>
  <c r="F582" i="4" s="1"/>
  <c r="F591" i="4" a="1"/>
  <c r="F591" i="4" s="1"/>
  <c r="F592" i="4" a="1"/>
  <c r="F592" i="4" s="1"/>
  <c r="E601" i="4"/>
  <c r="F605" i="4" a="1"/>
  <c r="F605" i="4" s="1"/>
  <c r="F611" i="4" a="1"/>
  <c r="F611" i="4" s="1"/>
  <c r="E612" i="4"/>
  <c r="F625" i="4" a="1"/>
  <c r="F625" i="4" s="1"/>
  <c r="E629" i="4"/>
  <c r="E634" i="4"/>
  <c r="E638" i="4"/>
  <c r="E639" i="4"/>
  <c r="E640" i="4"/>
  <c r="F646" i="4" a="1"/>
  <c r="F646" i="4" s="1"/>
  <c r="F655" i="4" a="1"/>
  <c r="F655" i="4" s="1"/>
  <c r="F656" i="4" a="1"/>
  <c r="F656" i="4" s="1"/>
  <c r="E665" i="4"/>
  <c r="F669" i="4" a="1"/>
  <c r="F669" i="4" s="1"/>
  <c r="F675" i="4" a="1"/>
  <c r="F675" i="4" s="1"/>
  <c r="E676" i="4"/>
  <c r="F689" i="4" a="1"/>
  <c r="F689" i="4" s="1"/>
  <c r="E693" i="4"/>
  <c r="E698" i="4"/>
  <c r="E231" i="4"/>
  <c r="E239" i="4"/>
  <c r="E247" i="4"/>
  <c r="E258" i="4"/>
  <c r="E266" i="4"/>
  <c r="E274" i="4"/>
  <c r="E282" i="4"/>
  <c r="E290" i="4"/>
  <c r="E298" i="4"/>
  <c r="E508" i="4"/>
  <c r="E510" i="4"/>
  <c r="E517" i="4"/>
  <c r="F518" i="4" a="1"/>
  <c r="F518" i="4" s="1"/>
  <c r="F523" i="4" a="1"/>
  <c r="F523" i="4" s="1"/>
  <c r="F525" i="4" a="1"/>
  <c r="F525" i="4" s="1"/>
  <c r="F528" i="4" a="1"/>
  <c r="F528" i="4" s="1"/>
  <c r="E529" i="4"/>
  <c r="E532" i="4"/>
  <c r="F540" i="4" a="1"/>
  <c r="F540" i="4" s="1"/>
  <c r="E550" i="4"/>
  <c r="F555" i="4" a="1"/>
  <c r="F555" i="4" s="1"/>
  <c r="E556" i="4"/>
  <c r="F569" i="4" a="1"/>
  <c r="F569" i="4" s="1"/>
  <c r="F570" i="4" a="1"/>
  <c r="F570" i="4" s="1"/>
  <c r="E578" i="4"/>
  <c r="E582" i="4"/>
  <c r="E583" i="4"/>
  <c r="E584" i="4"/>
  <c r="F590" i="4" a="1"/>
  <c r="F590" i="4" s="1"/>
  <c r="E595" i="4"/>
  <c r="F599" i="4" a="1"/>
  <c r="F599" i="4" s="1"/>
  <c r="F600" i="4" a="1"/>
  <c r="F600" i="4" s="1"/>
  <c r="E609" i="4"/>
  <c r="F612" i="4" a="1"/>
  <c r="F612" i="4" s="1"/>
  <c r="F613" i="4" a="1"/>
  <c r="F613" i="4" s="1"/>
  <c r="F619" i="4" a="1"/>
  <c r="F619" i="4" s="1"/>
  <c r="E620" i="4"/>
  <c r="F633" i="4" a="1"/>
  <c r="F633" i="4" s="1"/>
  <c r="F634" i="4" a="1"/>
  <c r="F634" i="4" s="1"/>
  <c r="E642" i="4"/>
  <c r="E646" i="4"/>
  <c r="E647" i="4"/>
  <c r="E648" i="4"/>
  <c r="F654" i="4" a="1"/>
  <c r="F654" i="4" s="1"/>
  <c r="E659" i="4"/>
  <c r="F663" i="4" a="1"/>
  <c r="F663" i="4" s="1"/>
  <c r="F664" i="4" a="1"/>
  <c r="F664" i="4" s="1"/>
  <c r="F677" i="4" a="1"/>
  <c r="F677" i="4" s="1"/>
  <c r="F683" i="4" a="1"/>
  <c r="F683" i="4" s="1"/>
  <c r="E684" i="4"/>
  <c r="F697" i="4" a="1"/>
  <c r="F697" i="4" s="1"/>
  <c r="F698" i="4" a="1"/>
  <c r="F698" i="4" s="1"/>
  <c r="E254" i="4"/>
  <c r="F482" i="4" a="1"/>
  <c r="F482" i="4" s="1"/>
  <c r="F490" i="4" a="1"/>
  <c r="F490" i="4" s="1"/>
  <c r="F498" i="4" a="1"/>
  <c r="F498" i="4" s="1"/>
  <c r="F508" i="4" a="1"/>
  <c r="F508" i="4" s="1"/>
  <c r="F510" i="4" a="1"/>
  <c r="F510" i="4" s="1"/>
  <c r="F515" i="4" a="1"/>
  <c r="F515" i="4" s="1"/>
  <c r="F517" i="4" a="1"/>
  <c r="F517" i="4" s="1"/>
  <c r="F520" i="4" a="1"/>
  <c r="F520" i="4" s="1"/>
  <c r="E521" i="4"/>
  <c r="E535" i="4"/>
  <c r="E536" i="4"/>
  <c r="E546" i="4"/>
  <c r="F550" i="4" a="1"/>
  <c r="F550" i="4" s="1"/>
  <c r="F552" i="4" a="1"/>
  <c r="F552" i="4" s="1"/>
  <c r="E553" i="4"/>
  <c r="F556" i="4" a="1"/>
  <c r="F556" i="4" s="1"/>
  <c r="F557" i="4" a="1"/>
  <c r="F557" i="4" s="1"/>
  <c r="F563" i="4" a="1"/>
  <c r="F563" i="4" s="1"/>
  <c r="E564" i="4"/>
  <c r="F577" i="4" a="1"/>
  <c r="F577" i="4" s="1"/>
  <c r="E581" i="4"/>
  <c r="E586" i="4"/>
  <c r="E590" i="4"/>
  <c r="E592" i="4"/>
  <c r="F598" i="4" a="1"/>
  <c r="F598" i="4" s="1"/>
  <c r="E603" i="4"/>
  <c r="F607" i="4" a="1"/>
  <c r="F607" i="4" s="1"/>
  <c r="F608" i="4" a="1"/>
  <c r="F608" i="4" s="1"/>
  <c r="E617" i="4"/>
  <c r="F620" i="4" a="1"/>
  <c r="F620" i="4" s="1"/>
  <c r="F621" i="4" a="1"/>
  <c r="F621" i="4" s="1"/>
  <c r="F627" i="4" a="1"/>
  <c r="F627" i="4" s="1"/>
  <c r="E628" i="4"/>
  <c r="F641" i="4" a="1"/>
  <c r="F641" i="4" s="1"/>
  <c r="E645" i="4"/>
  <c r="E650" i="4"/>
  <c r="E654" i="4"/>
  <c r="E655" i="4"/>
  <c r="E656" i="4"/>
  <c r="F662" i="4" a="1"/>
  <c r="F662" i="4" s="1"/>
  <c r="E667" i="4"/>
  <c r="F671" i="4" a="1"/>
  <c r="F671" i="4" s="1"/>
  <c r="F672" i="4" a="1"/>
  <c r="F672" i="4" s="1"/>
  <c r="E681" i="4"/>
  <c r="F684" i="4" a="1"/>
  <c r="F684" i="4" s="1"/>
  <c r="F685" i="4" a="1"/>
  <c r="F685" i="4" s="1"/>
  <c r="F691" i="4" a="1"/>
  <c r="F691" i="4" s="1"/>
  <c r="E692" i="4"/>
  <c r="F700" i="4" a="1"/>
  <c r="F700" i="4" s="1"/>
  <c r="F701" i="4" a="1"/>
  <c r="F701" i="4" s="1"/>
  <c r="F702" i="4" a="1"/>
  <c r="F702" i="4" s="1"/>
  <c r="E705" i="4"/>
  <c r="F501" i="4" a="1"/>
  <c r="F501" i="4" s="1"/>
  <c r="E507" i="4"/>
  <c r="F512" i="4" a="1"/>
  <c r="F512" i="4" s="1"/>
  <c r="E513" i="4"/>
  <c r="E516" i="4"/>
  <c r="F524" i="4" a="1"/>
  <c r="F524" i="4" s="1"/>
  <c r="E527" i="4"/>
  <c r="E528" i="4"/>
  <c r="F543" i="4" a="1"/>
  <c r="F543" i="4" s="1"/>
  <c r="F545" i="4" a="1"/>
  <c r="F545" i="4" s="1"/>
  <c r="F546" i="4" a="1"/>
  <c r="F546" i="4" s="1"/>
  <c r="E549" i="4"/>
  <c r="F565" i="4" a="1"/>
  <c r="F565" i="4" s="1"/>
  <c r="F571" i="4" a="1"/>
  <c r="F571" i="4" s="1"/>
  <c r="F585" i="4" a="1"/>
  <c r="F585" i="4" s="1"/>
  <c r="F586" i="4" a="1"/>
  <c r="F586" i="4" s="1"/>
  <c r="E589" i="4"/>
  <c r="E594" i="4"/>
  <c r="E598" i="4"/>
  <c r="E599" i="4"/>
  <c r="E600" i="4"/>
  <c r="F606" i="4" a="1"/>
  <c r="F606" i="4" s="1"/>
  <c r="E611" i="4"/>
  <c r="F615" i="4" a="1"/>
  <c r="F615" i="4" s="1"/>
  <c r="F616" i="4" a="1"/>
  <c r="F616" i="4" s="1"/>
  <c r="F629" i="4" a="1"/>
  <c r="F629" i="4" s="1"/>
  <c r="F635" i="4" a="1"/>
  <c r="F635" i="4" s="1"/>
  <c r="E636" i="4"/>
  <c r="F649" i="4" a="1"/>
  <c r="F649" i="4" s="1"/>
  <c r="F650" i="4" a="1"/>
  <c r="F650" i="4" s="1"/>
  <c r="E653" i="4"/>
  <c r="E658" i="4"/>
  <c r="E662" i="4"/>
  <c r="E663" i="4"/>
  <c r="E664" i="4"/>
  <c r="F670" i="4" a="1"/>
  <c r="F670" i="4" s="1"/>
  <c r="E675" i="4"/>
  <c r="F679" i="4" a="1"/>
  <c r="F679" i="4" s="1"/>
  <c r="F680" i="4" a="1"/>
  <c r="F680" i="4" s="1"/>
  <c r="F693" i="4" a="1"/>
  <c r="F693" i="4" s="1"/>
  <c r="F703" i="4" a="1"/>
  <c r="F703" i="4" s="1"/>
  <c r="F704" i="4" a="1"/>
  <c r="F704" i="4" s="1"/>
  <c r="F792" i="4" a="1"/>
  <c r="F792" i="4" s="1"/>
  <c r="F794" i="4" a="1"/>
  <c r="F794" i="4" s="1"/>
  <c r="F795" i="4" a="1"/>
  <c r="F795" i="4" s="1"/>
  <c r="E807" i="4"/>
  <c r="E809" i="4"/>
  <c r="E812" i="4"/>
  <c r="E813" i="4"/>
  <c r="E712" i="4"/>
  <c r="E722" i="4"/>
  <c r="E726" i="4"/>
  <c r="F728" i="4" a="1"/>
  <c r="F728" i="4" s="1"/>
  <c r="E732" i="4"/>
  <c r="E738" i="4"/>
  <c r="E742" i="4"/>
  <c r="F744" i="4" a="1"/>
  <c r="F744" i="4" s="1"/>
  <c r="E754" i="4"/>
  <c r="F757" i="4" a="1"/>
  <c r="F757" i="4" s="1"/>
  <c r="H760" i="4"/>
  <c r="M10" i="4" s="1"/>
  <c r="N10" i="4" s="1" a="1"/>
  <c r="N10" i="4" s="1"/>
  <c r="F764" i="4" a="1"/>
  <c r="F764" i="4" s="1"/>
  <c r="F765" i="4" a="1"/>
  <c r="F765" i="4" s="1"/>
  <c r="E767" i="4"/>
  <c r="F778" i="4" a="1"/>
  <c r="F778" i="4" s="1"/>
  <c r="F779" i="4" a="1"/>
  <c r="F779" i="4" s="1"/>
  <c r="F788" i="4" a="1"/>
  <c r="F788" i="4" s="1"/>
  <c r="F789" i="4" a="1"/>
  <c r="F789" i="4" s="1"/>
  <c r="F791" i="4" a="1"/>
  <c r="F791" i="4" s="1"/>
  <c r="F817" i="4" a="1"/>
  <c r="F817" i="4" s="1"/>
  <c r="F816" i="4" a="1"/>
  <c r="F816" i="4" s="1"/>
  <c r="F818" i="4" a="1"/>
  <c r="F818" i="4" s="1"/>
  <c r="F819" i="4" a="1"/>
  <c r="F819" i="4" s="1"/>
  <c r="E824" i="4"/>
  <c r="E834" i="4"/>
  <c r="E831" i="4"/>
  <c r="E833" i="4"/>
  <c r="E836" i="4"/>
  <c r="E837" i="4"/>
  <c r="F852" i="4" a="1"/>
  <c r="F852" i="4" s="1"/>
  <c r="E859" i="4"/>
  <c r="E854" i="4"/>
  <c r="E856" i="4"/>
  <c r="E857" i="4"/>
  <c r="E858" i="4"/>
  <c r="E861" i="4"/>
  <c r="E862" i="4"/>
  <c r="E863" i="4"/>
  <c r="F718" i="4" a="1"/>
  <c r="F718" i="4" s="1"/>
  <c r="F721" i="4" a="1"/>
  <c r="F721" i="4" s="1"/>
  <c r="F722" i="4" a="1"/>
  <c r="F722" i="4" s="1"/>
  <c r="E725" i="4"/>
  <c r="F732" i="4" a="1"/>
  <c r="F732" i="4" s="1"/>
  <c r="F734" i="4" a="1"/>
  <c r="F734" i="4" s="1"/>
  <c r="F737" i="4" a="1"/>
  <c r="F737" i="4" s="1"/>
  <c r="F738" i="4" a="1"/>
  <c r="F738" i="4" s="1"/>
  <c r="E741" i="4"/>
  <c r="F748" i="4" a="1"/>
  <c r="F748" i="4" s="1"/>
  <c r="F750" i="4" a="1"/>
  <c r="F750" i="4" s="1"/>
  <c r="F753" i="4" a="1"/>
  <c r="F753" i="4" s="1"/>
  <c r="F767" i="4" a="1"/>
  <c r="F767" i="4" s="1"/>
  <c r="F769" i="4" a="1"/>
  <c r="F769" i="4" s="1"/>
  <c r="E794" i="4"/>
  <c r="E791" i="4"/>
  <c r="E793" i="4"/>
  <c r="E796" i="4"/>
  <c r="E797" i="4"/>
  <c r="E806" i="4"/>
  <c r="F840" i="4" a="1"/>
  <c r="F840" i="4" s="1"/>
  <c r="F842" i="4" a="1"/>
  <c r="F842" i="4" s="1"/>
  <c r="F843" i="4" a="1"/>
  <c r="F843" i="4" s="1"/>
  <c r="E867" i="4"/>
  <c r="E866" i="4"/>
  <c r="F875" i="4" a="1"/>
  <c r="F875" i="4" s="1"/>
  <c r="F861" i="4" a="1"/>
  <c r="F861" i="4" s="1"/>
  <c r="F872" i="4" a="1"/>
  <c r="F872" i="4" s="1"/>
  <c r="F863" i="4" a="1"/>
  <c r="F863" i="4" s="1"/>
  <c r="F994" i="4" a="1"/>
  <c r="F994" i="4" s="1"/>
  <c r="F991" i="4" a="1"/>
  <c r="F991" i="4" s="1"/>
  <c r="F951" i="4" a="1"/>
  <c r="F951" i="4" s="1"/>
  <c r="F979" i="4" a="1"/>
  <c r="F979" i="4" s="1"/>
  <c r="F959" i="4" a="1"/>
  <c r="F959" i="4" s="1"/>
  <c r="F710" i="4" a="1"/>
  <c r="F710" i="4" s="1"/>
  <c r="E727" i="4"/>
  <c r="E728" i="4"/>
  <c r="E743" i="4"/>
  <c r="E744" i="4"/>
  <c r="F754" i="4" a="1"/>
  <c r="F754" i="4" s="1"/>
  <c r="F755" i="4" a="1"/>
  <c r="F755" i="4" s="1"/>
  <c r="E756" i="4"/>
  <c r="F770" i="4" a="1"/>
  <c r="F770" i="4" s="1"/>
  <c r="F771" i="4" a="1"/>
  <c r="F771" i="4" s="1"/>
  <c r="E778" i="4"/>
  <c r="E777" i="4"/>
  <c r="E780" i="4"/>
  <c r="E781" i="4"/>
  <c r="F801" i="4" a="1"/>
  <c r="F801" i="4" s="1"/>
  <c r="F800" i="4" a="1"/>
  <c r="F800" i="4" s="1"/>
  <c r="F802" i="4" a="1"/>
  <c r="F802" i="4" s="1"/>
  <c r="F803" i="4" a="1"/>
  <c r="F803" i="4" s="1"/>
  <c r="E808" i="4"/>
  <c r="E818" i="4"/>
  <c r="E815" i="4"/>
  <c r="E817" i="4"/>
  <c r="E820" i="4"/>
  <c r="E821" i="4"/>
  <c r="F836" i="4" a="1"/>
  <c r="F836" i="4" s="1"/>
  <c r="F837" i="4" a="1"/>
  <c r="F837" i="4" s="1"/>
  <c r="F839" i="4" a="1"/>
  <c r="F839" i="4" s="1"/>
  <c r="F858" i="4" a="1"/>
  <c r="F858" i="4" s="1"/>
  <c r="F855" i="4" a="1"/>
  <c r="F855" i="4" s="1"/>
  <c r="F857" i="4" a="1"/>
  <c r="F857" i="4" s="1"/>
  <c r="F853" i="4" a="1"/>
  <c r="F853" i="4" s="1"/>
  <c r="E711" i="4"/>
  <c r="F723" i="4" a="1"/>
  <c r="F723" i="4" s="1"/>
  <c r="F739" i="4" a="1"/>
  <c r="F739" i="4" s="1"/>
  <c r="F758" i="4" a="1"/>
  <c r="F758" i="4" s="1"/>
  <c r="F761" i="4" a="1"/>
  <c r="F761" i="4" s="1"/>
  <c r="E776" i="4"/>
  <c r="E790" i="4"/>
  <c r="F796" i="4" a="1"/>
  <c r="F796" i="4" s="1"/>
  <c r="F797" i="4" a="1"/>
  <c r="F797" i="4" s="1"/>
  <c r="F799" i="4" a="1"/>
  <c r="F799" i="4" s="1"/>
  <c r="F825" i="4" a="1"/>
  <c r="F825" i="4" s="1"/>
  <c r="F824" i="4" a="1"/>
  <c r="F824" i="4" s="1"/>
  <c r="F826" i="4" a="1"/>
  <c r="F826" i="4" s="1"/>
  <c r="F827" i="4" a="1"/>
  <c r="F827" i="4" s="1"/>
  <c r="E832" i="4"/>
  <c r="E842" i="4"/>
  <c r="E839" i="4"/>
  <c r="E841" i="4"/>
  <c r="E844" i="4"/>
  <c r="E845" i="4"/>
  <c r="F854" i="4" a="1"/>
  <c r="F854" i="4" s="1"/>
  <c r="F903" i="4" a="1"/>
  <c r="F903" i="4" s="1"/>
  <c r="E990" i="4"/>
  <c r="E973" i="4"/>
  <c r="E985" i="4"/>
  <c r="F699" i="4" a="1"/>
  <c r="F699" i="4" s="1"/>
  <c r="F705" i="4" a="1"/>
  <c r="F705" i="4" s="1"/>
  <c r="E706" i="4"/>
  <c r="F713" i="4" a="1"/>
  <c r="F713" i="4" s="1"/>
  <c r="E714" i="4"/>
  <c r="F720" i="4" a="1"/>
  <c r="F720" i="4" s="1"/>
  <c r="E721" i="4"/>
  <c r="E724" i="4"/>
  <c r="E730" i="4"/>
  <c r="F736" i="4" a="1"/>
  <c r="F736" i="4" s="1"/>
  <c r="E737" i="4"/>
  <c r="E740" i="4"/>
  <c r="E746" i="4"/>
  <c r="F752" i="4" a="1"/>
  <c r="F752" i="4" s="1"/>
  <c r="E753" i="4"/>
  <c r="F762" i="4" a="1"/>
  <c r="F762" i="4" s="1"/>
  <c r="F763" i="4" a="1"/>
  <c r="F763" i="4" s="1"/>
  <c r="E769" i="4"/>
  <c r="E772" i="4"/>
  <c r="E773" i="4"/>
  <c r="F776" i="4" a="1"/>
  <c r="F776" i="4" s="1"/>
  <c r="F780" i="4" a="1"/>
  <c r="F780" i="4" s="1"/>
  <c r="F781" i="4" a="1"/>
  <c r="F781" i="4" s="1"/>
  <c r="F785" i="4" a="1"/>
  <c r="F785" i="4" s="1"/>
  <c r="F784" i="4" a="1"/>
  <c r="F784" i="4" s="1"/>
  <c r="F786" i="4" a="1"/>
  <c r="F786" i="4" s="1"/>
  <c r="F787" i="4" a="1"/>
  <c r="F787" i="4" s="1"/>
  <c r="E792" i="4"/>
  <c r="E802" i="4"/>
  <c r="E799" i="4"/>
  <c r="E801" i="4"/>
  <c r="E804" i="4"/>
  <c r="E805" i="4"/>
  <c r="F820" i="4" a="1"/>
  <c r="F820" i="4" s="1"/>
  <c r="F821" i="4" a="1"/>
  <c r="F821" i="4" s="1"/>
  <c r="F849" i="4" a="1"/>
  <c r="F849" i="4" s="1"/>
  <c r="F848" i="4" a="1"/>
  <c r="F848" i="4" s="1"/>
  <c r="F850" i="4" a="1"/>
  <c r="F850" i="4" s="1"/>
  <c r="F851" i="4" a="1"/>
  <c r="F851" i="4" s="1"/>
  <c r="E860" i="4"/>
  <c r="F886" i="4" a="1"/>
  <c r="F886" i="4" s="1"/>
  <c r="F937" i="4" a="1"/>
  <c r="F937" i="4" s="1"/>
  <c r="F939" i="4" a="1"/>
  <c r="F939" i="4" s="1"/>
  <c r="F934" i="4" a="1"/>
  <c r="F934" i="4" s="1"/>
  <c r="F879" i="4" a="1"/>
  <c r="F879" i="4" s="1"/>
  <c r="F887" i="4" a="1"/>
  <c r="F887" i="4" s="1"/>
  <c r="F895" i="4" a="1"/>
  <c r="F895" i="4" s="1"/>
  <c r="F935" i="4" a="1"/>
  <c r="F935" i="4" s="1"/>
  <c r="F941" i="4" a="1"/>
  <c r="F941" i="4" s="1"/>
  <c r="F726" i="4" a="1"/>
  <c r="F726" i="4" s="1"/>
  <c r="F729" i="4" a="1"/>
  <c r="F729" i="4" s="1"/>
  <c r="F730" i="4" a="1"/>
  <c r="F730" i="4" s="1"/>
  <c r="F740" i="4" a="1"/>
  <c r="F740" i="4" s="1"/>
  <c r="F742" i="4" a="1"/>
  <c r="F742" i="4" s="1"/>
  <c r="F745" i="4" a="1"/>
  <c r="F745" i="4" s="1"/>
  <c r="F746" i="4" a="1"/>
  <c r="F746" i="4" s="1"/>
  <c r="E749" i="4"/>
  <c r="E755" i="4"/>
  <c r="F759" i="4" a="1"/>
  <c r="F759" i="4" s="1"/>
  <c r="F760" i="4" a="1"/>
  <c r="F760" i="4" s="1"/>
  <c r="F808" i="4" a="1"/>
  <c r="F808" i="4" s="1"/>
  <c r="F810" i="4" a="1"/>
  <c r="F810" i="4" s="1"/>
  <c r="F811" i="4" a="1"/>
  <c r="F811" i="4" s="1"/>
  <c r="E823" i="4"/>
  <c r="E825" i="4"/>
  <c r="E828" i="4"/>
  <c r="E829" i="4"/>
  <c r="F717" i="4" a="1"/>
  <c r="F717" i="4" s="1"/>
  <c r="E719" i="4"/>
  <c r="E720" i="4"/>
  <c r="F727" i="4" a="1"/>
  <c r="F727" i="4" s="1"/>
  <c r="F733" i="4" a="1"/>
  <c r="F733" i="4" s="1"/>
  <c r="E735" i="4"/>
  <c r="E736" i="4"/>
  <c r="F743" i="4" a="1"/>
  <c r="F743" i="4" s="1"/>
  <c r="F749" i="4" a="1"/>
  <c r="F749" i="4" s="1"/>
  <c r="E751" i="4"/>
  <c r="E752" i="4"/>
  <c r="E761" i="4"/>
  <c r="E764" i="4"/>
  <c r="E765" i="4"/>
  <c r="F768" i="4" a="1"/>
  <c r="F768" i="4" s="1"/>
  <c r="F772" i="4" a="1"/>
  <c r="F772" i="4" s="1"/>
  <c r="F773" i="4" a="1"/>
  <c r="F773" i="4" s="1"/>
  <c r="E786" i="4"/>
  <c r="E785" i="4"/>
  <c r="E788" i="4"/>
  <c r="E789" i="4"/>
  <c r="E798" i="4"/>
  <c r="F804" i="4" a="1"/>
  <c r="F804" i="4" s="1"/>
  <c r="F805" i="4" a="1"/>
  <c r="F805" i="4" s="1"/>
  <c r="F807" i="4" a="1"/>
  <c r="F807" i="4" s="1"/>
  <c r="F833" i="4" a="1"/>
  <c r="F833" i="4" s="1"/>
  <c r="F832" i="4" a="1"/>
  <c r="F832" i="4" s="1"/>
  <c r="F834" i="4" a="1"/>
  <c r="F834" i="4" s="1"/>
  <c r="F835" i="4" a="1"/>
  <c r="F835" i="4" s="1"/>
  <c r="E850" i="4"/>
  <c r="E847" i="4"/>
  <c r="E849" i="4"/>
  <c r="E852" i="4"/>
  <c r="E853" i="4"/>
  <c r="F856" i="4" a="1"/>
  <c r="F856" i="4" s="1"/>
  <c r="F862" i="4" a="1"/>
  <c r="F862" i="4" s="1"/>
  <c r="E957" i="4"/>
  <c r="E942" i="4"/>
  <c r="E950" i="4"/>
  <c r="F766" i="4" a="1"/>
  <c r="F766" i="4" s="1"/>
  <c r="F774" i="4" a="1"/>
  <c r="F774" i="4" s="1"/>
  <c r="F782" i="4" a="1"/>
  <c r="F782" i="4" s="1"/>
  <c r="F790" i="4" a="1"/>
  <c r="F790" i="4" s="1"/>
  <c r="F798" i="4" a="1"/>
  <c r="F798" i="4" s="1"/>
  <c r="F806" i="4" a="1"/>
  <c r="F806" i="4" s="1"/>
  <c r="F814" i="4" a="1"/>
  <c r="F814" i="4" s="1"/>
  <c r="F822" i="4" a="1"/>
  <c r="F822" i="4" s="1"/>
  <c r="F830" i="4" a="1"/>
  <c r="F830" i="4" s="1"/>
  <c r="F838" i="4" a="1"/>
  <c r="F838" i="4" s="1"/>
  <c r="F846" i="4" a="1"/>
  <c r="F846" i="4" s="1"/>
  <c r="F859" i="4" a="1"/>
  <c r="F859" i="4" s="1"/>
  <c r="F866" i="4" a="1"/>
  <c r="F866" i="4" s="1"/>
  <c r="E873" i="4"/>
  <c r="E881" i="4"/>
  <c r="E882" i="4"/>
  <c r="F888" i="4" a="1"/>
  <c r="F888" i="4" s="1"/>
  <c r="F890" i="4" a="1"/>
  <c r="F890" i="4" s="1"/>
  <c r="F892" i="4" a="1"/>
  <c r="F892" i="4" s="1"/>
  <c r="F897" i="4" a="1"/>
  <c r="F897" i="4" s="1"/>
  <c r="F899" i="4" a="1"/>
  <c r="F899" i="4" s="1"/>
  <c r="F894" i="4" a="1"/>
  <c r="F894" i="4" s="1"/>
  <c r="F901" i="4" a="1"/>
  <c r="F901" i="4" s="1"/>
  <c r="E913" i="4"/>
  <c r="E914" i="4"/>
  <c r="E917" i="4"/>
  <c r="E926" i="4"/>
  <c r="F928" i="4" a="1"/>
  <c r="F928" i="4" s="1"/>
  <c r="F932" i="4" a="1"/>
  <c r="F932" i="4" s="1"/>
  <c r="E943" i="4"/>
  <c r="F961" i="4" a="1"/>
  <c r="F961" i="4" s="1"/>
  <c r="F963" i="4" a="1"/>
  <c r="F963" i="4" s="1"/>
  <c r="F958" i="4" a="1"/>
  <c r="F958" i="4" s="1"/>
  <c r="F965" i="4" a="1"/>
  <c r="F965" i="4" s="1"/>
  <c r="E977" i="4"/>
  <c r="F983" i="4" a="1"/>
  <c r="F983" i="4" s="1"/>
  <c r="E998" i="4"/>
  <c r="F1018" i="4" a="1"/>
  <c r="F1018" i="4" s="1"/>
  <c r="E1029" i="4"/>
  <c r="F1040" i="4" a="1"/>
  <c r="F1040" i="4" s="1"/>
  <c r="F1245" i="4" a="1"/>
  <c r="F1245" i="4" s="1"/>
  <c r="F1246" i="4" a="1"/>
  <c r="F1246" i="4" s="1"/>
  <c r="F1239" i="4" a="1"/>
  <c r="F1239" i="4" s="1"/>
  <c r="F1234" i="4" a="1"/>
  <c r="F1234" i="4" s="1"/>
  <c r="F1223" i="4" a="1"/>
  <c r="F1223" i="4" s="1"/>
  <c r="F1218" i="4" a="1"/>
  <c r="F1218" i="4" s="1"/>
  <c r="F1244" i="4" a="1"/>
  <c r="F1244" i="4" s="1"/>
  <c r="F1207" i="4" a="1"/>
  <c r="F1207" i="4" s="1"/>
  <c r="F1242" i="4" a="1"/>
  <c r="F1242" i="4" s="1"/>
  <c r="F1228" i="4" a="1"/>
  <c r="F1228" i="4" s="1"/>
  <c r="F1212" i="4" a="1"/>
  <c r="F1212" i="4" s="1"/>
  <c r="F1226" i="4" a="1"/>
  <c r="F1226" i="4" s="1"/>
  <c r="F868" i="4" a="1"/>
  <c r="F868" i="4" s="1"/>
  <c r="E869" i="4"/>
  <c r="E874" i="4"/>
  <c r="F921" i="4" a="1"/>
  <c r="F921" i="4" s="1"/>
  <c r="F923" i="4" a="1"/>
  <c r="F923" i="4" s="1"/>
  <c r="F918" i="4" a="1"/>
  <c r="F918" i="4" s="1"/>
  <c r="F925" i="4" a="1"/>
  <c r="F925" i="4" s="1"/>
  <c r="E938" i="4"/>
  <c r="E941" i="4"/>
  <c r="F952" i="4" a="1"/>
  <c r="F952" i="4" s="1"/>
  <c r="F956" i="4" a="1"/>
  <c r="F956" i="4" s="1"/>
  <c r="E972" i="4"/>
  <c r="F986" i="4" a="1"/>
  <c r="F986" i="4" s="1"/>
  <c r="H1011" i="4"/>
  <c r="M11" i="4" s="1"/>
  <c r="N11" i="4" s="1" a="1"/>
  <c r="N11" i="4" s="1"/>
  <c r="F1010" i="4" a="1"/>
  <c r="F1010" i="4" s="1"/>
  <c r="F1011" i="4" a="1"/>
  <c r="F1011" i="4" s="1"/>
  <c r="F1008" i="4" a="1"/>
  <c r="F1008" i="4" s="1"/>
  <c r="E1048" i="4"/>
  <c r="E1046" i="4"/>
  <c r="E1047" i="4"/>
  <c r="E1038" i="4"/>
  <c r="E1034" i="4"/>
  <c r="E1039" i="4"/>
  <c r="F1130" i="4" a="1"/>
  <c r="F1130" i="4" s="1"/>
  <c r="F1131" i="4" a="1"/>
  <c r="F1131" i="4" s="1"/>
  <c r="F1132" i="4" a="1"/>
  <c r="F1132" i="4" s="1"/>
  <c r="E760" i="4"/>
  <c r="E763" i="4"/>
  <c r="E771" i="4"/>
  <c r="E779" i="4"/>
  <c r="E787" i="4"/>
  <c r="E795" i="4"/>
  <c r="E803" i="4"/>
  <c r="E811" i="4"/>
  <c r="E819" i="4"/>
  <c r="E827" i="4"/>
  <c r="E835" i="4"/>
  <c r="E843" i="4"/>
  <c r="E851" i="4"/>
  <c r="F860" i="4" a="1"/>
  <c r="F860" i="4" s="1"/>
  <c r="F880" i="4" a="1"/>
  <c r="F880" i="4" s="1"/>
  <c r="F882" i="4" a="1"/>
  <c r="F882" i="4" s="1"/>
  <c r="F884" i="4" a="1"/>
  <c r="F884" i="4" s="1"/>
  <c r="E887" i="4"/>
  <c r="E888" i="4"/>
  <c r="E892" i="4"/>
  <c r="F912" i="4" a="1"/>
  <c r="F912" i="4" s="1"/>
  <c r="F916" i="4" a="1"/>
  <c r="F916" i="4" s="1"/>
  <c r="F919" i="4" a="1"/>
  <c r="F919" i="4" s="1"/>
  <c r="E927" i="4"/>
  <c r="F945" i="4" a="1"/>
  <c r="F945" i="4" s="1"/>
  <c r="F947" i="4" a="1"/>
  <c r="F947" i="4" s="1"/>
  <c r="F942" i="4" a="1"/>
  <c r="F942" i="4" s="1"/>
  <c r="F949" i="4" a="1"/>
  <c r="F949" i="4" s="1"/>
  <c r="E961" i="4"/>
  <c r="E962" i="4"/>
  <c r="E965" i="4"/>
  <c r="F976" i="4" a="1"/>
  <c r="F976" i="4" s="1"/>
  <c r="F978" i="4" a="1"/>
  <c r="F978" i="4" s="1"/>
  <c r="E979" i="4"/>
  <c r="E996" i="4"/>
  <c r="F998" i="4" a="1"/>
  <c r="F998" i="4" s="1"/>
  <c r="E1016" i="4"/>
  <c r="E1017" i="4"/>
  <c r="E1020" i="4"/>
  <c r="F1029" i="4" a="1"/>
  <c r="F1029" i="4" s="1"/>
  <c r="F1067" i="4" a="1"/>
  <c r="F1067" i="4" s="1"/>
  <c r="F1165" i="4" a="1"/>
  <c r="F1165" i="4" s="1"/>
  <c r="F865" i="4" a="1"/>
  <c r="F865" i="4" s="1"/>
  <c r="F874" i="4" a="1"/>
  <c r="F874" i="4" s="1"/>
  <c r="F876" i="4" a="1"/>
  <c r="F876" i="4" s="1"/>
  <c r="F905" i="4" a="1"/>
  <c r="F905" i="4" s="1"/>
  <c r="F907" i="4" a="1"/>
  <c r="F907" i="4" s="1"/>
  <c r="F902" i="4" a="1"/>
  <c r="F902" i="4" s="1"/>
  <c r="F909" i="4" a="1"/>
  <c r="F909" i="4" s="1"/>
  <c r="E921" i="4"/>
  <c r="E922" i="4"/>
  <c r="E925" i="4"/>
  <c r="E934" i="4"/>
  <c r="F936" i="4" a="1"/>
  <c r="F936" i="4" s="1"/>
  <c r="F940" i="4" a="1"/>
  <c r="F940" i="4" s="1"/>
  <c r="F943" i="4" a="1"/>
  <c r="F943" i="4" s="1"/>
  <c r="E951" i="4"/>
  <c r="F969" i="4" a="1"/>
  <c r="F969" i="4" s="1"/>
  <c r="F971" i="4" a="1"/>
  <c r="F971" i="4" s="1"/>
  <c r="F974" i="4" a="1"/>
  <c r="F974" i="4" s="1"/>
  <c r="E986" i="4"/>
  <c r="F995" i="4" a="1"/>
  <c r="F995" i="4" s="1"/>
  <c r="E1011" i="4"/>
  <c r="F1047" i="4" a="1"/>
  <c r="F1047" i="4" s="1"/>
  <c r="F1039" i="4" a="1"/>
  <c r="F1039" i="4" s="1"/>
  <c r="F1030" i="4" a="1"/>
  <c r="F1030" i="4" s="1"/>
  <c r="F1026" i="4" a="1"/>
  <c r="F1026" i="4" s="1"/>
  <c r="F1064" i="4" a="1"/>
  <c r="F1064" i="4" s="1"/>
  <c r="E868" i="4"/>
  <c r="E880" i="4"/>
  <c r="E884" i="4"/>
  <c r="F889" i="4" a="1"/>
  <c r="F889" i="4" s="1"/>
  <c r="F891" i="4" a="1"/>
  <c r="F891" i="4" s="1"/>
  <c r="F893" i="4" a="1"/>
  <c r="F893" i="4" s="1"/>
  <c r="F896" i="4" a="1"/>
  <c r="F896" i="4" s="1"/>
  <c r="F900" i="4" a="1"/>
  <c r="F900" i="4" s="1"/>
  <c r="F929" i="4" a="1"/>
  <c r="F929" i="4" s="1"/>
  <c r="F931" i="4" a="1"/>
  <c r="F931" i="4" s="1"/>
  <c r="F926" i="4" a="1"/>
  <c r="F926" i="4" s="1"/>
  <c r="F933" i="4" a="1"/>
  <c r="F933" i="4" s="1"/>
  <c r="E945" i="4"/>
  <c r="E946" i="4"/>
  <c r="E949" i="4"/>
  <c r="E958" i="4"/>
  <c r="F960" i="4" a="1"/>
  <c r="F960" i="4" s="1"/>
  <c r="F964" i="4" a="1"/>
  <c r="F964" i="4" s="1"/>
  <c r="E974" i="4"/>
  <c r="E978" i="4"/>
  <c r="F980" i="4" a="1"/>
  <c r="F980" i="4" s="1"/>
  <c r="F984" i="4" a="1"/>
  <c r="F984" i="4" s="1"/>
  <c r="E991" i="4"/>
  <c r="F1004" i="4" a="1"/>
  <c r="F1004" i="4" s="1"/>
  <c r="F1005" i="4" a="1"/>
  <c r="F1005" i="4" s="1"/>
  <c r="F1006" i="4" a="1"/>
  <c r="F1006" i="4" s="1"/>
  <c r="F1002" i="4" a="1"/>
  <c r="F1002" i="4" s="1"/>
  <c r="F996" i="4" a="1"/>
  <c r="F996" i="4" s="1"/>
  <c r="F1007" i="4" a="1"/>
  <c r="F1007" i="4" s="1"/>
  <c r="F1019" i="4" a="1"/>
  <c r="F1019" i="4" s="1"/>
  <c r="F1014" i="4" a="1"/>
  <c r="F1014" i="4" s="1"/>
  <c r="E1041" i="4"/>
  <c r="F1080" i="4" a="1"/>
  <c r="F1080" i="4" s="1"/>
  <c r="F1082" i="4" a="1"/>
  <c r="F1082" i="4" s="1"/>
  <c r="F1048" i="4" a="1"/>
  <c r="F1048" i="4" s="1"/>
  <c r="F1196" i="4" a="1"/>
  <c r="F1196" i="4" s="1"/>
  <c r="F1192" i="4" a="1"/>
  <c r="F1192" i="4" s="1"/>
  <c r="F1194" i="4" a="1"/>
  <c r="F1194" i="4" s="1"/>
  <c r="F1171" i="4" a="1"/>
  <c r="F1171" i="4" s="1"/>
  <c r="F1158" i="4" a="1"/>
  <c r="F1158" i="4" s="1"/>
  <c r="F1189" i="4" a="1"/>
  <c r="F1189" i="4" s="1"/>
  <c r="F1155" i="4" a="1"/>
  <c r="F1155" i="4" s="1"/>
  <c r="F1168" i="4" a="1"/>
  <c r="F1168" i="4" s="1"/>
  <c r="F1183" i="4" a="1"/>
  <c r="F1183" i="4" s="1"/>
  <c r="F1197" i="4" a="1"/>
  <c r="F1197" i="4" s="1"/>
  <c r="E865" i="4"/>
  <c r="F867" i="4" a="1"/>
  <c r="F867" i="4" s="1"/>
  <c r="F871" i="4" a="1"/>
  <c r="F871" i="4" s="1"/>
  <c r="E872" i="4"/>
  <c r="E876" i="4"/>
  <c r="E879" i="4"/>
  <c r="E918" i="4"/>
  <c r="F920" i="4" a="1"/>
  <c r="F920" i="4" s="1"/>
  <c r="F924" i="4" a="1"/>
  <c r="F924" i="4" s="1"/>
  <c r="F927" i="4" a="1"/>
  <c r="F927" i="4" s="1"/>
  <c r="E935" i="4"/>
  <c r="F953" i="4" a="1"/>
  <c r="F953" i="4" s="1"/>
  <c r="F955" i="4" a="1"/>
  <c r="F955" i="4" s="1"/>
  <c r="F950" i="4" a="1"/>
  <c r="F950" i="4" s="1"/>
  <c r="F957" i="4" a="1"/>
  <c r="F957" i="4" s="1"/>
  <c r="E969" i="4"/>
  <c r="E967" i="4"/>
  <c r="F988" i="4" a="1"/>
  <c r="F988" i="4" s="1"/>
  <c r="F989" i="4" a="1"/>
  <c r="F989" i="4" s="1"/>
  <c r="E993" i="4"/>
  <c r="E994" i="4"/>
  <c r="E995" i="4"/>
  <c r="F1015" i="4" a="1"/>
  <c r="F1015" i="4" s="1"/>
  <c r="F1023" i="4" a="1"/>
  <c r="F1023" i="4" s="1"/>
  <c r="E1030" i="4"/>
  <c r="F1037" i="4" a="1"/>
  <c r="F1037" i="4" s="1"/>
  <c r="E1045" i="4"/>
  <c r="F1062" i="4" a="1"/>
  <c r="F1062" i="4" s="1"/>
  <c r="E1059" i="4"/>
  <c r="F869" i="4" a="1"/>
  <c r="F869" i="4" s="1"/>
  <c r="F873" i="4" a="1"/>
  <c r="F873" i="4" s="1"/>
  <c r="F881" i="4" a="1"/>
  <c r="F881" i="4" s="1"/>
  <c r="F883" i="4" a="1"/>
  <c r="F883" i="4" s="1"/>
  <c r="F885" i="4" a="1"/>
  <c r="F885" i="4" s="1"/>
  <c r="F913" i="4" a="1"/>
  <c r="F913" i="4" s="1"/>
  <c r="F915" i="4" a="1"/>
  <c r="F915" i="4" s="1"/>
  <c r="F910" i="4" a="1"/>
  <c r="F910" i="4" s="1"/>
  <c r="F917" i="4" a="1"/>
  <c r="F917" i="4" s="1"/>
  <c r="F944" i="4" a="1"/>
  <c r="F944" i="4" s="1"/>
  <c r="F948" i="4" a="1"/>
  <c r="F948" i="4" s="1"/>
  <c r="F977" i="4" a="1"/>
  <c r="F977" i="4" s="1"/>
  <c r="F975" i="4" a="1"/>
  <c r="F975" i="4" s="1"/>
  <c r="F973" i="4" a="1"/>
  <c r="F973" i="4" s="1"/>
  <c r="F966" i="4" a="1"/>
  <c r="F966" i="4" s="1"/>
  <c r="F992" i="4" a="1"/>
  <c r="F992" i="4" s="1"/>
  <c r="E1008" i="4"/>
  <c r="E1003" i="4"/>
  <c r="E1005" i="4"/>
  <c r="E1006" i="4"/>
  <c r="E1007" i="4"/>
  <c r="E1075" i="4"/>
  <c r="E1077" i="4"/>
  <c r="E1078" i="4"/>
  <c r="E1067" i="4"/>
  <c r="E1073" i="4"/>
  <c r="E1061" i="4"/>
  <c r="F1106" i="4" a="1"/>
  <c r="F1106" i="4" s="1"/>
  <c r="E984" i="4"/>
  <c r="F1012" i="4" a="1"/>
  <c r="F1012" i="4" s="1"/>
  <c r="F1028" i="4" a="1"/>
  <c r="F1028" i="4" s="1"/>
  <c r="F1033" i="4" a="1"/>
  <c r="F1033" i="4" s="1"/>
  <c r="E1043" i="4"/>
  <c r="F1070" i="4" a="1"/>
  <c r="F1070" i="4" s="1"/>
  <c r="F1071" i="4" a="1"/>
  <c r="F1071" i="4" s="1"/>
  <c r="F1095" i="4" a="1"/>
  <c r="F1095" i="4" s="1"/>
  <c r="F1096" i="4" a="1"/>
  <c r="F1096" i="4" s="1"/>
  <c r="F1119" i="4" a="1"/>
  <c r="F1119" i="4" s="1"/>
  <c r="F1120" i="4" a="1"/>
  <c r="F1120" i="4" s="1"/>
  <c r="F1136" i="4" a="1"/>
  <c r="F1136" i="4" s="1"/>
  <c r="F1138" i="4" a="1"/>
  <c r="F1138" i="4" s="1"/>
  <c r="F1329" i="4" a="1"/>
  <c r="F1329" i="4" s="1"/>
  <c r="F1326" i="4" a="1"/>
  <c r="F1326" i="4" s="1"/>
  <c r="F1322" i="4" a="1"/>
  <c r="F1322" i="4" s="1"/>
  <c r="F1325" i="4" a="1"/>
  <c r="F1325" i="4" s="1"/>
  <c r="F1284" i="4" a="1"/>
  <c r="F1284" i="4" s="1"/>
  <c r="E900" i="4"/>
  <c r="E908" i="4"/>
  <c r="E916" i="4"/>
  <c r="E924" i="4"/>
  <c r="E932" i="4"/>
  <c r="E940" i="4"/>
  <c r="E948" i="4"/>
  <c r="E956" i="4"/>
  <c r="E964" i="4"/>
  <c r="E971" i="4"/>
  <c r="E989" i="4"/>
  <c r="F990" i="4" a="1"/>
  <c r="F990" i="4" s="1"/>
  <c r="F993" i="4" a="1"/>
  <c r="F993" i="4" s="1"/>
  <c r="E1001" i="4"/>
  <c r="E1013" i="4"/>
  <c r="E1019" i="4"/>
  <c r="F1043" i="4" a="1"/>
  <c r="F1043" i="4" s="1"/>
  <c r="E1051" i="4"/>
  <c r="E1056" i="4"/>
  <c r="E1055" i="4"/>
  <c r="E1066" i="4"/>
  <c r="E1069" i="4"/>
  <c r="F1075" i="4" a="1"/>
  <c r="F1075" i="4" s="1"/>
  <c r="F1083" i="4" a="1"/>
  <c r="F1083" i="4" s="1"/>
  <c r="F1099" i="4" a="1"/>
  <c r="F1099" i="4" s="1"/>
  <c r="F1107" i="4" a="1"/>
  <c r="F1107" i="4" s="1"/>
  <c r="F1109" i="4" a="1"/>
  <c r="F1109" i="4" s="1"/>
  <c r="F1110" i="4" a="1"/>
  <c r="F1110" i="4" s="1"/>
  <c r="F1101" i="4" a="1"/>
  <c r="F1101" i="4" s="1"/>
  <c r="F1112" i="4" a="1"/>
  <c r="F1112" i="4" s="1"/>
  <c r="F1114" i="4" a="1"/>
  <c r="F1114" i="4" s="1"/>
  <c r="E1134" i="4"/>
  <c r="E1133" i="4"/>
  <c r="E1145" i="4"/>
  <c r="F1176" i="4" a="1"/>
  <c r="F1176" i="4" s="1"/>
  <c r="E1239" i="4"/>
  <c r="E1240" i="4"/>
  <c r="E1235" i="4"/>
  <c r="E1238" i="4"/>
  <c r="E1234" i="4"/>
  <c r="E875" i="4"/>
  <c r="E883" i="4"/>
  <c r="E891" i="4"/>
  <c r="E899" i="4"/>
  <c r="E907" i="4"/>
  <c r="E915" i="4"/>
  <c r="E923" i="4"/>
  <c r="E931" i="4"/>
  <c r="E939" i="4"/>
  <c r="E947" i="4"/>
  <c r="E955" i="4"/>
  <c r="E963" i="4"/>
  <c r="E983" i="4"/>
  <c r="E1000" i="4"/>
  <c r="E1024" i="4"/>
  <c r="F1036" i="4" a="1"/>
  <c r="F1036" i="4" s="1"/>
  <c r="F1038" i="4" a="1"/>
  <c r="F1038" i="4" s="1"/>
  <c r="F1041" i="4" a="1"/>
  <c r="F1041" i="4" s="1"/>
  <c r="F1049" i="4" a="1"/>
  <c r="F1049" i="4" s="1"/>
  <c r="E1070" i="4"/>
  <c r="E1071" i="4"/>
  <c r="F1090" i="4" a="1"/>
  <c r="F1090" i="4" s="1"/>
  <c r="F1115" i="4" a="1"/>
  <c r="F1115" i="4" s="1"/>
  <c r="E1121" i="4"/>
  <c r="E1170" i="4"/>
  <c r="E1255" i="4"/>
  <c r="E1256" i="4"/>
  <c r="E1251" i="4"/>
  <c r="E1250" i="4"/>
  <c r="E970" i="4"/>
  <c r="E976" i="4"/>
  <c r="E982" i="4"/>
  <c r="E987" i="4"/>
  <c r="F1000" i="4" a="1"/>
  <c r="F1000" i="4" s="1"/>
  <c r="F1009" i="4" a="1"/>
  <c r="F1009" i="4" s="1"/>
  <c r="E1012" i="4"/>
  <c r="E1018" i="4"/>
  <c r="E1023" i="4"/>
  <c r="E1033" i="4"/>
  <c r="E1042" i="4"/>
  <c r="F1061" i="4" a="1"/>
  <c r="F1061" i="4" s="1"/>
  <c r="F1065" i="4" a="1"/>
  <c r="F1065" i="4" s="1"/>
  <c r="F1060" i="4" a="1"/>
  <c r="F1060" i="4" s="1"/>
  <c r="F1066" i="4" a="1"/>
  <c r="F1066" i="4" s="1"/>
  <c r="E1068" i="4"/>
  <c r="E1100" i="4"/>
  <c r="E1101" i="4"/>
  <c r="F1133" i="4" a="1"/>
  <c r="F1133" i="4" s="1"/>
  <c r="F1146" i="4" a="1"/>
  <c r="F1146" i="4" s="1"/>
  <c r="E1172" i="4"/>
  <c r="E1164" i="4"/>
  <c r="E1174" i="4"/>
  <c r="E1171" i="4"/>
  <c r="F898" i="4" a="1"/>
  <c r="F898" i="4" s="1"/>
  <c r="F906" i="4" a="1"/>
  <c r="F906" i="4" s="1"/>
  <c r="F914" i="4" a="1"/>
  <c r="F914" i="4" s="1"/>
  <c r="F922" i="4" a="1"/>
  <c r="F922" i="4" s="1"/>
  <c r="F930" i="4" a="1"/>
  <c r="F930" i="4" s="1"/>
  <c r="F938" i="4" a="1"/>
  <c r="F938" i="4" s="1"/>
  <c r="F946" i="4" a="1"/>
  <c r="F946" i="4" s="1"/>
  <c r="F954" i="4" a="1"/>
  <c r="F954" i="4" s="1"/>
  <c r="F962" i="4" a="1"/>
  <c r="F962" i="4" s="1"/>
  <c r="F970" i="4" a="1"/>
  <c r="F970" i="4" s="1"/>
  <c r="E981" i="4"/>
  <c r="F982" i="4" a="1"/>
  <c r="F982" i="4" s="1"/>
  <c r="F985" i="4" a="1"/>
  <c r="F985" i="4" s="1"/>
  <c r="F987" i="4" a="1"/>
  <c r="F987" i="4" s="1"/>
  <c r="E999" i="4"/>
  <c r="E1027" i="4"/>
  <c r="E1032" i="4"/>
  <c r="F1044" i="4" a="1"/>
  <c r="F1044" i="4" s="1"/>
  <c r="F1046" i="4" a="1"/>
  <c r="F1046" i="4" s="1"/>
  <c r="E1058" i="4"/>
  <c r="E1060" i="4"/>
  <c r="F1063" i="4" a="1"/>
  <c r="F1063" i="4" s="1"/>
  <c r="F1068" i="4" a="1"/>
  <c r="F1068" i="4" s="1"/>
  <c r="F1069" i="4" a="1"/>
  <c r="F1069" i="4" s="1"/>
  <c r="F1072" i="4" a="1"/>
  <c r="F1072" i="4" s="1"/>
  <c r="E1089" i="4"/>
  <c r="F1092" i="4" a="1"/>
  <c r="F1092" i="4" s="1"/>
  <c r="F1086" i="4" a="1"/>
  <c r="F1086" i="4" s="1"/>
  <c r="F1093" i="4" a="1"/>
  <c r="F1093" i="4" s="1"/>
  <c r="F1094" i="4" a="1"/>
  <c r="F1094" i="4" s="1"/>
  <c r="F1117" i="4" a="1"/>
  <c r="F1117" i="4" s="1"/>
  <c r="E1140" i="4"/>
  <c r="E1142" i="4"/>
  <c r="E1141" i="4"/>
  <c r="E1137" i="4"/>
  <c r="F1150" i="4" a="1"/>
  <c r="F1150" i="4" s="1"/>
  <c r="E1153" i="4"/>
  <c r="E1157" i="4"/>
  <c r="E1154" i="4"/>
  <c r="E1161" i="4"/>
  <c r="E1180" i="4"/>
  <c r="E1182" i="4"/>
  <c r="E896" i="4"/>
  <c r="E904" i="4"/>
  <c r="E912" i="4"/>
  <c r="E920" i="4"/>
  <c r="E928" i="4"/>
  <c r="E936" i="4"/>
  <c r="E944" i="4"/>
  <c r="E952" i="4"/>
  <c r="E960" i="4"/>
  <c r="E968" i="4"/>
  <c r="E975" i="4"/>
  <c r="E980" i="4"/>
  <c r="F981" i="4" a="1"/>
  <c r="F981" i="4" s="1"/>
  <c r="E992" i="4"/>
  <c r="F999" i="4" a="1"/>
  <c r="F999" i="4" s="1"/>
  <c r="F1017" i="4" a="1"/>
  <c r="F1017" i="4" s="1"/>
  <c r="F1020" i="4" a="1"/>
  <c r="F1020" i="4" s="1"/>
  <c r="F1032" i="4" a="1"/>
  <c r="F1032" i="4" s="1"/>
  <c r="F1052" i="4" a="1"/>
  <c r="F1052" i="4" s="1"/>
  <c r="F1053" i="4" a="1"/>
  <c r="F1053" i="4" s="1"/>
  <c r="F1054" i="4" a="1"/>
  <c r="F1054" i="4" s="1"/>
  <c r="F1055" i="4" a="1"/>
  <c r="F1055" i="4" s="1"/>
  <c r="F1058" i="4" a="1"/>
  <c r="F1058" i="4" s="1"/>
  <c r="F1059" i="4" a="1"/>
  <c r="F1059" i="4" s="1"/>
  <c r="E1065" i="4"/>
  <c r="F1074" i="4" a="1"/>
  <c r="F1074" i="4" s="1"/>
  <c r="F1076" i="4" a="1"/>
  <c r="F1076" i="4" s="1"/>
  <c r="E1083" i="4"/>
  <c r="E1090" i="4"/>
  <c r="F1098" i="4" a="1"/>
  <c r="F1098" i="4" s="1"/>
  <c r="F1100" i="4" a="1"/>
  <c r="F1100" i="4" s="1"/>
  <c r="F1102" i="4" a="1"/>
  <c r="F1102" i="4" s="1"/>
  <c r="F1116" i="4" a="1"/>
  <c r="F1116" i="4" s="1"/>
  <c r="F1126" i="4" a="1"/>
  <c r="F1126" i="4" s="1"/>
  <c r="E1129" i="4"/>
  <c r="E1165" i="4"/>
  <c r="F1199" i="4" a="1"/>
  <c r="F1199" i="4" s="1"/>
  <c r="F1001" i="4" a="1"/>
  <c r="F1001" i="4" s="1"/>
  <c r="F1025" i="4" a="1"/>
  <c r="F1025" i="4" s="1"/>
  <c r="E1031" i="4"/>
  <c r="E1035" i="4"/>
  <c r="E1040" i="4"/>
  <c r="F1051" i="4" a="1"/>
  <c r="F1051" i="4" s="1"/>
  <c r="E1057" i="4"/>
  <c r="E1062" i="4"/>
  <c r="F1077" i="4" a="1"/>
  <c r="F1077" i="4" s="1"/>
  <c r="F1087" i="4" a="1"/>
  <c r="F1087" i="4" s="1"/>
  <c r="F1088" i="4" a="1"/>
  <c r="F1088" i="4" s="1"/>
  <c r="E1092" i="4"/>
  <c r="E1096" i="4"/>
  <c r="E1085" i="4"/>
  <c r="E1093" i="4"/>
  <c r="E1094" i="4"/>
  <c r="E1095" i="4"/>
  <c r="E1120" i="4"/>
  <c r="E1103" i="4"/>
  <c r="E1119" i="4"/>
  <c r="E1114" i="4"/>
  <c r="E1105" i="4"/>
  <c r="E1122" i="4"/>
  <c r="E1123" i="4"/>
  <c r="E1124" i="4"/>
  <c r="F1128" i="4" a="1"/>
  <c r="F1128" i="4" s="1"/>
  <c r="F1124" i="4" a="1"/>
  <c r="F1124" i="4" s="1"/>
  <c r="F1142" i="4" a="1"/>
  <c r="F1142" i="4" s="1"/>
  <c r="E1151" i="4"/>
  <c r="E1152" i="4"/>
  <c r="E1148" i="4"/>
  <c r="F1162" i="4" a="1"/>
  <c r="F1162" i="4" s="1"/>
  <c r="F1181" i="4" a="1"/>
  <c r="F1181" i="4" s="1"/>
  <c r="H1261" i="4"/>
  <c r="M12" i="4" s="1"/>
  <c r="N12" i="4" s="1" a="1"/>
  <c r="N12" i="4" s="1"/>
  <c r="E1072" i="4"/>
  <c r="F1079" i="4" a="1"/>
  <c r="F1079" i="4" s="1"/>
  <c r="E1111" i="4"/>
  <c r="F1113" i="4" a="1"/>
  <c r="F1113" i="4" s="1"/>
  <c r="F1125" i="4" a="1"/>
  <c r="F1125" i="4" s="1"/>
  <c r="F1134" i="4" a="1"/>
  <c r="F1134" i="4" s="1"/>
  <c r="F1149" i="4" a="1"/>
  <c r="F1149" i="4" s="1"/>
  <c r="F1151" i="4" a="1"/>
  <c r="F1151" i="4" s="1"/>
  <c r="E1158" i="4"/>
  <c r="F1177" i="4" a="1"/>
  <c r="F1177" i="4" s="1"/>
  <c r="F1178" i="4" a="1"/>
  <c r="F1178" i="4" s="1"/>
  <c r="E1190" i="4"/>
  <c r="E1194" i="4"/>
  <c r="F1201" i="4" a="1"/>
  <c r="F1201" i="4" s="1"/>
  <c r="E1205" i="4"/>
  <c r="E1203" i="4"/>
  <c r="E1204" i="4"/>
  <c r="F1211" i="4" a="1"/>
  <c r="F1211" i="4" s="1"/>
  <c r="E1215" i="4"/>
  <c r="E1216" i="4"/>
  <c r="E1214" i="4"/>
  <c r="E1217" i="4"/>
  <c r="E1266" i="4"/>
  <c r="E1267" i="4"/>
  <c r="E1262" i="4"/>
  <c r="F1275" i="4" a="1"/>
  <c r="F1275" i="4" s="1"/>
  <c r="F1078" i="4" a="1"/>
  <c r="F1078" i="4" s="1"/>
  <c r="F1081" i="4" a="1"/>
  <c r="F1081" i="4" s="1"/>
  <c r="E1110" i="4"/>
  <c r="F1127" i="4" a="1"/>
  <c r="F1127" i="4" s="1"/>
  <c r="E1128" i="4"/>
  <c r="F1140" i="4" a="1"/>
  <c r="F1140" i="4" s="1"/>
  <c r="F1152" i="4" a="1"/>
  <c r="F1152" i="4" s="1"/>
  <c r="F1153" i="4" a="1"/>
  <c r="F1153" i="4" s="1"/>
  <c r="E1167" i="4"/>
  <c r="F1173" i="4" a="1"/>
  <c r="F1173" i="4" s="1"/>
  <c r="F1184" i="4" a="1"/>
  <c r="F1184" i="4" s="1"/>
  <c r="F1204" i="4" a="1"/>
  <c r="F1204" i="4" s="1"/>
  <c r="F1227" i="4" a="1"/>
  <c r="F1227" i="4" s="1"/>
  <c r="E1231" i="4"/>
  <c r="E1232" i="4"/>
  <c r="E1230" i="4"/>
  <c r="E1233" i="4"/>
  <c r="F1259" i="4" a="1"/>
  <c r="F1259" i="4" s="1"/>
  <c r="F1057" i="4" a="1"/>
  <c r="F1057" i="4" s="1"/>
  <c r="E1088" i="4"/>
  <c r="E1099" i="4"/>
  <c r="F1121" i="4" a="1"/>
  <c r="F1121" i="4" s="1"/>
  <c r="F1123" i="4" a="1"/>
  <c r="F1123" i="4" s="1"/>
  <c r="E1132" i="4"/>
  <c r="E1147" i="4"/>
  <c r="F1154" i="4" a="1"/>
  <c r="F1154" i="4" s="1"/>
  <c r="F1156" i="4" a="1"/>
  <c r="F1156" i="4" s="1"/>
  <c r="E1163" i="4"/>
  <c r="F1166" i="4" a="1"/>
  <c r="F1166" i="4" s="1"/>
  <c r="E1176" i="4"/>
  <c r="E1178" i="4"/>
  <c r="E1179" i="4"/>
  <c r="F1190" i="4" a="1"/>
  <c r="F1190" i="4" s="1"/>
  <c r="F1188" i="4" a="1"/>
  <c r="F1188" i="4" s="1"/>
  <c r="F1217" i="4" a="1"/>
  <c r="F1217" i="4" s="1"/>
  <c r="F1221" i="4" a="1"/>
  <c r="F1221" i="4" s="1"/>
  <c r="F1222" i="4" a="1"/>
  <c r="F1222" i="4" s="1"/>
  <c r="F1219" i="4" a="1"/>
  <c r="F1219" i="4" s="1"/>
  <c r="E1225" i="4"/>
  <c r="F1243" i="4" a="1"/>
  <c r="F1243" i="4" s="1"/>
  <c r="E1247" i="4"/>
  <c r="E1248" i="4"/>
  <c r="E1246" i="4"/>
  <c r="E1249" i="4"/>
  <c r="F1266" i="4" a="1"/>
  <c r="F1266" i="4" s="1"/>
  <c r="F1296" i="4" a="1"/>
  <c r="F1296" i="4" s="1"/>
  <c r="F1290" i="4" a="1"/>
  <c r="F1290" i="4" s="1"/>
  <c r="F1285" i="4" a="1"/>
  <c r="F1285" i="4" s="1"/>
  <c r="F1278" i="4" a="1"/>
  <c r="F1278" i="4" s="1"/>
  <c r="F1294" i="4" a="1"/>
  <c r="F1294" i="4" s="1"/>
  <c r="F1281" i="4" a="1"/>
  <c r="F1281" i="4" s="1"/>
  <c r="E1064" i="4"/>
  <c r="F1097" i="4" a="1"/>
  <c r="F1097" i="4" s="1"/>
  <c r="F1103" i="4" a="1"/>
  <c r="F1103" i="4" s="1"/>
  <c r="E1104" i="4"/>
  <c r="E1109" i="4"/>
  <c r="E1118" i="4"/>
  <c r="F1135" i="4" a="1"/>
  <c r="F1135" i="4" s="1"/>
  <c r="E1136" i="4"/>
  <c r="F1141" i="4" a="1"/>
  <c r="F1141" i="4" s="1"/>
  <c r="F1143" i="4" a="1"/>
  <c r="F1143" i="4" s="1"/>
  <c r="E1144" i="4"/>
  <c r="F1147" i="4" a="1"/>
  <c r="F1147" i="4" s="1"/>
  <c r="E1159" i="4"/>
  <c r="E1160" i="4"/>
  <c r="F1163" i="4" a="1"/>
  <c r="F1163" i="4" s="1"/>
  <c r="F1167" i="4" a="1"/>
  <c r="F1167" i="4" s="1"/>
  <c r="E1169" i="4"/>
  <c r="F1170" i="4" a="1"/>
  <c r="F1170" i="4" s="1"/>
  <c r="E1184" i="4"/>
  <c r="F1187" i="4" a="1"/>
  <c r="F1187" i="4" s="1"/>
  <c r="F1195" i="4" a="1"/>
  <c r="F1195" i="4" s="1"/>
  <c r="F1202" i="4" a="1"/>
  <c r="F1202" i="4" s="1"/>
  <c r="E1212" i="4"/>
  <c r="E1213" i="4"/>
  <c r="E1211" i="4"/>
  <c r="F1233" i="4" a="1"/>
  <c r="F1233" i="4" s="1"/>
  <c r="F1237" i="4" a="1"/>
  <c r="F1237" i="4" s="1"/>
  <c r="F1238" i="4" a="1"/>
  <c r="F1238" i="4" s="1"/>
  <c r="F1235" i="4" a="1"/>
  <c r="F1235" i="4" s="1"/>
  <c r="E1241" i="4"/>
  <c r="F1279" i="4" a="1"/>
  <c r="F1279" i="4" s="1"/>
  <c r="F1314" i="4" a="1"/>
  <c r="F1314" i="4" s="1"/>
  <c r="F1316" i="4" a="1"/>
  <c r="F1316" i="4" s="1"/>
  <c r="F1317" i="4" a="1"/>
  <c r="F1317" i="4" s="1"/>
  <c r="F1318" i="4" a="1"/>
  <c r="F1318" i="4" s="1"/>
  <c r="F1306" i="4" a="1"/>
  <c r="F1306" i="4" s="1"/>
  <c r="F1302" i="4" a="1"/>
  <c r="F1302" i="4" s="1"/>
  <c r="F1300" i="4" a="1"/>
  <c r="F1300" i="4" s="1"/>
  <c r="F1073" i="4" a="1"/>
  <c r="F1073" i="4" s="1"/>
  <c r="E1087" i="4"/>
  <c r="E1098" i="4"/>
  <c r="E1108" i="4"/>
  <c r="F1118" i="4" a="1"/>
  <c r="F1118" i="4" s="1"/>
  <c r="F1122" i="4" a="1"/>
  <c r="F1122" i="4" s="1"/>
  <c r="E1127" i="4"/>
  <c r="F1129" i="4" a="1"/>
  <c r="F1129" i="4" s="1"/>
  <c r="E1150" i="4"/>
  <c r="F1157" i="4" a="1"/>
  <c r="F1157" i="4" s="1"/>
  <c r="F1159" i="4" a="1"/>
  <c r="F1159" i="4" s="1"/>
  <c r="E1166" i="4"/>
  <c r="F1169" i="4" a="1"/>
  <c r="F1169" i="4" s="1"/>
  <c r="E1175" i="4"/>
  <c r="F1180" i="4" a="1"/>
  <c r="F1180" i="4" s="1"/>
  <c r="E1193" i="4"/>
  <c r="F1200" i="4" a="1"/>
  <c r="F1200" i="4" s="1"/>
  <c r="E1206" i="4"/>
  <c r="F1215" i="4" a="1"/>
  <c r="F1215" i="4" s="1"/>
  <c r="F1220" i="4" a="1"/>
  <c r="F1220" i="4" s="1"/>
  <c r="E1227" i="4"/>
  <c r="F1249" i="4" a="1"/>
  <c r="F1249" i="4" s="1"/>
  <c r="F1250" i="4" a="1"/>
  <c r="F1250" i="4" s="1"/>
  <c r="F1274" i="4" a="1"/>
  <c r="F1274" i="4" s="1"/>
  <c r="F1292" i="4" a="1"/>
  <c r="F1292" i="4" s="1"/>
  <c r="E1063" i="4"/>
  <c r="E1080" i="4"/>
  <c r="F1108" i="4" a="1"/>
  <c r="F1108" i="4" s="1"/>
  <c r="F1111" i="4" a="1"/>
  <c r="F1111" i="4" s="1"/>
  <c r="E1112" i="4"/>
  <c r="E1117" i="4"/>
  <c r="E1126" i="4"/>
  <c r="F1144" i="4" a="1"/>
  <c r="F1144" i="4" s="1"/>
  <c r="F1145" i="4" a="1"/>
  <c r="F1145" i="4" s="1"/>
  <c r="E1146" i="4"/>
  <c r="F1160" i="4" a="1"/>
  <c r="F1160" i="4" s="1"/>
  <c r="F1161" i="4" a="1"/>
  <c r="F1161" i="4" s="1"/>
  <c r="E1162" i="4"/>
  <c r="F1174" i="4" a="1"/>
  <c r="F1174" i="4" s="1"/>
  <c r="F1175" i="4" a="1"/>
  <c r="F1175" i="4" s="1"/>
  <c r="F1185" i="4" a="1"/>
  <c r="F1185" i="4" s="1"/>
  <c r="E1186" i="4"/>
  <c r="E1192" i="4"/>
  <c r="E1195" i="4"/>
  <c r="E1208" i="4"/>
  <c r="E1207" i="4"/>
  <c r="E1210" i="4"/>
  <c r="F1213" i="4" a="1"/>
  <c r="F1213" i="4" s="1"/>
  <c r="F1214" i="4" a="1"/>
  <c r="F1214" i="4" s="1"/>
  <c r="F1231" i="4" a="1"/>
  <c r="F1231" i="4" s="1"/>
  <c r="F1236" i="4" a="1"/>
  <c r="F1236" i="4" s="1"/>
  <c r="E1242" i="4"/>
  <c r="F1089" i="4" a="1"/>
  <c r="F1089" i="4" s="1"/>
  <c r="F1105" i="4" a="1"/>
  <c r="F1105" i="4" s="1"/>
  <c r="E1116" i="4"/>
  <c r="E1135" i="4"/>
  <c r="F1137" i="4" a="1"/>
  <c r="F1137" i="4" s="1"/>
  <c r="F1139" i="4" a="1"/>
  <c r="F1139" i="4" s="1"/>
  <c r="E1143" i="4"/>
  <c r="F1148" i="4" a="1"/>
  <c r="F1148" i="4" s="1"/>
  <c r="E1155" i="4"/>
  <c r="F1164" i="4" a="1"/>
  <c r="F1164" i="4" s="1"/>
  <c r="E1168" i="4"/>
  <c r="F1172" i="4" a="1"/>
  <c r="F1172" i="4" s="1"/>
  <c r="E1183" i="4"/>
  <c r="F1186" i="4" a="1"/>
  <c r="F1186" i="4" s="1"/>
  <c r="F1191" i="4" a="1"/>
  <c r="F1191" i="4" s="1"/>
  <c r="E1200" i="4"/>
  <c r="E1199" i="4"/>
  <c r="F1203" i="4" a="1"/>
  <c r="F1203" i="4" s="1"/>
  <c r="F1210" i="4" a="1"/>
  <c r="F1210" i="4" s="1"/>
  <c r="E1223" i="4"/>
  <c r="E1224" i="4"/>
  <c r="E1219" i="4"/>
  <c r="E1226" i="4"/>
  <c r="F1229" i="4" a="1"/>
  <c r="F1229" i="4" s="1"/>
  <c r="F1230" i="4" a="1"/>
  <c r="F1230" i="4" s="1"/>
  <c r="F1247" i="4" a="1"/>
  <c r="F1247" i="4" s="1"/>
  <c r="F1252" i="4" a="1"/>
  <c r="F1252" i="4" s="1"/>
  <c r="E1276" i="4"/>
  <c r="E1269" i="4"/>
  <c r="E1273" i="4"/>
  <c r="F1298" i="4" a="1"/>
  <c r="F1298" i="4" s="1"/>
  <c r="E1173" i="4"/>
  <c r="E1220" i="4"/>
  <c r="E1221" i="4"/>
  <c r="E1236" i="4"/>
  <c r="E1237" i="4"/>
  <c r="E1243" i="4"/>
  <c r="E1252" i="4"/>
  <c r="E1253" i="4"/>
  <c r="E1259" i="4"/>
  <c r="E1263" i="4"/>
  <c r="E1264" i="4"/>
  <c r="F1270" i="4" a="1"/>
  <c r="F1270" i="4" s="1"/>
  <c r="E1290" i="4"/>
  <c r="E1291" i="4"/>
  <c r="E1298" i="4"/>
  <c r="E1293" i="4"/>
  <c r="E1297" i="4"/>
  <c r="F1301" i="4" a="1"/>
  <c r="F1301" i="4" s="1"/>
  <c r="E1305" i="4"/>
  <c r="E1312" i="4"/>
  <c r="E1313" i="4"/>
  <c r="F1346" i="4" a="1"/>
  <c r="F1346" i="4" s="1"/>
  <c r="F1341" i="4" a="1"/>
  <c r="F1341" i="4" s="1"/>
  <c r="F1338" i="4" a="1"/>
  <c r="F1338" i="4" s="1"/>
  <c r="F1355" i="4" a="1"/>
  <c r="F1355" i="4" s="1"/>
  <c r="E1379" i="4"/>
  <c r="E1373" i="4"/>
  <c r="F1412" i="4" a="1"/>
  <c r="F1412" i="4" s="1"/>
  <c r="F1179" i="4" a="1"/>
  <c r="F1179" i="4" s="1"/>
  <c r="F1182" i="4" a="1"/>
  <c r="F1182" i="4" s="1"/>
  <c r="F1193" i="4" a="1"/>
  <c r="F1193" i="4" s="1"/>
  <c r="F1198" i="4" a="1"/>
  <c r="F1198" i="4" s="1"/>
  <c r="F1216" i="4" a="1"/>
  <c r="F1216" i="4" s="1"/>
  <c r="F1232" i="4" a="1"/>
  <c r="F1232" i="4" s="1"/>
  <c r="F1248" i="4" a="1"/>
  <c r="F1248" i="4" s="1"/>
  <c r="F1261" i="4" a="1"/>
  <c r="F1261" i="4" s="1"/>
  <c r="E1274" i="4"/>
  <c r="F1283" i="4" a="1"/>
  <c r="F1283" i="4" s="1"/>
  <c r="F1304" i="4" a="1"/>
  <c r="F1304" i="4" s="1"/>
  <c r="E1300" i="4"/>
  <c r="E1307" i="4"/>
  <c r="E1301" i="4"/>
  <c r="E1316" i="4"/>
  <c r="F1349" i="4" a="1"/>
  <c r="F1349" i="4" s="1"/>
  <c r="E1355" i="4"/>
  <c r="E1353" i="4"/>
  <c r="E1348" i="4"/>
  <c r="E1349" i="4"/>
  <c r="F1372" i="4" a="1"/>
  <c r="F1372" i="4" s="1"/>
  <c r="F1374" i="4" a="1"/>
  <c r="F1374" i="4" s="1"/>
  <c r="F1373" i="4" a="1"/>
  <c r="F1373" i="4" s="1"/>
  <c r="F1370" i="4" a="1"/>
  <c r="F1370" i="4" s="1"/>
  <c r="F1365" i="4" a="1"/>
  <c r="F1365" i="4" s="1"/>
  <c r="F1362" i="4" a="1"/>
  <c r="F1362" i="4" s="1"/>
  <c r="F1366" i="4" a="1"/>
  <c r="F1366" i="4" s="1"/>
  <c r="E1189" i="4"/>
  <c r="F1205" i="4" a="1"/>
  <c r="F1205" i="4" s="1"/>
  <c r="F1206" i="4" a="1"/>
  <c r="F1206" i="4" s="1"/>
  <c r="F1209" i="4" a="1"/>
  <c r="F1209" i="4" s="1"/>
  <c r="F1225" i="4" a="1"/>
  <c r="F1225" i="4" s="1"/>
  <c r="F1241" i="4" a="1"/>
  <c r="F1241" i="4" s="1"/>
  <c r="F1257" i="4" a="1"/>
  <c r="F1257" i="4" s="1"/>
  <c r="F1268" i="4" a="1"/>
  <c r="F1268" i="4" s="1"/>
  <c r="E1271" i="4"/>
  <c r="E1272" i="4"/>
  <c r="F1282" i="4" a="1"/>
  <c r="F1282" i="4" s="1"/>
  <c r="F1295" i="4" a="1"/>
  <c r="F1295" i="4" s="1"/>
  <c r="F1297" i="4" a="1"/>
  <c r="F1297" i="4" s="1"/>
  <c r="E1329" i="4"/>
  <c r="F1335" i="4" a="1"/>
  <c r="F1335" i="4" s="1"/>
  <c r="E1344" i="4"/>
  <c r="E1337" i="4"/>
  <c r="E1340" i="4"/>
  <c r="F1253" i="4" a="1"/>
  <c r="F1253" i="4" s="1"/>
  <c r="F1254" i="4" a="1"/>
  <c r="F1254" i="4" s="1"/>
  <c r="F1255" i="4" a="1"/>
  <c r="F1255" i="4" s="1"/>
  <c r="F1258" i="4" a="1"/>
  <c r="F1258" i="4" s="1"/>
  <c r="F1263" i="4" a="1"/>
  <c r="F1263" i="4" s="1"/>
  <c r="F1264" i="4" a="1"/>
  <c r="F1264" i="4" s="1"/>
  <c r="F1265" i="4" a="1"/>
  <c r="F1265" i="4" s="1"/>
  <c r="E1279" i="4"/>
  <c r="E1280" i="4"/>
  <c r="E1309" i="4"/>
  <c r="E1310" i="4"/>
  <c r="E1228" i="4"/>
  <c r="E1229" i="4"/>
  <c r="E1244" i="4"/>
  <c r="E1245" i="4"/>
  <c r="E1260" i="4"/>
  <c r="E1261" i="4"/>
  <c r="F1269" i="4" a="1"/>
  <c r="F1269" i="4" s="1"/>
  <c r="F1276" i="4" a="1"/>
  <c r="F1276" i="4" s="1"/>
  <c r="E1281" i="4"/>
  <c r="E1282" i="4"/>
  <c r="F1321" i="4" a="1"/>
  <c r="F1321" i="4" s="1"/>
  <c r="E1363" i="4"/>
  <c r="E1357" i="4"/>
  <c r="F1425" i="4" a="1"/>
  <c r="F1425" i="4" s="1"/>
  <c r="F1389" i="4" a="1"/>
  <c r="F1389" i="4" s="1"/>
  <c r="F1421" i="4" a="1"/>
  <c r="F1421" i="4" s="1"/>
  <c r="E1181" i="4"/>
  <c r="E1197" i="4"/>
  <c r="F1208" i="4" a="1"/>
  <c r="F1208" i="4" s="1"/>
  <c r="F1224" i="4" a="1"/>
  <c r="F1224" i="4" s="1"/>
  <c r="F1240" i="4" a="1"/>
  <c r="F1240" i="4" s="1"/>
  <c r="F1251" i="4" a="1"/>
  <c r="F1251" i="4" s="1"/>
  <c r="F1256" i="4" a="1"/>
  <c r="F1256" i="4" s="1"/>
  <c r="F1262" i="4" a="1"/>
  <c r="F1262" i="4" s="1"/>
  <c r="F1267" i="4" a="1"/>
  <c r="F1267" i="4" s="1"/>
  <c r="F1271" i="4" a="1"/>
  <c r="F1271" i="4" s="1"/>
  <c r="F1272" i="4" a="1"/>
  <c r="F1272" i="4" s="1"/>
  <c r="F1277" i="4" a="1"/>
  <c r="F1277" i="4" s="1"/>
  <c r="E1292" i="4"/>
  <c r="E1299" i="4"/>
  <c r="F1305" i="4" a="1"/>
  <c r="F1305" i="4" s="1"/>
  <c r="F1308" i="4" a="1"/>
  <c r="F1308" i="4" s="1"/>
  <c r="F1309" i="4" a="1"/>
  <c r="F1309" i="4" s="1"/>
  <c r="F1310" i="4" a="1"/>
  <c r="F1310" i="4" s="1"/>
  <c r="E1330" i="4"/>
  <c r="E1341" i="4"/>
  <c r="F1360" i="4" a="1"/>
  <c r="F1360" i="4" s="1"/>
  <c r="F1330" i="4" a="1"/>
  <c r="F1330" i="4" s="1"/>
  <c r="E1332" i="4"/>
  <c r="E1356" i="4"/>
  <c r="E1358" i="4"/>
  <c r="E1369" i="4"/>
  <c r="E1441" i="4"/>
  <c r="E1443" i="4"/>
  <c r="E1437" i="4"/>
  <c r="E1436" i="4"/>
  <c r="F1376" i="4" a="1"/>
  <c r="F1376" i="4" s="1"/>
  <c r="F1383" i="4" a="1"/>
  <c r="F1383" i="4" s="1"/>
  <c r="F1385" i="4" a="1"/>
  <c r="F1385" i="4" s="1"/>
  <c r="E1401" i="4"/>
  <c r="E1403" i="4"/>
  <c r="E1397" i="4"/>
  <c r="F1416" i="4" a="1"/>
  <c r="F1416" i="4" s="1"/>
  <c r="F1418" i="4" a="1"/>
  <c r="F1418" i="4" s="1"/>
  <c r="F1419" i="4" a="1"/>
  <c r="F1419" i="4" s="1"/>
  <c r="E1432" i="4"/>
  <c r="E1434" i="4"/>
  <c r="E1465" i="4"/>
  <c r="E1467" i="4"/>
  <c r="E1461" i="4"/>
  <c r="F1287" i="4" a="1"/>
  <c r="F1287" i="4" s="1"/>
  <c r="F1291" i="4" a="1"/>
  <c r="F1291" i="4" s="1"/>
  <c r="E1294" i="4"/>
  <c r="F1307" i="4" a="1"/>
  <c r="F1307" i="4" s="1"/>
  <c r="F1324" i="4" a="1"/>
  <c r="F1324" i="4" s="1"/>
  <c r="E1326" i="4"/>
  <c r="F1337" i="4" a="1"/>
  <c r="F1337" i="4" s="1"/>
  <c r="F1343" i="4" a="1"/>
  <c r="F1343" i="4" s="1"/>
  <c r="E1346" i="4"/>
  <c r="E1352" i="4"/>
  <c r="F1368" i="4" a="1"/>
  <c r="F1368" i="4" s="1"/>
  <c r="E1371" i="4"/>
  <c r="E1374" i="4"/>
  <c r="F1378" i="4" a="1"/>
  <c r="F1378" i="4" s="1"/>
  <c r="F1379" i="4" a="1"/>
  <c r="F1379" i="4" s="1"/>
  <c r="F1381" i="4" a="1"/>
  <c r="F1381" i="4" s="1"/>
  <c r="E1392" i="4"/>
  <c r="E1394" i="4"/>
  <c r="F1396" i="4" a="1"/>
  <c r="F1396" i="4" s="1"/>
  <c r="F1407" i="4" a="1"/>
  <c r="F1407" i="4" s="1"/>
  <c r="F1409" i="4" a="1"/>
  <c r="F1409" i="4" s="1"/>
  <c r="E1425" i="4"/>
  <c r="E1427" i="4"/>
  <c r="E1421" i="4"/>
  <c r="F1440" i="4" a="1"/>
  <c r="F1440" i="4" s="1"/>
  <c r="F1442" i="4" a="1"/>
  <c r="F1442" i="4" s="1"/>
  <c r="F1443" i="4" a="1"/>
  <c r="F1443" i="4" s="1"/>
  <c r="F1445" i="4" a="1"/>
  <c r="F1445" i="4" s="1"/>
  <c r="E1456" i="4"/>
  <c r="E1458" i="4"/>
  <c r="E1489" i="4"/>
  <c r="E1491" i="4"/>
  <c r="E1485" i="4"/>
  <c r="F1495" i="4" a="1"/>
  <c r="F1495" i="4" s="1"/>
  <c r="F1493" i="4" a="1"/>
  <c r="F1493" i="4" s="1"/>
  <c r="F1494" i="4" a="1"/>
  <c r="F1494" i="4" s="1"/>
  <c r="E1275" i="4"/>
  <c r="F1280" i="4" a="1"/>
  <c r="F1280" i="4" s="1"/>
  <c r="E1304" i="4"/>
  <c r="F1312" i="4" a="1"/>
  <c r="F1312" i="4" s="1"/>
  <c r="E1315" i="4"/>
  <c r="F1315" i="4" a="1"/>
  <c r="F1315" i="4" s="1"/>
  <c r="F1332" i="4" a="1"/>
  <c r="F1332" i="4" s="1"/>
  <c r="E1335" i="4"/>
  <c r="F1345" i="4" a="1"/>
  <c r="F1345" i="4" s="1"/>
  <c r="F1351" i="4" a="1"/>
  <c r="F1351" i="4" s="1"/>
  <c r="E1354" i="4"/>
  <c r="E1360" i="4"/>
  <c r="E1376" i="4"/>
  <c r="E1375" i="4"/>
  <c r="E1385" i="4"/>
  <c r="E1387" i="4"/>
  <c r="E1381" i="4"/>
  <c r="E1396" i="4"/>
  <c r="F1400" i="4" a="1"/>
  <c r="F1400" i="4" s="1"/>
  <c r="F1402" i="4" a="1"/>
  <c r="F1402" i="4" s="1"/>
  <c r="F1403" i="4" a="1"/>
  <c r="F1403" i="4" s="1"/>
  <c r="F1405" i="4" a="1"/>
  <c r="F1405" i="4" s="1"/>
  <c r="E1416" i="4"/>
  <c r="E1418" i="4"/>
  <c r="F1420" i="4" a="1"/>
  <c r="F1420" i="4" s="1"/>
  <c r="F1431" i="4" a="1"/>
  <c r="F1431" i="4" s="1"/>
  <c r="F1433" i="4" a="1"/>
  <c r="F1433" i="4" s="1"/>
  <c r="E1438" i="4"/>
  <c r="E1449" i="4"/>
  <c r="E1451" i="4"/>
  <c r="E1445" i="4"/>
  <c r="E1460" i="4"/>
  <c r="F1466" i="4" a="1"/>
  <c r="F1466" i="4" s="1"/>
  <c r="F1467" i="4" a="1"/>
  <c r="F1467" i="4" s="1"/>
  <c r="F1469" i="4" a="1"/>
  <c r="F1469" i="4" s="1"/>
  <c r="E1480" i="4"/>
  <c r="E1482" i="4"/>
  <c r="F1486" i="4" a="1"/>
  <c r="F1486" i="4" s="1"/>
  <c r="F1499" i="4" a="1"/>
  <c r="F1499" i="4" s="1"/>
  <c r="F1496" i="4" a="1"/>
  <c r="F1496" i="4" s="1"/>
  <c r="F1497" i="4" a="1"/>
  <c r="F1497" i="4" s="1"/>
  <c r="F1498" i="4" a="1"/>
  <c r="F1498" i="4" s="1"/>
  <c r="E1287" i="4"/>
  <c r="F1289" i="4" a="1"/>
  <c r="F1289" i="4" s="1"/>
  <c r="F1303" i="4" a="1"/>
  <c r="F1303" i="4" s="1"/>
  <c r="E1306" i="4"/>
  <c r="F1320" i="4" a="1"/>
  <c r="F1320" i="4" s="1"/>
  <c r="E1323" i="4"/>
  <c r="F1323" i="4" a="1"/>
  <c r="F1323" i="4" s="1"/>
  <c r="F1340" i="4" a="1"/>
  <c r="F1340" i="4" s="1"/>
  <c r="E1343" i="4"/>
  <c r="F1353" i="4" a="1"/>
  <c r="F1353" i="4" s="1"/>
  <c r="F1359" i="4" a="1"/>
  <c r="F1359" i="4" s="1"/>
  <c r="E1362" i="4"/>
  <c r="F1363" i="4" a="1"/>
  <c r="F1363" i="4" s="1"/>
  <c r="E1365" i="4"/>
  <c r="E1368" i="4"/>
  <c r="E1367" i="4"/>
  <c r="E1378" i="4"/>
  <c r="F1380" i="4" a="1"/>
  <c r="F1380" i="4" s="1"/>
  <c r="F1391" i="4" a="1"/>
  <c r="F1391" i="4" s="1"/>
  <c r="F1393" i="4" a="1"/>
  <c r="F1393" i="4" s="1"/>
  <c r="E1398" i="4"/>
  <c r="E1409" i="4"/>
  <c r="E1411" i="4"/>
  <c r="E1405" i="4"/>
  <c r="E1420" i="4"/>
  <c r="F1424" i="4" a="1"/>
  <c r="F1424" i="4" s="1"/>
  <c r="F1426" i="4" a="1"/>
  <c r="F1426" i="4" s="1"/>
  <c r="F1427" i="4" a="1"/>
  <c r="F1427" i="4" s="1"/>
  <c r="E1440" i="4"/>
  <c r="E1442" i="4"/>
  <c r="F1444" i="4" a="1"/>
  <c r="F1444" i="4" s="1"/>
  <c r="F1457" i="4" a="1"/>
  <c r="F1457" i="4" s="1"/>
  <c r="E1462" i="4"/>
  <c r="E1473" i="4"/>
  <c r="E1475" i="4"/>
  <c r="E1469" i="4"/>
  <c r="E1484" i="4"/>
  <c r="F1488" i="4" a="1"/>
  <c r="F1488" i="4" s="1"/>
  <c r="F1490" i="4" a="1"/>
  <c r="F1490" i="4" s="1"/>
  <c r="F1491" i="4" a="1"/>
  <c r="F1491" i="4" s="1"/>
  <c r="F1503" i="4" a="1"/>
  <c r="F1503" i="4" s="1"/>
  <c r="F1500" i="4" a="1"/>
  <c r="F1500" i="4" s="1"/>
  <c r="F1501" i="4" a="1"/>
  <c r="F1501" i="4" s="1"/>
  <c r="F1502" i="4" a="1"/>
  <c r="F1502" i="4" s="1"/>
  <c r="F1328" i="4" a="1"/>
  <c r="F1328" i="4" s="1"/>
  <c r="E1331" i="4"/>
  <c r="F1331" i="4" a="1"/>
  <c r="F1331" i="4" s="1"/>
  <c r="E1334" i="4"/>
  <c r="F1348" i="4" a="1"/>
  <c r="F1348" i="4" s="1"/>
  <c r="E1351" i="4"/>
  <c r="F1361" i="4" a="1"/>
  <c r="F1361" i="4" s="1"/>
  <c r="F1367" i="4" a="1"/>
  <c r="F1367" i="4" s="1"/>
  <c r="E1370" i="4"/>
  <c r="F1371" i="4" a="1"/>
  <c r="F1371" i="4" s="1"/>
  <c r="F1375" i="4" a="1"/>
  <c r="F1375" i="4" s="1"/>
  <c r="F1377" i="4" a="1"/>
  <c r="F1377" i="4" s="1"/>
  <c r="F1384" i="4" a="1"/>
  <c r="F1384" i="4" s="1"/>
  <c r="F1386" i="4" a="1"/>
  <c r="F1386" i="4" s="1"/>
  <c r="F1387" i="4" a="1"/>
  <c r="F1387" i="4" s="1"/>
  <c r="E1400" i="4"/>
  <c r="E1402" i="4"/>
  <c r="F1404" i="4" a="1"/>
  <c r="F1404" i="4" s="1"/>
  <c r="F1415" i="4" a="1"/>
  <c r="F1415" i="4" s="1"/>
  <c r="F1417" i="4" a="1"/>
  <c r="F1417" i="4" s="1"/>
  <c r="E1433" i="4"/>
  <c r="E1435" i="4"/>
  <c r="E1429" i="4"/>
  <c r="F1448" i="4" a="1"/>
  <c r="F1448" i="4" s="1"/>
  <c r="E1464" i="4"/>
  <c r="E1466" i="4"/>
  <c r="F1481" i="4" a="1"/>
  <c r="F1481" i="4" s="1"/>
  <c r="E1486" i="4"/>
  <c r="F1507" i="4" a="1"/>
  <c r="F1507" i="4" s="1"/>
  <c r="F1505" i="4" a="1"/>
  <c r="F1505" i="4" s="1"/>
  <c r="F1273" i="4" a="1"/>
  <c r="F1273" i="4" s="1"/>
  <c r="E1286" i="4"/>
  <c r="F1299" i="4" a="1"/>
  <c r="F1299" i="4" s="1"/>
  <c r="E1302" i="4"/>
  <c r="F1311" i="4" a="1"/>
  <c r="F1311" i="4" s="1"/>
  <c r="E1314" i="4"/>
  <c r="E1317" i="4"/>
  <c r="E1320" i="4"/>
  <c r="F1334" i="4" a="1"/>
  <c r="F1334" i="4" s="1"/>
  <c r="F1336" i="4" a="1"/>
  <c r="F1336" i="4" s="1"/>
  <c r="E1339" i="4"/>
  <c r="F1339" i="4" a="1"/>
  <c r="F1339" i="4" s="1"/>
  <c r="E1342" i="4"/>
  <c r="F1356" i="4" a="1"/>
  <c r="F1356" i="4" s="1"/>
  <c r="E1359" i="4"/>
  <c r="F1369" i="4" a="1"/>
  <c r="F1369" i="4" s="1"/>
  <c r="E1393" i="4"/>
  <c r="E1395" i="4"/>
  <c r="E1389" i="4"/>
  <c r="F1408" i="4" a="1"/>
  <c r="F1408" i="4" s="1"/>
  <c r="F1410" i="4" a="1"/>
  <c r="F1410" i="4" s="1"/>
  <c r="F1411" i="4" a="1"/>
  <c r="F1411" i="4" s="1"/>
  <c r="F1413" i="4" a="1"/>
  <c r="F1413" i="4" s="1"/>
  <c r="E1424" i="4"/>
  <c r="E1426" i="4"/>
  <c r="F1428" i="4" a="1"/>
  <c r="F1428" i="4" s="1"/>
  <c r="F1439" i="4" a="1"/>
  <c r="F1439" i="4" s="1"/>
  <c r="F1441" i="4" a="1"/>
  <c r="F1441" i="4" s="1"/>
  <c r="E1457" i="4"/>
  <c r="E1459" i="4"/>
  <c r="E1453" i="4"/>
  <c r="F1477" i="4" a="1"/>
  <c r="F1477" i="4" s="1"/>
  <c r="E1488" i="4"/>
  <c r="E1490" i="4"/>
  <c r="E1285" i="4"/>
  <c r="F1286" i="4" a="1"/>
  <c r="F1286" i="4" s="1"/>
  <c r="F1288" i="4" a="1"/>
  <c r="F1288" i="4" s="1"/>
  <c r="F1293" i="4" a="1"/>
  <c r="F1293" i="4" s="1"/>
  <c r="E1296" i="4"/>
  <c r="F1313" i="4" a="1"/>
  <c r="F1313" i="4" s="1"/>
  <c r="F1319" i="4" a="1"/>
  <c r="F1319" i="4" s="1"/>
  <c r="E1322" i="4"/>
  <c r="E1325" i="4"/>
  <c r="E1328" i="4"/>
  <c r="F1342" i="4" a="1"/>
  <c r="F1342" i="4" s="1"/>
  <c r="F1344" i="4" a="1"/>
  <c r="F1344" i="4" s="1"/>
  <c r="E1347" i="4"/>
  <c r="F1347" i="4" a="1"/>
  <c r="F1347" i="4" s="1"/>
  <c r="E1350" i="4"/>
  <c r="F1364" i="4" a="1"/>
  <c r="F1364" i="4" s="1"/>
  <c r="E1384" i="4"/>
  <c r="E1386" i="4"/>
  <c r="F1388" i="4" a="1"/>
  <c r="F1388" i="4" s="1"/>
  <c r="F1399" i="4" a="1"/>
  <c r="F1399" i="4" s="1"/>
  <c r="F1401" i="4" a="1"/>
  <c r="F1401" i="4" s="1"/>
  <c r="E1406" i="4"/>
  <c r="E1417" i="4"/>
  <c r="E1419" i="4"/>
  <c r="E1413" i="4"/>
  <c r="E1428" i="4"/>
  <c r="F1432" i="4" a="1"/>
  <c r="F1432" i="4" s="1"/>
  <c r="F1434" i="4" a="1"/>
  <c r="F1434" i="4" s="1"/>
  <c r="F1435" i="4" a="1"/>
  <c r="F1435" i="4" s="1"/>
  <c r="F1437" i="4" a="1"/>
  <c r="F1437" i="4" s="1"/>
  <c r="E1448" i="4"/>
  <c r="E1450" i="4"/>
  <c r="F1463" i="4" a="1"/>
  <c r="F1463" i="4" s="1"/>
  <c r="F1465" i="4" a="1"/>
  <c r="F1465" i="4" s="1"/>
  <c r="E1470" i="4"/>
  <c r="E1481" i="4"/>
  <c r="E1483" i="4"/>
  <c r="E1477" i="4"/>
  <c r="F1487" i="4" a="1"/>
  <c r="F1487" i="4" s="1"/>
  <c r="F1489" i="4" a="1"/>
  <c r="F1489" i="4" s="1"/>
  <c r="E1295" i="4"/>
  <c r="E1303" i="4"/>
  <c r="E1311" i="4"/>
  <c r="E1319" i="4"/>
  <c r="E1327" i="4"/>
  <c r="E1383" i="4"/>
  <c r="E1391" i="4"/>
  <c r="E1399" i="4"/>
  <c r="E1407" i="4"/>
  <c r="E1415" i="4"/>
  <c r="E1423" i="4"/>
  <c r="E1431" i="4"/>
  <c r="E1439" i="4"/>
  <c r="E1447" i="4"/>
  <c r="E1455" i="4"/>
  <c r="E1463" i="4"/>
  <c r="E1471" i="4"/>
  <c r="E1479" i="4"/>
  <c r="E1487" i="4"/>
  <c r="F1506" i="4" a="1"/>
  <c r="F1506" i="4" s="1"/>
  <c r="F1510" i="4" a="1"/>
  <c r="F1510" i="4" s="1"/>
  <c r="F1382" i="4" a="1"/>
  <c r="F1382" i="4" s="1"/>
  <c r="F1390" i="4" a="1"/>
  <c r="F1390" i="4" s="1"/>
  <c r="F1398" i="4" a="1"/>
  <c r="F1398" i="4" s="1"/>
  <c r="F1406" i="4" a="1"/>
  <c r="F1406" i="4" s="1"/>
  <c r="F1414" i="4" a="1"/>
  <c r="F1414" i="4" s="1"/>
  <c r="F1422" i="4" a="1"/>
  <c r="F1422" i="4" s="1"/>
  <c r="F1430" i="4" a="1"/>
  <c r="F1430" i="4" s="1"/>
  <c r="F1438" i="4" a="1"/>
  <c r="F1438" i="4" s="1"/>
  <c r="F1446" i="4" a="1"/>
  <c r="F1446" i="4" s="1"/>
  <c r="F1454" i="4" a="1"/>
  <c r="F1454" i="4" s="1"/>
  <c r="F1462" i="4" a="1"/>
  <c r="F1462" i="4" s="1"/>
  <c r="F1468" i="4" a="1"/>
  <c r="F1468" i="4" s="1"/>
  <c r="F1476" i="4" a="1"/>
  <c r="F1476" i="4" s="1"/>
  <c r="F1484" i="4" a="1"/>
  <c r="F1484" i="4" s="1"/>
  <c r="F1492" i="4" a="1"/>
  <c r="F1492" i="4" s="1"/>
  <c r="J4" i="4" l="1"/>
  <c r="O7" i="4"/>
  <c r="G4" i="4"/>
  <c r="G508" i="4"/>
  <c r="N9" i="4" a="1"/>
  <c r="N9" i="4" s="1"/>
  <c r="E15" i="6"/>
  <c r="E22" i="6" s="1"/>
  <c r="I4" i="6"/>
  <c r="E14" i="6"/>
  <c r="E21" i="6" s="1"/>
  <c r="H11" i="6"/>
  <c r="F7" i="6"/>
  <c r="H7" i="6"/>
  <c r="E12" i="6"/>
  <c r="E19" i="6" s="1"/>
  <c r="H3" i="6"/>
  <c r="F3" i="6"/>
  <c r="I6" i="6"/>
  <c r="I3" i="6"/>
  <c r="H4" i="6"/>
  <c r="F4" i="6"/>
  <c r="H5" i="6"/>
  <c r="F5" i="6"/>
  <c r="E11" i="6"/>
  <c r="E18" i="6" s="1"/>
  <c r="H6" i="6"/>
  <c r="F6" i="6"/>
  <c r="E13" i="6"/>
  <c r="E20" i="6" s="1"/>
  <c r="I5" i="6"/>
  <c r="I7" i="6"/>
  <c r="J508" i="4"/>
  <c r="O10" i="4"/>
  <c r="G760" i="4"/>
  <c r="J1011" i="4"/>
  <c r="O12" i="4"/>
  <c r="G1011" i="4"/>
  <c r="O8" i="4"/>
  <c r="G1261" i="4"/>
  <c r="J255" i="4"/>
  <c r="J1261" i="4"/>
  <c r="G255" i="4"/>
  <c r="J760" i="4"/>
  <c r="O11" i="4"/>
  <c r="H18" i="6" l="1"/>
  <c r="F15" i="6"/>
  <c r="F22" i="6" s="1"/>
  <c r="I15" i="6"/>
  <c r="I22" i="6" s="1"/>
  <c r="H15" i="6"/>
  <c r="H22" i="6" s="1"/>
  <c r="H12" i="6"/>
  <c r="H19" i="6" s="1"/>
  <c r="F14" i="6"/>
  <c r="F21" i="6" s="1"/>
  <c r="I11" i="6"/>
  <c r="I18" i="6" s="1"/>
  <c r="F12" i="6"/>
  <c r="F19" i="6" s="1"/>
  <c r="I13" i="6"/>
  <c r="I20" i="6" s="1"/>
  <c r="I14" i="6"/>
  <c r="I21" i="6" s="1"/>
  <c r="I12" i="6"/>
  <c r="I19" i="6" s="1"/>
  <c r="H13" i="6"/>
  <c r="H20" i="6" s="1"/>
  <c r="H14" i="6"/>
  <c r="H21" i="6" s="1"/>
  <c r="G2" i="6"/>
  <c r="E2" i="6"/>
  <c r="F13" i="6"/>
  <c r="F20" i="6" s="1"/>
  <c r="F11" i="6"/>
  <c r="F18" i="6" s="1"/>
  <c r="E10" i="6"/>
  <c r="E17" i="6" l="1"/>
  <c r="H2" i="6"/>
  <c r="F2" i="6"/>
  <c r="I2" i="6"/>
  <c r="I10" i="6" l="1"/>
  <c r="I17" i="6" s="1"/>
  <c r="F10" i="6"/>
  <c r="F17" i="6" s="1"/>
  <c r="H10" i="6"/>
  <c r="H1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tc={9BF6F0D0-2D84-4482-ACE2-C86945E2926D}</author>
  </authors>
  <commentList>
    <comment ref="F1" authorId="0" shapeId="0" xr:uid="{9BF6F0D0-2D84-4482-ACE2-C86945E2926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https://fred.stlouisfed.org/series/TB3MS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tc={8FBB7DA1-F51E-46D8-A1F1-F8990DF280EA}</author>
  </authors>
  <commentList>
    <comment ref="F1" authorId="0" shapeId="0" xr:uid="{8FBB7DA1-F51E-46D8-A1F1-F8990DF280E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https://fred.stlouisfed.org/series/TB3MS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tc={D711253D-AAB7-496A-98AE-C65917E07C50}</author>
  </authors>
  <commentList>
    <comment ref="I1" authorId="0" shapeId="0" xr:uid="{D711253D-AAB7-496A-98AE-C65917E07C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Approx for all to simplify calculations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tc={0106EB94-F24C-4989-B4AA-27CC8F2D7950}</author>
  </authors>
  <commentList>
    <comment ref="D1" authorId="0" shapeId="0" xr:uid="{0106EB94-F24C-4989-B4AA-27CC8F2D795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https://fred.stlouisfed.org/series/TB3MS#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<sst xmlns="http://schemas.openxmlformats.org/spreadsheetml/2006/main" count="276" uniqueCount="137">
  <si>
    <t>Return MGGIX US</t>
  </si>
  <si>
    <t>Date</t>
  </si>
  <si>
    <t>Log-Return MGGIX US</t>
  </si>
  <si>
    <t>Rolling Vola</t>
  </si>
  <si>
    <t>Risk-free Rate*</t>
  </si>
  <si>
    <t>Treynor Ratio</t>
  </si>
  <si>
    <t>Sharpe Ratio</t>
  </si>
  <si>
    <t>Beta</t>
  </si>
  <si>
    <t>Yearly return</t>
  </si>
  <si>
    <t>Return ACWI (Benchmark)</t>
  </si>
  <si>
    <t xml:space="preserve"> MGGIX US</t>
  </si>
  <si>
    <t>ACWI</t>
  </si>
  <si>
    <t>Alpha</t>
  </si>
  <si>
    <t>Rolling α</t>
  </si>
  <si>
    <t>Rolling  β</t>
  </si>
  <si>
    <t>Tracking Error</t>
  </si>
  <si>
    <t>Risk-free Rate, Rf</t>
  </si>
  <si>
    <t>Yearly return  MGGIX US, Rp</t>
  </si>
  <si>
    <t>Yearly return ACWI, Rm</t>
  </si>
  <si>
    <t>Alpha calculated on average return</t>
  </si>
  <si>
    <t>check</t>
  </si>
  <si>
    <t>MSCI ACWI Index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</si>
  <si>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</si>
  <si>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</si>
  <si>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</si>
  <si>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</si>
  <si>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</si>
  <si>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</si>
  <si>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</si>
  <si>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</si>
  <si>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</si>
  <si>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</si>
  <si>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</si>
  <si>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</si>
  <si>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</si>
  <si>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</si>
  <si>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</si>
  <si>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</si>
  <si>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</si>
  <si>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</si>
  <si>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</si>
  <si>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</si>
  <si>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</si>
  <si>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</si>
  <si>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</si>
  <si>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</si>
  <si>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</si>
  <si>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</si>
  <si>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</si>
  <si>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</si>
  <si>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</si>
  <si>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</si>
  <si>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</si>
  <si>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</si>
  <si>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</si>
  <si>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</si>
  <si>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</si>
  <si>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</si>
  <si>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</si>
  <si>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</si>
  <si>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</si>
  <si>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</si>
  <si>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</si>
  <si>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</si>
  <si>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</si>
  <si>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</si>
  <si>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</si>
  <si>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</si>
  <si>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</si>
  <si>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</si>
  <si>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</si>
  <si>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</si>
  <si>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</si>
  <si>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</si>
  <si>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</si>
  <si>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</si>
  <si>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</si>
  <si>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</si>
  <si>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</si>
  <si>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</si>
  <si>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</si>
  <si>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</si>
  <si>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</si>
  <si>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</si>
  <si>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</si>
  <si>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</si>
  <si>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</si>
  <si>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</si>
  <si>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</si>
  <si>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</si>
  <si>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</si>
  <si>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</si>
  <si>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2021-05-31</t>
  </si>
  <si>
    <t>2024-03-29</t>
  </si>
  <si>
    <t>2024-12-31</t>
  </si>
  <si>
    <t>NAV</t>
  </si>
  <si>
    <t>TB3MS</t>
  </si>
  <si>
    <t>observation_date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</si>
  <si>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</si>
  <si>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</si>
  <si>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</si>
  <si>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</si>
  <si>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</si>
  <si>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</si>
  <si>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</si>
  <si>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</si>
  <si>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</si>
  <si>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</si>
  <si>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</si>
  <si>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</si>
  <si>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</si>
  <si>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</si>
  <si>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</si>
  <si>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</si>
  <si>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</si>
  <si>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</si>
  <si>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</si>
  <si>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</si>
  <si>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</si>
  <si>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</si>
  <si>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</si>
  <si>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MGGIX US</t>
  </si>
  <si>
    <t>Return MGGIX US, Rp</t>
  </si>
  <si>
    <t>Return ACWI, Rm</t>
  </si>
  <si>
    <t>Risk-free</t>
  </si>
  <si>
    <t>Fund Excess</t>
  </si>
  <si>
    <t>Benchmark Excess</t>
  </si>
  <si>
    <t>Fund Geo-Mittel (Up)</t>
  </si>
  <si>
    <t>Benchmark Geo-Mittel (Up)</t>
  </si>
  <si>
    <t>UC Ratio</t>
  </si>
  <si>
    <t>Fund Geo-Mittel (Down)</t>
  </si>
  <si>
    <t>Benchmark Geo-Mittel (Down)</t>
  </si>
  <si>
    <t>DC Ratio</t>
  </si>
  <si>
    <t>pre-covid</t>
  </si>
  <si>
    <t>during-covid</t>
  </si>
  <si>
    <t>post-covid</t>
  </si>
  <si>
    <t xml:space="preserve"> MGGIX US and ACWI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</si>
</sst>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yyyy\-mm\-dd;@"/>
    <numFmt numFmtId="166" formatCode="yyyy\-mm\-dd"/>
    <numFmt numFmtId="167" formatCode="0.0000000000"/>
  </numFmts>
  <fonts count="2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2" fillId="0" borderId="0"/>
  </cellStyleXfs>
  <cellXfs count="25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64" fontId="0" fillId="0" borderId="0" xfId="0" applyNumberFormat="1"/>
    <xf numFmtId="164" fontId="0" fillId="0" borderId="0" xfId="42" applyNumberFormat="1" applyFont="1"/>
    <xf numFmtId="164" fontId="0" fillId="33" borderId="0" xfId="0" applyNumberFormat="1" applyFill="1"/>
    <xf numFmtId="165" fontId="0" fillId="0" borderId="0" xfId="0" applyNumberFormat="1" applyAlignment="1">
      <alignment horizontal="left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9" fillId="0" borderId="0" xfId="0" applyFont="1"/>
    <xf numFmtId="0" fontId="0" fillId="34" borderId="0" xfId="0" applyFill="1"/>
    <xf numFmtId="0" fontId="19" fillId="0" borderId="0" xfId="0" applyFont="1" applyAlignment="1">
      <alignment horizontal="center" wrapText="1"/>
    </xf>
    <xf numFmtId="0" fontId="3" fillId="0" borderId="0" xfId="43"/>
    <xf numFmtId="0" fontId="22" fillId="0" borderId="10" xfId="43" applyFont="1" applyBorder="1" applyAlignment="1">
      <alignment horizontal="center" vertical="top"/>
    </xf>
    <xf numFmtId="0" fontId="2" fillId="0" borderId="0" xfId="44"/>
    <xf numFmtId="2" fontId="2" fillId="0" borderId="0" xfId="44" applyNumberFormat="1"/>
    <xf numFmtId="166" fontId="2" fillId="0" borderId="0" xfId="44" applyNumberFormat="1"/>
    <xf numFmtId="0" fontId="23" fillId="0" borderId="10" xfId="44" applyFont="1" applyBorder="1" applyAlignment="1">
      <alignment horizontal="center" vertical="top"/>
    </xf>
    <xf numFmtId="0" fontId="24" fillId="0" borderId="0" xfId="44" applyFont="1"/>
    <xf numFmtId="0" fontId="23" fillId="0" borderId="0" xfId="0" applyFont="1"/>
    <xf numFmtId="0" fontId="23" fillId="0" borderId="0" xfId="0" applyFont="1" applyAlignment="1">
      <alignment wrapText="1"/>
    </xf>
    <xf numFmtId="167" fontId="0" fillId="0" borderId="0" xfId="0" applyNumberFormat="1"/>
    <xf numFmtId="0" fontId="1" fillId="0" borderId="0" xfId="0" applyFont="1" applyAlignment="1">
      <alignment wrapText="1"/>
    </xf>
    <xf numFmtId="0" fontId="19" fillId="0" borderId="0" xfId="0" applyFont="1" applyAlignment="1">
      <alignment horizontal="center"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Standard 2" xfId="43" xr:uid="{6FC07B75-1B0F-4B65-BD36-D516FBC0556F}"/>
    <cellStyle name="Standard 3" xfId="44" xr:uid="{5CE7F056-6813-4AB6-910F-9061BBDD28A3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3</xdr:row>
      <xdr:rowOff>104775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9CF6979D-742D-48AF-A9C4-0EE662A55BC2}"/>
            </a:ext>
          </a:extLst>
        </xdr:cNvPr>
        <xdr:cNvSpPr>
          <a:spLocks noChangeAspect="1" noChangeArrowheads="1"/>
        </xdr:cNvSpPr>
      </xdr:nvSpPr>
      <xdr:spPr bwMode="auto">
        <a:xfrm>
          <a:off x="9791700" y="1059180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163831</xdr:colOff>
      <xdr:row>9</xdr:row>
      <xdr:rowOff>87630</xdr:rowOff>
    </xdr:from>
    <xdr:to>
      <xdr:col>23</xdr:col>
      <xdr:colOff>14597</xdr:colOff>
      <xdr:row>34</xdr:row>
      <xdr:rowOff>1905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F4E8E47-9D25-46FE-8142-DB98750BD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39851" y="2541270"/>
          <a:ext cx="5718166" cy="4867275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381001</xdr:colOff>
      <xdr:row>0</xdr:row>
      <xdr:rowOff>731520</xdr:rowOff>
    </xdr:from>
    <xdr:to>
      <xdr:col>30</xdr:col>
      <xdr:colOff>56457</xdr:colOff>
      <xdr:row>31</xdr:row>
      <xdr:rowOff>190500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4AD8BF2-8B2B-4B49-AB56-216EC999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24421" y="731520"/>
          <a:ext cx="5542856" cy="6271260"/>
        </a:xfrm>
        <a:prstGeom prst="rect">
          <a:avLst/>
        </a:prstGeom>
      </xdr:spPr>
    </xdr:pic>
    <xdr:clientData/>
  </xdr:twoCellAnchor>
  <xdr:twoCellAnchor editAs="oneCell">
    <xdr:from>
      <xdr:col>7</xdr:col>
      <xdr:colOff>739140</xdr:colOff>
      <xdr:row>21</xdr:row>
      <xdr:rowOff>15241</xdr:rowOff>
    </xdr:from>
    <xdr:to>
      <xdr:col>14</xdr:col>
      <xdr:colOff>778614</xdr:colOff>
      <xdr:row>46</xdr:row>
      <xdr:rowOff>194311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675422A-D772-4DA1-869D-FDFF9470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17080" y="4838701"/>
          <a:ext cx="6013554" cy="5132070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</xdr:colOff>
      <xdr:row>26</xdr:row>
      <xdr:rowOff>19051</xdr:rowOff>
    </xdr:from>
    <xdr:to>
      <xdr:col>17</xdr:col>
      <xdr:colOff>390525</xdr:colOff>
      <xdr:row>29</xdr:row>
      <xdr:rowOff>129866</xdr:rowOff>
    </xdr:to>
    <xdr:pic>
      <xdr:nvPicPr>
        <xdr:cNvPr id="6" name="Grafik 5" descr="Ein Bild, das Schrift, Text, weiß, Diagramm enthält.&#10;&#10;KI-generierte Inhalte können fehlerhaft sein.">
          <a:extLst>
            <a:ext uri="{FF2B5EF4-FFF2-40B4-BE49-F238E27FC236}">
              <a16:creationId xmlns:a16="http://schemas.microsoft.com/office/drawing/2014/main" id="{00BD40F5-57E3-47D6-A7DC-A2051A247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214985" y="5833111"/>
          <a:ext cx="2087880" cy="705175"/>
        </a:xfrm>
        <a:prstGeom prst="rect">
          <a:avLst/>
        </a:prstGeom>
      </xdr:spPr>
    </xdr:pic>
    <xdr:clientData/>
  </xdr:twoCellAnchor>
  <xdr:twoCellAnchor editAs="oneCell">
    <xdr:from>
      <xdr:col>14</xdr:col>
      <xdr:colOff>819150</xdr:colOff>
      <xdr:row>30</xdr:row>
      <xdr:rowOff>38100</xdr:rowOff>
    </xdr:from>
    <xdr:to>
      <xdr:col>20</xdr:col>
      <xdr:colOff>123825</xdr:colOff>
      <xdr:row>35</xdr:row>
      <xdr:rowOff>125750</xdr:rowOff>
    </xdr:to>
    <xdr:pic>
      <xdr:nvPicPr>
        <xdr:cNvPr id="7" name="Grafik 6" descr="Ein Bild, das Text, Quittung, Screenshot, Schrift enthält.&#10;&#10;KI-generierte Inhalte können fehlerhaft sein.">
          <a:extLst>
            <a:ext uri="{FF2B5EF4-FFF2-40B4-BE49-F238E27FC236}">
              <a16:creationId xmlns:a16="http://schemas.microsoft.com/office/drawing/2014/main" id="{B1ABEBF1-94B7-43C1-9379-D644B00A4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71170" y="6644640"/>
          <a:ext cx="4425315" cy="1078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403860</xdr:colOff>
      <xdr:row>1</xdr:row>
      <xdr:rowOff>0</xdr:rowOff>
    </xdr:from>
    <xdr:to>
      <xdr:col>29</xdr:col>
      <xdr:colOff>209841</xdr:colOff>
      <xdr:row>52</xdr:row>
      <xdr:rowOff>117633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F34DE70-593B-4E8E-886D-75FE2AE4C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8350" y="403860"/>
          <a:ext cx="15716541" cy="1022175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lina Khegay" id="{B676E24B-0F28-44F1-9E88-416EE915B1A4}" userId="S::g.khegay@hm.edu::380e464f-d0ab-4c27-bc53-0f64b3b6ca9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1-02T16:08:19.87" personId="{B676E24B-0F28-44F1-9E88-416EE915B1A4}" id="{9BF6F0D0-2D84-4482-ACE2-C86945E2926D}">
    <text>https://fred.stlouisfed.org/series/TB3MS</text>
    <extLst>
      <x:ext xmlns:xltc2="http://schemas.microsoft.com/office/spreadsheetml/2020/threadedcomments2" uri="{F7C98A9C-CBB3-438F-8F68-D28B6AF4A901}">
        <xltc2:checksum>691612873</xltc2:checksum>
        <xltc2:hyperlink startIndex="0" length="40" url="https://fred.stlouisfed.org/series/TB3MS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6-01-02T16:08:19.87" personId="{B676E24B-0F28-44F1-9E88-416EE915B1A4}" id="{8FBB7DA1-F51E-46D8-A1F1-F8990DF280EA}">
    <text>https://fred.stlouisfed.org/series/TB3MS</text>
    <extLst>
      <x:ext xmlns:xltc2="http://schemas.microsoft.com/office/spreadsheetml/2020/threadedcomments2" uri="{F7C98A9C-CBB3-438F-8F68-D28B6AF4A901}">
        <xltc2:checksum>691612873</xltc2:checksum>
        <xltc2:hyperlink startIndex="0" length="40" url="https://fred.stlouisfed.org/series/TB3MS"/>
      </x:ext>
    </extLs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" dT="2025-11-08T18:18:53.05" personId="{B676E24B-0F28-44F1-9E88-416EE915B1A4}" id="{D711253D-AAB7-496A-98AE-C65917E07C50}">
    <text xml:space="preserve">Approx for all to simplify calculations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5-11-29T13:15:14.26" personId="{B676E24B-0F28-44F1-9E88-416EE915B1A4}" id="{0106EB94-F24C-4989-B4AA-27CC8F2D7950}">
    <text>https://fred.stlouisfed.org/series/TB3MS#</text>
    <extLst>
      <x:ext xmlns:xltc2="http://schemas.microsoft.com/office/spreadsheetml/2020/threadedcomments2" uri="{F7C98A9C-CBB3-438F-8F68-D28B6AF4A901}">
        <xltc2:checksum>751647943</xltc2:checksum>
        <xltc2:hyperlink startIndex="0" length="41" url="https://fred.stlouisfed.org/series/TB3MS#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7C3B-3D41-4D98-B209-097AC80A1F48}">
  <dimension ref="A1:N85"/>
  <sheetViews>
    <sheetView topLeftCell="A72" workbookViewId="0">
      <selection activeCell="J26" sqref="J26"/>
    </sheetView>
  </sheetViews>
  <sheetFormatPr baseColWidth="10" defaultRowHeight="16" x14ac:dyDescent="0.2"/>
  <cols>
    <col min="4" max="5" width="11.83203125" bestFit="1" customWidth="1"/>
    <col min="9" max="10" width="11.83203125" bestFit="1" customWidth="1"/>
  </cols>
  <sheetData>
    <row r="1" spans="1:14" ht="32" x14ac:dyDescent="0.2">
      <c r="A1" s="20" t="s">
        <v>1</v>
      </c>
      <c r="B1" s="20" t="s">
        <v>121</v>
      </c>
      <c r="C1" s="20" t="s">
        <v>11</v>
      </c>
      <c r="D1" s="21" t="s">
        <v>122</v>
      </c>
      <c r="E1" s="21" t="s">
        <v>123</v>
      </c>
      <c r="F1" s="21" t="s">
        <v>124</v>
      </c>
      <c r="G1" s="21" t="s">
        <v>125</v>
      </c>
      <c r="H1" s="21" t="s">
        <v>126</v>
      </c>
      <c r="I1" s="21" t="s">
        <v>12</v>
      </c>
      <c r="J1" s="21" t="s">
        <v>7</v>
      </c>
      <c r="K1" s="21"/>
      <c r="L1" s="21"/>
      <c r="M1" s="21"/>
      <c r="N1" s="21"/>
    </row>
    <row r="2" spans="1:14" x14ac:dyDescent="0.2">
      <c r="A2" t="s">
        <v>110</v>
      </c>
      <c r="B2">
        <f>'MGGIX US_monthly'!B14</f>
        <v>24.86</v>
      </c>
      <c r="C2">
        <f>'MSCI ACWI Index_monthly'!B14</f>
        <v>260.06649800000002</v>
      </c>
      <c r="E2" s="23"/>
      <c r="F2">
        <f>(1+'Risk-free rate'!B14/100)^(1/12)-1</f>
        <v>1.1674742711142994E-3</v>
      </c>
      <c r="G2" s="23"/>
      <c r="H2" s="23"/>
      <c r="I2" s="23"/>
      <c r="J2" s="23"/>
      <c r="K2" s="21"/>
      <c r="L2" s="21"/>
      <c r="M2" s="21"/>
      <c r="N2" s="21"/>
    </row>
    <row r="3" spans="1:14" x14ac:dyDescent="0.2">
      <c r="A3" t="s">
        <v>111</v>
      </c>
      <c r="B3">
        <f>'MGGIX US_monthly'!B15</f>
        <v>24.37</v>
      </c>
      <c r="C3">
        <f>'MSCI ACWI Index_monthly'!B15</f>
        <v>249.14415500000001</v>
      </c>
      <c r="D3">
        <f>('MGGIX US_monthly'!B15-'MGGIX US_monthly'!B14)/'MGGIX US_monthly'!B14</f>
        <v>-1.97103781174577E-2</v>
      </c>
      <c r="E3">
        <f>('MSCI ACWI Index_monthly'!B15-'MSCI ACWI Index_monthly'!B14)/'MSCI ACWI Index_monthly'!B14</f>
        <v>-4.1998269996314598E-2</v>
      </c>
      <c r="F3">
        <f>(1+'Risk-free rate'!B15/100)^(1/12)-1</f>
        <v>1.2990121499387719E-3</v>
      </c>
      <c r="G3">
        <f t="shared" ref="G3:H14" si="0">D3-$F3</f>
        <v>-2.1009390267396472E-2</v>
      </c>
      <c r="H3">
        <f t="shared" si="0"/>
        <v>-4.329728214625337E-2</v>
      </c>
      <c r="I3" s="21"/>
      <c r="J3" s="21"/>
      <c r="K3" s="21"/>
      <c r="L3" s="21"/>
      <c r="M3" s="21"/>
      <c r="N3" s="21"/>
    </row>
    <row r="4" spans="1:14" x14ac:dyDescent="0.2">
      <c r="A4" t="s">
        <v>112</v>
      </c>
      <c r="B4">
        <f>'MGGIX US_monthly'!B16</f>
        <v>24.22</v>
      </c>
      <c r="C4">
        <f>'MSCI ACWI Index_monthly'!B16</f>
        <v>243.81079</v>
      </c>
      <c r="D4">
        <f>('MGGIX US_monthly'!B16-'MGGIX US_monthly'!B15)/'MGGIX US_monthly'!B15</f>
        <v>-6.1551087402544986E-3</v>
      </c>
      <c r="E4">
        <f>('MSCI ACWI Index_monthly'!B16-'MSCI ACWI Index_monthly'!B15)/'MSCI ACWI Index_monthly'!B15</f>
        <v>-2.1406743417279907E-2</v>
      </c>
      <c r="F4">
        <f>(1+'Risk-free rate'!B16/100)^(1/12)-1</f>
        <v>1.4057468926966799E-3</v>
      </c>
      <c r="G4">
        <f t="shared" si="0"/>
        <v>-7.5608556329511785E-3</v>
      </c>
      <c r="H4">
        <f t="shared" si="0"/>
        <v>-2.2812490309976587E-2</v>
      </c>
      <c r="I4" s="21"/>
      <c r="J4" s="21"/>
      <c r="K4" s="21"/>
      <c r="L4" s="21"/>
      <c r="M4" s="21"/>
      <c r="N4" s="21"/>
    </row>
    <row r="5" spans="1:14" x14ac:dyDescent="0.2">
      <c r="A5" t="s">
        <v>113</v>
      </c>
      <c r="B5">
        <f>'MGGIX US_monthly'!B17</f>
        <v>24.62</v>
      </c>
      <c r="C5">
        <f>'MSCI ACWI Index_monthly'!B17</f>
        <v>246.13907699999999</v>
      </c>
      <c r="D5">
        <f>('MGGIX US_monthly'!B17-'MGGIX US_monthly'!B16)/'MGGIX US_monthly'!B16</f>
        <v>1.6515276630883657E-2</v>
      </c>
      <c r="E5">
        <f>('MSCI ACWI Index_monthly'!B17-'MSCI ACWI Index_monthly'!B16)/'MSCI ACWI Index_monthly'!B16</f>
        <v>9.5495650541142542E-3</v>
      </c>
      <c r="F5">
        <f>(1+'Risk-free rate'!B17/100)^(1/12)-1</f>
        <v>1.4549669057570824E-3</v>
      </c>
      <c r="G5">
        <f t="shared" si="0"/>
        <v>1.5060309725126574E-2</v>
      </c>
      <c r="H5">
        <f t="shared" si="0"/>
        <v>8.0945981483571718E-3</v>
      </c>
      <c r="I5" s="21"/>
      <c r="J5" s="21"/>
      <c r="K5" s="21"/>
      <c r="L5" s="21"/>
      <c r="M5" s="21"/>
      <c r="N5" s="21"/>
    </row>
    <row r="6" spans="1:14" x14ac:dyDescent="0.2">
      <c r="A6" t="s">
        <v>114</v>
      </c>
      <c r="B6">
        <f>'MGGIX US_monthly'!B18</f>
        <v>26.11</v>
      </c>
      <c r="C6">
        <f>'MSCI ACWI Index_monthly'!B18</f>
        <v>246.44637800000001</v>
      </c>
      <c r="D6">
        <f>('MGGIX US_monthly'!B18-'MGGIX US_monthly'!B17)/'MGGIX US_monthly'!B17</f>
        <v>6.0519902518277754E-2</v>
      </c>
      <c r="E6">
        <f>('MSCI ACWI Index_monthly'!B18-'MSCI ACWI Index_monthly'!B17)/'MSCI ACWI Index_monthly'!B17</f>
        <v>1.2484852212232185E-3</v>
      </c>
      <c r="F6">
        <f>(1+'Risk-free rate'!B18/100)^(1/12)-1</f>
        <v>1.5369411743291206E-3</v>
      </c>
      <c r="G6">
        <f t="shared" si="0"/>
        <v>5.8982961343948634E-2</v>
      </c>
      <c r="H6">
        <f t="shared" si="0"/>
        <v>-2.8845595310590211E-4</v>
      </c>
      <c r="I6" s="21"/>
      <c r="J6" s="21"/>
      <c r="K6" s="21"/>
      <c r="L6" s="21"/>
      <c r="M6" s="21"/>
      <c r="N6" s="21"/>
    </row>
    <row r="7" spans="1:14" x14ac:dyDescent="0.2">
      <c r="A7" t="s">
        <v>115</v>
      </c>
      <c r="B7">
        <f>'MGGIX US_monthly'!B19</f>
        <v>25.82</v>
      </c>
      <c r="C7">
        <f>'MSCI ACWI Index_monthly'!B19</f>
        <v>245.111774</v>
      </c>
      <c r="D7">
        <f>('MGGIX US_monthly'!B19-'MGGIX US_monthly'!B18)/'MGGIX US_monthly'!B18</f>
        <v>-1.1106855610877027E-2</v>
      </c>
      <c r="E7">
        <f>('MSCI ACWI Index_monthly'!B19-'MSCI ACWI Index_monthly'!B18)/'MSCI ACWI Index_monthly'!B18</f>
        <v>-5.4153930393735098E-3</v>
      </c>
      <c r="F7">
        <f>(1+'Risk-free rate'!B19/100)^(1/12)-1</f>
        <v>1.5697102274137009E-3</v>
      </c>
      <c r="G7">
        <f t="shared" si="0"/>
        <v>-1.2676565838290728E-2</v>
      </c>
      <c r="H7">
        <f t="shared" si="0"/>
        <v>-6.9851032667872107E-3</v>
      </c>
      <c r="I7" s="21"/>
      <c r="J7" s="21"/>
      <c r="K7" s="21"/>
      <c r="L7" s="21"/>
      <c r="M7" s="21"/>
      <c r="N7" s="21"/>
    </row>
    <row r="8" spans="1:14" x14ac:dyDescent="0.2">
      <c r="A8" t="s">
        <v>116</v>
      </c>
      <c r="B8">
        <f>'MGGIX US_monthly'!B20</f>
        <v>25.35</v>
      </c>
      <c r="C8">
        <f>'MSCI ACWI Index_monthly'!B20</f>
        <v>252.503546</v>
      </c>
      <c r="D8">
        <f>('MGGIX US_monthly'!B20-'MGGIX US_monthly'!B19)/'MGGIX US_monthly'!B19</f>
        <v>-1.8202943454686246E-2</v>
      </c>
      <c r="E8">
        <f>('MSCI ACWI Index_monthly'!B20-'MSCI ACWI Index_monthly'!B19)/'MSCI ACWI Index_monthly'!B19</f>
        <v>3.0156739839025452E-2</v>
      </c>
      <c r="F8">
        <f>(1+'Risk-free rate'!B20/100)^(1/12)-1</f>
        <v>1.6188417051281601E-3</v>
      </c>
      <c r="G8">
        <f t="shared" si="0"/>
        <v>-1.9821785159814406E-2</v>
      </c>
      <c r="H8">
        <f t="shared" si="0"/>
        <v>2.8537898133897292E-2</v>
      </c>
      <c r="I8" s="21"/>
      <c r="J8" s="21"/>
      <c r="K8" s="21"/>
      <c r="L8" s="21"/>
      <c r="M8" s="21"/>
      <c r="N8" s="21"/>
    </row>
    <row r="9" spans="1:14" x14ac:dyDescent="0.2">
      <c r="A9" t="s">
        <v>117</v>
      </c>
      <c r="B9">
        <f>'MGGIX US_monthly'!B21</f>
        <v>25.72</v>
      </c>
      <c r="C9">
        <f>'MSCI ACWI Index_monthly'!B21</f>
        <v>254.48731100000001</v>
      </c>
      <c r="D9">
        <f>('MGGIX US_monthly'!B21-'MGGIX US_monthly'!B20)/'MGGIX US_monthly'!B20</f>
        <v>1.4595660749506802E-2</v>
      </c>
      <c r="E9">
        <f>('MSCI ACWI Index_monthly'!B21-'MSCI ACWI Index_monthly'!B20)/'MSCI ACWI Index_monthly'!B20</f>
        <v>7.8563847178605775E-3</v>
      </c>
      <c r="F9">
        <f>(1+'Risk-free rate'!B21/100)^(1/12)-1</f>
        <v>1.6761282769228725E-3</v>
      </c>
      <c r="G9">
        <f t="shared" si="0"/>
        <v>1.291953247258393E-2</v>
      </c>
      <c r="H9">
        <f t="shared" si="0"/>
        <v>6.180256440937705E-3</v>
      </c>
      <c r="I9" s="21"/>
      <c r="J9" s="21"/>
      <c r="K9" s="21"/>
      <c r="L9" s="21"/>
      <c r="M9" s="21"/>
      <c r="N9" s="21"/>
    </row>
    <row r="10" spans="1:14" x14ac:dyDescent="0.2">
      <c r="A10" t="s">
        <v>118</v>
      </c>
      <c r="B10">
        <f>'MGGIX US_monthly'!B22</f>
        <v>25.39</v>
      </c>
      <c r="C10">
        <f>'MSCI ACWI Index_monthly'!B22</f>
        <v>255.59489199999999</v>
      </c>
      <c r="D10">
        <f>('MGGIX US_monthly'!B22-'MGGIX US_monthly'!B21)/'MGGIX US_monthly'!B21</f>
        <v>-1.2830482115085471E-2</v>
      </c>
      <c r="E10">
        <f>('MSCI ACWI Index_monthly'!B22-'MSCI ACWI Index_monthly'!B21)/'MSCI ACWI Index_monthly'!B21</f>
        <v>4.3522052068049157E-3</v>
      </c>
      <c r="F10">
        <f>(1+'Risk-free rate'!B22/100)^(1/12)-1</f>
        <v>1.7579037712718293E-3</v>
      </c>
      <c r="G10">
        <f t="shared" si="0"/>
        <v>-1.4588385886357301E-2</v>
      </c>
      <c r="H10">
        <f t="shared" si="0"/>
        <v>2.5943014355330864E-3</v>
      </c>
      <c r="I10" s="21"/>
      <c r="J10" s="21"/>
      <c r="K10" s="21"/>
      <c r="L10" s="21"/>
      <c r="M10" s="21"/>
      <c r="N10" s="21"/>
    </row>
    <row r="11" spans="1:14" x14ac:dyDescent="0.2">
      <c r="A11" t="s">
        <v>119</v>
      </c>
      <c r="B11">
        <f>'MGGIX US_monthly'!B23</f>
        <v>22.58</v>
      </c>
      <c r="C11">
        <f>'MSCI ACWI Index_monthly'!B23</f>
        <v>236.44088300000001</v>
      </c>
      <c r="D11">
        <f>('MGGIX US_monthly'!B23-'MGGIX US_monthly'!B22)/'MGGIX US_monthly'!B22</f>
        <v>-0.11067349350137859</v>
      </c>
      <c r="E11">
        <f>('MSCI ACWI Index_monthly'!B23-'MSCI ACWI Index_monthly'!B22)/'MSCI ACWI Index_monthly'!B22</f>
        <v>-7.4938935008137697E-2</v>
      </c>
      <c r="F11">
        <f>(1+'Risk-free rate'!B23/100)^(1/12)-1</f>
        <v>1.855937535336194E-3</v>
      </c>
      <c r="G11">
        <f t="shared" si="0"/>
        <v>-0.11252943103671478</v>
      </c>
      <c r="H11">
        <f t="shared" si="0"/>
        <v>-7.6794872543473891E-2</v>
      </c>
      <c r="I11" s="21"/>
      <c r="J11" s="21"/>
      <c r="K11" s="21"/>
      <c r="L11" s="21"/>
      <c r="M11" s="21"/>
      <c r="N11" s="21"/>
    </row>
    <row r="12" spans="1:14" x14ac:dyDescent="0.2">
      <c r="A12" t="s">
        <v>120</v>
      </c>
      <c r="B12">
        <f>'MGGIX US_monthly'!B24</f>
        <v>22.94</v>
      </c>
      <c r="C12">
        <f>'MSCI ACWI Index_monthly'!B24</f>
        <v>239.89893000000001</v>
      </c>
      <c r="D12">
        <f>('MGGIX US_monthly'!B24-'MGGIX US_monthly'!B23)/'MGGIX US_monthly'!B23</f>
        <v>1.5943312666076306E-2</v>
      </c>
      <c r="E12">
        <f>('MSCI ACWI Index_monthly'!B24-'MSCI ACWI Index_monthly'!B23)/'MSCI ACWI Index_monthly'!B23</f>
        <v>1.4625419073570256E-2</v>
      </c>
      <c r="F12">
        <f>(1+'Risk-free rate'!B24/100)^(1/12)-1</f>
        <v>1.921234803683225E-3</v>
      </c>
      <c r="G12">
        <f t="shared" si="0"/>
        <v>1.4022077862393081E-2</v>
      </c>
      <c r="H12">
        <f t="shared" si="0"/>
        <v>1.2704184269887031E-2</v>
      </c>
      <c r="I12" s="21"/>
      <c r="J12" s="21"/>
      <c r="K12" s="21"/>
      <c r="L12" s="21"/>
      <c r="M12" s="21"/>
      <c r="N12" s="21"/>
    </row>
    <row r="13" spans="1:14" x14ac:dyDescent="0.2">
      <c r="A13" t="s">
        <v>22</v>
      </c>
      <c r="B13">
        <f>'MGGIX US_monthly'!B25</f>
        <v>21.5</v>
      </c>
      <c r="C13">
        <f>'MSCI ACWI Index_monthly'!B25</f>
        <v>223.00177600000001</v>
      </c>
      <c r="D13">
        <f>('MGGIX US_monthly'!B25-'MGGIX US_monthly'!B24)/'MGGIX US_monthly'!B24</f>
        <v>-6.2772449869224117E-2</v>
      </c>
      <c r="E13">
        <f>('MSCI ACWI Index_monthly'!B25-'MSCI ACWI Index_monthly'!B24)/'MSCI ACWI Index_monthly'!B24</f>
        <v>-7.0434470049532946E-2</v>
      </c>
      <c r="F13">
        <f>(1+'Risk-free rate'!B25/100)^(1/12)-1</f>
        <v>1.9538658918776264E-3</v>
      </c>
      <c r="G13">
        <f t="shared" si="0"/>
        <v>-6.4726315761101744E-2</v>
      </c>
      <c r="H13">
        <f t="shared" si="0"/>
        <v>-7.2388335941410573E-2</v>
      </c>
      <c r="I13" s="21"/>
      <c r="J13" s="21"/>
      <c r="K13" s="21"/>
      <c r="L13" s="21"/>
      <c r="M13" s="21"/>
      <c r="N13" s="21"/>
    </row>
    <row r="14" spans="1:14" x14ac:dyDescent="0.2">
      <c r="A14" t="str">
        <f>'MGGIX US_monthly'!A26</f>
        <v>2019-01-31</v>
      </c>
      <c r="B14">
        <f>'MGGIX US_monthly'!B26</f>
        <v>23.7600002288818</v>
      </c>
      <c r="C14">
        <f>'MSCI ACWI Index_monthly'!B26</f>
        <v>240.60990200000001</v>
      </c>
      <c r="D14">
        <f>('MGGIX US_monthly'!B26-'MGGIX US_monthly'!B25)/'MGGIX US_monthly'!B25</f>
        <v>0.10511628971543258</v>
      </c>
      <c r="E14">
        <f>('MSCI ACWI Index_monthly'!B26-'MSCI ACWI Index_monthly'!B25)/'MSCI ACWI Index_monthly'!B25</f>
        <v>7.8959577434038003E-2</v>
      </c>
      <c r="F14">
        <f>(1+'Risk-free rate'!B26/100)^(1/12)-1</f>
        <v>1.9538658918776264E-3</v>
      </c>
      <c r="G14">
        <f t="shared" si="0"/>
        <v>0.10316242382355495</v>
      </c>
      <c r="H14">
        <f t="shared" si="0"/>
        <v>7.7005711542160377E-2</v>
      </c>
      <c r="I14">
        <f>((1+INDEX(LINEST(G3:G14,H3:H14,TRUE,TRUE),1,2))^12)-1</f>
        <v>4.7968506986172388E-2</v>
      </c>
      <c r="J14">
        <f>INDEX(LINEST(G3:G14, H3:H14, TRUE, TRUE), 1, 1)</f>
        <v>1.094465360851774</v>
      </c>
    </row>
    <row r="15" spans="1:14" x14ac:dyDescent="0.2">
      <c r="A15" t="str">
        <f>'MGGIX US_monthly'!A27</f>
        <v>2019-02-28</v>
      </c>
      <c r="B15">
        <f>'MGGIX US_monthly'!B27</f>
        <v>24.4799995422363</v>
      </c>
      <c r="C15">
        <f>'MSCI ACWI Index_monthly'!B27</f>
        <v>247.04553100000001</v>
      </c>
      <c r="D15">
        <f>('MGGIX US_monthly'!B27-'MGGIX US_monthly'!B26)/'MGGIX US_monthly'!B26</f>
        <v>3.030300111189789E-2</v>
      </c>
      <c r="E15">
        <f>('MSCI ACWI Index_monthly'!B27-'MSCI ACWI Index_monthly'!B26)/'MSCI ACWI Index_monthly'!B26</f>
        <v>2.6747149416984532E-2</v>
      </c>
      <c r="F15">
        <f>(1+'Risk-free rate'!B27/100)^(1/12)-1</f>
        <v>1.970177053312705E-3</v>
      </c>
      <c r="G15">
        <f t="shared" ref="G15:G55" si="1">D15-$F15</f>
        <v>2.8332824058585185E-2</v>
      </c>
      <c r="H15">
        <f t="shared" ref="H15:H55" si="2">E15-$F15</f>
        <v>2.4776972363671827E-2</v>
      </c>
      <c r="I15">
        <f t="shared" ref="I15:I25" si="3">((1+INDEX(LINEST(G4:G15,H4:H15,TRUE,TRUE),1,2))^12)-1</f>
        <v>2.2887454551320019E-2</v>
      </c>
      <c r="J15">
        <f t="shared" ref="J15:J25" si="4">INDEX(LINEST(G4:G15, H4:H15, TRUE, TRUE), 1, 1)</f>
        <v>1.1392848529127504</v>
      </c>
    </row>
    <row r="16" spans="1:14" x14ac:dyDescent="0.2">
      <c r="A16" t="str">
        <f>'MGGIX US_monthly'!A28</f>
        <v>2019-03-29</v>
      </c>
      <c r="B16">
        <f>'MGGIX US_monthly'!B28</f>
        <v>25.4699993133544</v>
      </c>
      <c r="C16">
        <f>'MSCI ACWI Index_monthly'!B28</f>
        <v>250.152376</v>
      </c>
      <c r="D16">
        <f>('MGGIX US_monthly'!B28-'MGGIX US_monthly'!B27)/'MGGIX US_monthly'!B27</f>
        <v>4.044116787706694E-2</v>
      </c>
      <c r="E16">
        <f>('MSCI ACWI Index_monthly'!B28-'MSCI ACWI Index_monthly'!B27)/'MSCI ACWI Index_monthly'!B27</f>
        <v>1.2576001627813266E-2</v>
      </c>
      <c r="F16">
        <f>(1+'Risk-free rate'!B28/100)^(1/12)-1</f>
        <v>1.9783315388433032E-3</v>
      </c>
      <c r="G16">
        <f t="shared" si="1"/>
        <v>3.8462836338223637E-2</v>
      </c>
      <c r="H16">
        <f t="shared" si="2"/>
        <v>1.0597670088969963E-2</v>
      </c>
      <c r="I16">
        <f t="shared" si="3"/>
        <v>3.0565006179186671E-2</v>
      </c>
      <c r="J16">
        <f t="shared" si="4"/>
        <v>1.1724749436948201</v>
      </c>
    </row>
    <row r="17" spans="1:10" x14ac:dyDescent="0.2">
      <c r="A17" t="str">
        <f>'MGGIX US_monthly'!A29</f>
        <v>2019-04-30</v>
      </c>
      <c r="B17">
        <f>'MGGIX US_monthly'!B29</f>
        <v>26.75</v>
      </c>
      <c r="C17">
        <f>'MSCI ACWI Index_monthly'!B29</f>
        <v>258.598928</v>
      </c>
      <c r="D17">
        <f>('MGGIX US_monthly'!B29-'MGGIX US_monthly'!B28)/'MGGIX US_monthly'!B28</f>
        <v>5.0255230512490499E-2</v>
      </c>
      <c r="E17">
        <f>('MSCI ACWI Index_monthly'!B29-'MSCI ACWI Index_monthly'!B28)/'MSCI ACWI Index_monthly'!B28</f>
        <v>3.376562771484528E-2</v>
      </c>
      <c r="F17">
        <f>(1+'Risk-free rate'!B29/100)^(1/12)-1</f>
        <v>1.9620218377029985E-3</v>
      </c>
      <c r="G17">
        <f t="shared" si="1"/>
        <v>4.8293208674787501E-2</v>
      </c>
      <c r="H17">
        <f t="shared" si="2"/>
        <v>3.1803605877142281E-2</v>
      </c>
      <c r="I17">
        <f t="shared" si="3"/>
        <v>3.5715270118427345E-2</v>
      </c>
      <c r="J17">
        <f t="shared" si="4"/>
        <v>1.1840278669924975</v>
      </c>
    </row>
    <row r="18" spans="1:10" x14ac:dyDescent="0.2">
      <c r="A18" t="str">
        <f>'MGGIX US_monthly'!A30</f>
        <v>2019-05-31</v>
      </c>
      <c r="B18">
        <f>'MGGIX US_monthly'!B30</f>
        <v>25.5100002288818</v>
      </c>
      <c r="C18">
        <f>'MSCI ACWI Index_monthly'!B30</f>
        <v>243.25909100000001</v>
      </c>
      <c r="D18">
        <f>('MGGIX US_monthly'!B30-'MGGIX US_monthly'!B29)/'MGGIX US_monthly'!B29</f>
        <v>-4.6355131630586903E-2</v>
      </c>
      <c r="E18">
        <f>('MSCI ACWI Index_monthly'!B30-'MSCI ACWI Index_monthly'!B29)/'MSCI ACWI Index_monthly'!B29</f>
        <v>-5.9319027803549085E-2</v>
      </c>
      <c r="F18">
        <f>(1+'Risk-free rate'!B30/100)^(1/12)-1</f>
        <v>1.937551809032545E-3</v>
      </c>
      <c r="G18">
        <f t="shared" si="1"/>
        <v>-4.8292683439619448E-2</v>
      </c>
      <c r="H18">
        <f t="shared" si="2"/>
        <v>-6.125657961258163E-2</v>
      </c>
      <c r="I18">
        <f t="shared" si="3"/>
        <v>-1.2796262620409227E-3</v>
      </c>
      <c r="J18">
        <f t="shared" si="4"/>
        <v>1.126488050026718</v>
      </c>
    </row>
    <row r="19" spans="1:10" x14ac:dyDescent="0.2">
      <c r="A19" t="str">
        <f>'MGGIX US_monthly'!A31</f>
        <v>2019-06-28</v>
      </c>
      <c r="B19">
        <f>'MGGIX US_monthly'!B31</f>
        <v>27.079999923706001</v>
      </c>
      <c r="C19">
        <f>'MSCI ACWI Index_monthly'!B31</f>
        <v>259.18760200000003</v>
      </c>
      <c r="D19">
        <f>('MGGIX US_monthly'!B31-'MGGIX US_monthly'!B30)/'MGGIX US_monthly'!B30</f>
        <v>6.1544479840760079E-2</v>
      </c>
      <c r="E19">
        <f>('MSCI ACWI Index_monthly'!B31-'MSCI ACWI Index_monthly'!B30)/'MSCI ACWI Index_monthly'!B30</f>
        <v>6.5479612435121751E-2</v>
      </c>
      <c r="F19">
        <f>(1+'Risk-free rate'!B31/100)^(1/12)-1</f>
        <v>1.7905934192179451E-3</v>
      </c>
      <c r="G19">
        <f t="shared" si="1"/>
        <v>5.9753886421542134E-2</v>
      </c>
      <c r="H19">
        <f t="shared" si="2"/>
        <v>6.3689019015903806E-2</v>
      </c>
      <c r="I19">
        <f t="shared" si="3"/>
        <v>-7.1239206866979821E-3</v>
      </c>
      <c r="J19">
        <f t="shared" si="4"/>
        <v>1.0987494545004894</v>
      </c>
    </row>
    <row r="20" spans="1:10" x14ac:dyDescent="0.2">
      <c r="A20" t="str">
        <f>'MGGIX US_monthly'!A32</f>
        <v>2019-07-31</v>
      </c>
      <c r="B20">
        <f>'MGGIX US_monthly'!B32</f>
        <v>26.870000839233398</v>
      </c>
      <c r="C20">
        <f>'MSCI ACWI Index_monthly'!B32</f>
        <v>259.94706100000002</v>
      </c>
      <c r="D20">
        <f>('MGGIX US_monthly'!B32-'MGGIX US_monthly'!B31)/'MGGIX US_monthly'!B31</f>
        <v>-7.7547668044403665E-3</v>
      </c>
      <c r="E20">
        <f>('MSCI ACWI Index_monthly'!B32-'MSCI ACWI Index_monthly'!B31)/'MSCI ACWI Index_monthly'!B31</f>
        <v>2.9301517284765514E-3</v>
      </c>
      <c r="F20">
        <f>(1+'Risk-free rate'!B32/100)^(1/12)-1</f>
        <v>1.73337883251512E-3</v>
      </c>
      <c r="G20">
        <f t="shared" si="1"/>
        <v>-9.4881456369554865E-3</v>
      </c>
      <c r="H20">
        <f t="shared" si="2"/>
        <v>1.1967728959614314E-3</v>
      </c>
      <c r="I20">
        <f t="shared" si="3"/>
        <v>3.2683369493436309E-2</v>
      </c>
      <c r="J20">
        <f t="shared" si="4"/>
        <v>1.1496545734265247</v>
      </c>
    </row>
    <row r="21" spans="1:10" x14ac:dyDescent="0.2">
      <c r="A21" t="str">
        <f>'MGGIX US_monthly'!A33</f>
        <v>2019-08-30</v>
      </c>
      <c r="B21">
        <f>'MGGIX US_monthly'!B33</f>
        <v>26.549999237060501</v>
      </c>
      <c r="C21">
        <f>'MSCI ACWI Index_monthly'!B33</f>
        <v>253.780519</v>
      </c>
      <c r="D21">
        <f>('MGGIX US_monthly'!B33-'MGGIX US_monthly'!B32)/'MGGIX US_monthly'!B32</f>
        <v>-1.1909251662756085E-2</v>
      </c>
      <c r="E21">
        <f>('MSCI ACWI Index_monthly'!B33-'MSCI ACWI Index_monthly'!B32)/'MSCI ACWI Index_monthly'!B32</f>
        <v>-2.372229936463879E-2</v>
      </c>
      <c r="F21">
        <f>(1+'Risk-free rate'!B33/100)^(1/12)-1</f>
        <v>1.6106549662961989E-3</v>
      </c>
      <c r="G21">
        <f t="shared" si="1"/>
        <v>-1.3519906629052284E-2</v>
      </c>
      <c r="H21">
        <f t="shared" si="2"/>
        <v>-2.5332954330934989E-2</v>
      </c>
      <c r="I21">
        <f t="shared" si="3"/>
        <v>4.2665554369337055E-2</v>
      </c>
      <c r="J21">
        <f t="shared" si="4"/>
        <v>1.1373484988858777</v>
      </c>
    </row>
    <row r="22" spans="1:10" x14ac:dyDescent="0.2">
      <c r="A22" t="str">
        <f>'MGGIX US_monthly'!A34</f>
        <v>2019-09-30</v>
      </c>
      <c r="B22">
        <f>'MGGIX US_monthly'!B34</f>
        <v>26.129999160766602</v>
      </c>
      <c r="C22">
        <f>'MSCI ACWI Index_monthly'!B34</f>
        <v>259.12045499999999</v>
      </c>
      <c r="D22">
        <f>('MGGIX US_monthly'!B34-'MGGIX US_monthly'!B33)/'MGGIX US_monthly'!B33</f>
        <v>-1.5819212367721321E-2</v>
      </c>
      <c r="E22">
        <f>('MSCI ACWI Index_monthly'!B34-'MSCI ACWI Index_monthly'!B33)/'MSCI ACWI Index_monthly'!B33</f>
        <v>2.1041552050730869E-2</v>
      </c>
      <c r="F22">
        <f>(1+'Risk-free rate'!B34/100)^(1/12)-1</f>
        <v>1.5615190697231274E-3</v>
      </c>
      <c r="G22">
        <f t="shared" si="1"/>
        <v>-1.7380731437444449E-2</v>
      </c>
      <c r="H22">
        <f t="shared" si="2"/>
        <v>1.9480032981007742E-2</v>
      </c>
      <c r="I22">
        <f t="shared" si="3"/>
        <v>2.0193028161047621E-2</v>
      </c>
      <c r="J22">
        <f t="shared" si="4"/>
        <v>1.1095195739132033</v>
      </c>
    </row>
    <row r="23" spans="1:10" x14ac:dyDescent="0.2">
      <c r="A23" t="str">
        <f>'MGGIX US_monthly'!A35</f>
        <v>2019-10-31</v>
      </c>
      <c r="B23">
        <f>'MGGIX US_monthly'!B35</f>
        <v>27.059999465942301</v>
      </c>
      <c r="C23">
        <f>'MSCI ACWI Index_monthly'!B35</f>
        <v>266.21224999999998</v>
      </c>
      <c r="D23">
        <f>('MGGIX US_monthly'!B35-'MGGIX US_monthly'!B34)/'MGGIX US_monthly'!B34</f>
        <v>3.5591287219483216E-2</v>
      </c>
      <c r="E23">
        <f>('MSCI ACWI Index_monthly'!B35-'MSCI ACWI Index_monthly'!B34)/'MSCI ACWI Index_monthly'!B34</f>
        <v>2.7368719308554744E-2</v>
      </c>
      <c r="F23">
        <f>(1+'Risk-free rate'!B35/100)^(1/12)-1</f>
        <v>1.364709877352599E-3</v>
      </c>
      <c r="G23">
        <f t="shared" si="1"/>
        <v>3.4226577342130617E-2</v>
      </c>
      <c r="H23">
        <f t="shared" si="2"/>
        <v>2.6004009431202145E-2</v>
      </c>
      <c r="I23">
        <f t="shared" si="3"/>
        <v>6.6827605962319847E-2</v>
      </c>
      <c r="J23">
        <f t="shared" si="4"/>
        <v>0.99724673098160321</v>
      </c>
    </row>
    <row r="24" spans="1:10" x14ac:dyDescent="0.2">
      <c r="A24" t="str">
        <f>'MGGIX US_monthly'!A36</f>
        <v>2019-11-29</v>
      </c>
      <c r="B24">
        <f>'MGGIX US_monthly'!B36</f>
        <v>28.420000076293899</v>
      </c>
      <c r="C24">
        <f>'MSCI ACWI Index_monthly'!B36</f>
        <v>272.71087999999997</v>
      </c>
      <c r="D24">
        <f>('MGGIX US_monthly'!B36-'MGGIX US_monthly'!B35)/'MGGIX US_monthly'!B35</f>
        <v>5.0258707952426013E-2</v>
      </c>
      <c r="E24">
        <f>('MSCI ACWI Index_monthly'!B36-'MSCI ACWI Index_monthly'!B35)/'MSCI ACWI Index_monthly'!B35</f>
        <v>2.4411461155525307E-2</v>
      </c>
      <c r="F24">
        <f>(1+'Risk-free rate'!B36/100)^(1/12)-1</f>
        <v>1.2743632726075482E-3</v>
      </c>
      <c r="G24">
        <f t="shared" si="1"/>
        <v>4.8984344679818465E-2</v>
      </c>
      <c r="H24">
        <f t="shared" si="2"/>
        <v>2.3137097882917759E-2</v>
      </c>
      <c r="I24">
        <f t="shared" si="3"/>
        <v>9.1506953930025725E-2</v>
      </c>
      <c r="J24">
        <f t="shared" si="4"/>
        <v>1.0102415653451051</v>
      </c>
    </row>
    <row r="25" spans="1:10" x14ac:dyDescent="0.2">
      <c r="A25" t="str">
        <f>'MGGIX US_monthly'!A37</f>
        <v>2019-12-31</v>
      </c>
      <c r="B25">
        <f>'MGGIX US_monthly'!B37</f>
        <v>29.120000839233398</v>
      </c>
      <c r="C25">
        <f>'MSCI ACWI Index_monthly'!B37</f>
        <v>282.31445300000001</v>
      </c>
      <c r="D25">
        <f>('MGGIX US_monthly'!B37-'MGGIX US_monthly'!B36)/'MGGIX US_monthly'!B36</f>
        <v>2.4630568650961901E-2</v>
      </c>
      <c r="E25">
        <f>('MSCI ACWI Index_monthly'!B37-'MSCI ACWI Index_monthly'!B36)/'MSCI ACWI Index_monthly'!B36</f>
        <v>3.5215217669350193E-2</v>
      </c>
      <c r="F25">
        <f>(1+'Risk-free rate'!B37/100)^(1/12)-1</f>
        <v>1.2743632726075482E-3</v>
      </c>
      <c r="G25">
        <f t="shared" si="1"/>
        <v>2.3356205378354353E-2</v>
      </c>
      <c r="H25">
        <f t="shared" si="2"/>
        <v>3.3940854396742645E-2</v>
      </c>
      <c r="I25">
        <f t="shared" si="3"/>
        <v>7.3668351330171911E-2</v>
      </c>
      <c r="J25">
        <f t="shared" si="4"/>
        <v>0.99802942710995701</v>
      </c>
    </row>
    <row r="26" spans="1:10" x14ac:dyDescent="0.2">
      <c r="A26" t="str">
        <f>'MGGIX US_monthly'!A38</f>
        <v>2020-01-31</v>
      </c>
      <c r="B26">
        <f>'MGGIX US_monthly'!B38</f>
        <v>29.7000007629394</v>
      </c>
      <c r="C26">
        <f>'MSCI ACWI Index_monthly'!B38</f>
        <v>279.19602800000001</v>
      </c>
      <c r="D26">
        <f>('MGGIX US_monthly'!B38-'MGGIX US_monthly'!B37)/'MGGIX US_monthly'!B37</f>
        <v>1.991757922357499E-2</v>
      </c>
      <c r="E26">
        <f>('MSCI ACWI Index_monthly'!B38-'MSCI ACWI Index_monthly'!B37)/'MSCI ACWI Index_monthly'!B37</f>
        <v>-1.1045927570700753E-2</v>
      </c>
      <c r="F26">
        <f>(1+'Risk-free rate'!B38/100)^(1/12)-1</f>
        <v>1.2579269787644787E-3</v>
      </c>
      <c r="G26">
        <f t="shared" si="1"/>
        <v>1.8659652244810511E-2</v>
      </c>
      <c r="H26">
        <f t="shared" si="2"/>
        <v>-1.2303854549465231E-2</v>
      </c>
      <c r="I26">
        <f>((1+INDEX(LINEST(G15:G26,H15:H26,TRUE,TRUE),1,2))^12)-1</f>
        <v>0.10316626477628077</v>
      </c>
      <c r="J26">
        <f>INDEX(LINEST(G15:G26, H15:H26, TRUE, TRUE), 1, 1)</f>
        <v>0.83105156372188016</v>
      </c>
    </row>
    <row r="27" spans="1:10" x14ac:dyDescent="0.2">
      <c r="A27" t="str">
        <f>'MGGIX US_monthly'!A39</f>
        <v>2020-02-28</v>
      </c>
      <c r="B27">
        <f>'MGGIX US_monthly'!B39</f>
        <v>28.389999389648398</v>
      </c>
      <c r="C27">
        <f>'MSCI ACWI Index_monthly'!B39</f>
        <v>256.64542499999999</v>
      </c>
      <c r="D27">
        <f>('MGGIX US_monthly'!B39-'MGGIX US_monthly'!B38)/'MGGIX US_monthly'!B38</f>
        <v>-4.4107789213448864E-2</v>
      </c>
      <c r="E27">
        <f>('MSCI ACWI Index_monthly'!B39-'MSCI ACWI Index_monthly'!B38)/'MSCI ACWI Index_monthly'!B38</f>
        <v>-8.0769784446933543E-2</v>
      </c>
      <c r="F27">
        <f>(1+'Risk-free rate'!B39/100)^(1/12)-1</f>
        <v>1.2579269787644787E-3</v>
      </c>
      <c r="G27">
        <f t="shared" si="1"/>
        <v>-4.5365716192213343E-2</v>
      </c>
      <c r="H27">
        <f t="shared" si="2"/>
        <v>-8.2027711425698022E-2</v>
      </c>
      <c r="I27">
        <f t="shared" ref="I27:I85" si="5">((1+INDEX(LINEST(G16:G27,H16:H27,TRUE,TRUE),1,2))^12)-1</f>
        <v>0.12180994534551703</v>
      </c>
      <c r="J27">
        <f t="shared" ref="J27:J85" si="6">INDEX(LINEST(G16:G27, H16:H27, TRUE, TRUE), 1, 1)</f>
        <v>0.76721140459808101</v>
      </c>
    </row>
    <row r="28" spans="1:10" x14ac:dyDescent="0.2">
      <c r="A28" t="str">
        <f>'MGGIX US_monthly'!A40</f>
        <v>2020-03-31</v>
      </c>
      <c r="B28">
        <f>'MGGIX US_monthly'!B40</f>
        <v>25.709999084472599</v>
      </c>
      <c r="C28">
        <f>'MSCI ACWI Index_monthly'!B40</f>
        <v>221.99744200000001</v>
      </c>
      <c r="D28">
        <f>('MGGIX US_monthly'!B40-'MGGIX US_monthly'!B39)/'MGGIX US_monthly'!B39</f>
        <v>-9.4399449200163937E-2</v>
      </c>
      <c r="E28">
        <f>('MSCI ACWI Index_monthly'!B40-'MSCI ACWI Index_monthly'!B39)/'MSCI ACWI Index_monthly'!B39</f>
        <v>-0.13500331439767524</v>
      </c>
      <c r="F28">
        <f>(1+'Risk-free rate'!B40/100)^(1/12)-1</f>
        <v>2.4134604527370485E-4</v>
      </c>
      <c r="G28">
        <f t="shared" si="1"/>
        <v>-9.4640795245437642E-2</v>
      </c>
      <c r="H28">
        <f t="shared" si="2"/>
        <v>-0.13524466044294894</v>
      </c>
      <c r="I28">
        <f t="shared" si="5"/>
        <v>9.720896372812371E-2</v>
      </c>
      <c r="J28">
        <f t="shared" si="6"/>
        <v>0.75733438912794759</v>
      </c>
    </row>
    <row r="29" spans="1:10" x14ac:dyDescent="0.2">
      <c r="A29" t="str">
        <f>'MGGIX US_monthly'!A41</f>
        <v>2020-04-30</v>
      </c>
      <c r="B29">
        <f>'MGGIX US_monthly'!B41</f>
        <v>29</v>
      </c>
      <c r="C29">
        <f>'MSCI ACWI Index_monthly'!B41</f>
        <v>245.778931</v>
      </c>
      <c r="D29">
        <f>('MGGIX US_monthly'!B41-'MGGIX US_monthly'!B40)/'MGGIX US_monthly'!B40</f>
        <v>0.12796581223973583</v>
      </c>
      <c r="E29">
        <f>('MSCI ACWI Index_monthly'!B41-'MSCI ACWI Index_monthly'!B40)/'MSCI ACWI Index_monthly'!B40</f>
        <v>0.10712505867522561</v>
      </c>
      <c r="F29">
        <f>(1+'Risk-free rate'!B41/100)^(1/12)-1</f>
        <v>1.1659187244639213E-4</v>
      </c>
      <c r="G29">
        <f t="shared" si="1"/>
        <v>0.12784922036728943</v>
      </c>
      <c r="H29">
        <f t="shared" si="2"/>
        <v>0.10700846680277921</v>
      </c>
      <c r="I29">
        <f t="shared" si="5"/>
        <v>0.12570635399625663</v>
      </c>
      <c r="J29">
        <f t="shared" si="6"/>
        <v>0.83565935450962847</v>
      </c>
    </row>
    <row r="30" spans="1:10" x14ac:dyDescent="0.2">
      <c r="A30" t="str">
        <f>'MGGIX US_monthly'!A42</f>
        <v>2020-05-29</v>
      </c>
      <c r="B30">
        <f>'MGGIX US_monthly'!B42</f>
        <v>31.520000457763601</v>
      </c>
      <c r="C30">
        <f>'MSCI ACWI Index_monthly'!B42</f>
        <v>256.46810699999997</v>
      </c>
      <c r="D30">
        <f>('MGGIX US_monthly'!B42-'MGGIX US_monthly'!B41)/'MGGIX US_monthly'!B41</f>
        <v>8.6896567509089681E-2</v>
      </c>
      <c r="E30">
        <f>('MSCI ACWI Index_monthly'!B42-'MSCI ACWI Index_monthly'!B41)/'MSCI ACWI Index_monthly'!B41</f>
        <v>4.3491018357468464E-2</v>
      </c>
      <c r="F30">
        <f>(1+'Risk-free rate'!B42/100)^(1/12)-1</f>
        <v>1.0826883828274347E-4</v>
      </c>
      <c r="G30">
        <f t="shared" si="1"/>
        <v>8.6788298670806938E-2</v>
      </c>
      <c r="H30">
        <f t="shared" si="2"/>
        <v>4.338274951918572E-2</v>
      </c>
      <c r="I30">
        <f t="shared" si="5"/>
        <v>0.17823298994893033</v>
      </c>
      <c r="J30">
        <f t="shared" si="6"/>
        <v>0.85938638553848568</v>
      </c>
    </row>
    <row r="31" spans="1:10" x14ac:dyDescent="0.2">
      <c r="A31" t="str">
        <f>'MGGIX US_monthly'!A43</f>
        <v>2020-06-30</v>
      </c>
      <c r="B31">
        <f>'MGGIX US_monthly'!B43</f>
        <v>33.849998474121001</v>
      </c>
      <c r="C31">
        <f>'MSCI ACWI Index_monthly'!B43</f>
        <v>264.66290300000003</v>
      </c>
      <c r="D31">
        <f>('MGGIX US_monthly'!B43-'MGGIX US_monthly'!B42)/'MGGIX US_monthly'!B42</f>
        <v>7.3921255790575513E-2</v>
      </c>
      <c r="E31">
        <f>('MSCI ACWI Index_monthly'!B43-'MSCI ACWI Index_monthly'!B42)/'MSCI ACWI Index_monthly'!B42</f>
        <v>3.1952495364267863E-2</v>
      </c>
      <c r="F31">
        <f>(1+'Risk-free rate'!B43/100)^(1/12)-1</f>
        <v>1.3323565538980731E-4</v>
      </c>
      <c r="G31">
        <f t="shared" si="1"/>
        <v>7.3788020135185706E-2</v>
      </c>
      <c r="H31">
        <f t="shared" si="2"/>
        <v>3.1819259708878056E-2</v>
      </c>
      <c r="I31">
        <f t="shared" si="5"/>
        <v>0.2259850336520286</v>
      </c>
      <c r="J31">
        <f t="shared" si="6"/>
        <v>0.89416758590095291</v>
      </c>
    </row>
    <row r="32" spans="1:10" x14ac:dyDescent="0.2">
      <c r="A32" t="str">
        <f>'MGGIX US_monthly'!A44</f>
        <v>2020-07-31</v>
      </c>
      <c r="B32">
        <f>'MGGIX US_monthly'!B44</f>
        <v>36.159999847412102</v>
      </c>
      <c r="C32">
        <f>'MSCI ACWI Index_monthly'!B44</f>
        <v>278.66013900000002</v>
      </c>
      <c r="D32">
        <f>('MGGIX US_monthly'!B44-'MGGIX US_monthly'!B43)/'MGGIX US_monthly'!B43</f>
        <v>6.8242288845511853E-2</v>
      </c>
      <c r="E32">
        <f>('MSCI ACWI Index_monthly'!B44-'MSCI ACWI Index_monthly'!B43)/'MSCI ACWI Index_monthly'!B43</f>
        <v>5.2887034190809826E-2</v>
      </c>
      <c r="F32">
        <f>(1+'Risk-free rate'!B44/100)^(1/12)-1</f>
        <v>1.0826883828274347E-4</v>
      </c>
      <c r="G32">
        <f t="shared" si="1"/>
        <v>6.813402000722911E-2</v>
      </c>
      <c r="H32">
        <f t="shared" si="2"/>
        <v>5.2778765352527082E-2</v>
      </c>
      <c r="I32">
        <f t="shared" si="5"/>
        <v>0.2644559052907407</v>
      </c>
      <c r="J32">
        <f t="shared" si="6"/>
        <v>0.89455923798692583</v>
      </c>
    </row>
    <row r="33" spans="1:10" x14ac:dyDescent="0.2">
      <c r="A33" t="str">
        <f>'MGGIX US_monthly'!A45</f>
        <v>2020-08-31</v>
      </c>
      <c r="B33">
        <f>'MGGIX US_monthly'!B45</f>
        <v>40.349998474121001</v>
      </c>
      <c r="C33">
        <f>'MSCI ACWI Index_monthly'!B45</f>
        <v>295.71556299999997</v>
      </c>
      <c r="D33">
        <f>('MGGIX US_monthly'!B45-'MGGIX US_monthly'!B44)/'MGGIX US_monthly'!B44</f>
        <v>0.11587385631609091</v>
      </c>
      <c r="E33">
        <f>('MSCI ACWI Index_monthly'!B45-'MSCI ACWI Index_monthly'!B44)/'MSCI ACWI Index_monthly'!B44</f>
        <v>6.1205108348847695E-2</v>
      </c>
      <c r="F33">
        <f>(1+'Risk-free rate'!B45/100)^(1/12)-1</f>
        <v>8.3295163273211514E-5</v>
      </c>
      <c r="G33">
        <f t="shared" si="1"/>
        <v>0.1157905611528177</v>
      </c>
      <c r="H33">
        <f t="shared" si="2"/>
        <v>6.1121813185574483E-2</v>
      </c>
      <c r="I33">
        <f t="shared" si="5"/>
        <v>0.32321182202740584</v>
      </c>
      <c r="J33">
        <f t="shared" si="6"/>
        <v>0.92748041304731899</v>
      </c>
    </row>
    <row r="34" spans="1:10" x14ac:dyDescent="0.2">
      <c r="A34" t="str">
        <f>'MGGIX US_monthly'!A46</f>
        <v>2020-09-30</v>
      </c>
      <c r="B34">
        <f>'MGGIX US_monthly'!B46</f>
        <v>40.189998626708899</v>
      </c>
      <c r="C34">
        <f>'MSCI ACWI Index_monthly'!B46</f>
        <v>286.180744</v>
      </c>
      <c r="D34">
        <f>('MGGIX US_monthly'!B46-'MGGIX US_monthly'!B45)/'MGGIX US_monthly'!B45</f>
        <v>-3.9652999619001292E-3</v>
      </c>
      <c r="E34">
        <f>('MSCI ACWI Index_monthly'!B46-'MSCI ACWI Index_monthly'!B45)/'MSCI ACWI Index_monthly'!B45</f>
        <v>-3.2243210006501995E-2</v>
      </c>
      <c r="F34">
        <f>(1+'Risk-free rate'!B46/100)^(1/12)-1</f>
        <v>9.1620483841925449E-5</v>
      </c>
      <c r="G34">
        <f t="shared" si="1"/>
        <v>-4.0569204457420547E-3</v>
      </c>
      <c r="H34">
        <f t="shared" si="2"/>
        <v>-3.233483049034392E-2</v>
      </c>
      <c r="I34">
        <f t="shared" si="5"/>
        <v>0.40319976371029154</v>
      </c>
      <c r="J34">
        <f t="shared" si="6"/>
        <v>0.93732677241532936</v>
      </c>
    </row>
    <row r="35" spans="1:10" x14ac:dyDescent="0.2">
      <c r="A35" t="str">
        <f>'MGGIX US_monthly'!A47</f>
        <v>2020-10-30</v>
      </c>
      <c r="B35">
        <f>'MGGIX US_monthly'!B47</f>
        <v>39.409999847412102</v>
      </c>
      <c r="C35">
        <f>'MSCI ACWI Index_monthly'!B47</f>
        <v>279.22409299999998</v>
      </c>
      <c r="D35">
        <f>('MGGIX US_monthly'!B47-'MGGIX US_monthly'!B46)/'MGGIX US_monthly'!B46</f>
        <v>-1.9407783178634803E-2</v>
      </c>
      <c r="E35">
        <f>('MSCI ACWI Index_monthly'!B47-'MSCI ACWI Index_monthly'!B46)/'MSCI ACWI Index_monthly'!B46</f>
        <v>-2.4308592195147909E-2</v>
      </c>
      <c r="F35">
        <f>(1+'Risk-free rate'!B47/100)^(1/12)-1</f>
        <v>8.3295163273211514E-5</v>
      </c>
      <c r="G35">
        <f t="shared" si="1"/>
        <v>-1.9491078341908014E-2</v>
      </c>
      <c r="H35">
        <f t="shared" si="2"/>
        <v>-2.439188735842112E-2</v>
      </c>
      <c r="I35">
        <f t="shared" si="5"/>
        <v>0.39227479563724321</v>
      </c>
      <c r="J35">
        <f t="shared" si="6"/>
        <v>0.96060761042262954</v>
      </c>
    </row>
    <row r="36" spans="1:10" x14ac:dyDescent="0.2">
      <c r="A36" t="str">
        <f>'MGGIX US_monthly'!A48</f>
        <v>2020-11-30</v>
      </c>
      <c r="B36">
        <f>'MGGIX US_monthly'!B48</f>
        <v>43.75</v>
      </c>
      <c r="C36">
        <f>'MSCI ACWI Index_monthly'!B48</f>
        <v>313.64207099999999</v>
      </c>
      <c r="D36">
        <f>('MGGIX US_monthly'!B48-'MGGIX US_monthly'!B47)/'MGGIX US_monthly'!B47</f>
        <v>0.11012433822358637</v>
      </c>
      <c r="E36">
        <f>('MSCI ACWI Index_monthly'!B48-'MSCI ACWI Index_monthly'!B47)/'MSCI ACWI Index_monthly'!B47</f>
        <v>0.12326292344693911</v>
      </c>
      <c r="F36">
        <f>(1+'Risk-free rate'!B48/100)^(1/12)-1</f>
        <v>7.4969080277487166E-5</v>
      </c>
      <c r="G36">
        <f t="shared" si="1"/>
        <v>0.11004936914330889</v>
      </c>
      <c r="H36">
        <f t="shared" si="2"/>
        <v>0.12318795436666162</v>
      </c>
      <c r="I36">
        <f t="shared" si="5"/>
        <v>0.35964467108604969</v>
      </c>
      <c r="J36">
        <f t="shared" si="6"/>
        <v>0.89657162973237825</v>
      </c>
    </row>
    <row r="37" spans="1:10" x14ac:dyDescent="0.2">
      <c r="A37" t="str">
        <f>'MGGIX US_monthly'!A49</f>
        <v>2020-12-31</v>
      </c>
      <c r="B37">
        <f>'MGGIX US_monthly'!B49</f>
        <v>44.75</v>
      </c>
      <c r="C37">
        <f>'MSCI ACWI Index_monthly'!B49</f>
        <v>328.20430499999998</v>
      </c>
      <c r="D37">
        <f>('MGGIX US_monthly'!B49-'MGGIX US_monthly'!B48)/'MGGIX US_monthly'!B48</f>
        <v>2.2857142857142857E-2</v>
      </c>
      <c r="E37">
        <f>('MSCI ACWI Index_monthly'!B49-'MSCI ACWI Index_monthly'!B48)/'MSCI ACWI Index_monthly'!B48</f>
        <v>4.6429466409179491E-2</v>
      </c>
      <c r="F37">
        <f>(1+'Risk-free rate'!B49/100)^(1/12)-1</f>
        <v>7.4969080277487166E-5</v>
      </c>
      <c r="G37">
        <f t="shared" si="1"/>
        <v>2.278217377686537E-2</v>
      </c>
      <c r="H37">
        <f t="shared" si="2"/>
        <v>4.6354497328902004E-2</v>
      </c>
      <c r="I37">
        <f t="shared" si="5"/>
        <v>0.34715154928392034</v>
      </c>
      <c r="J37">
        <f t="shared" si="6"/>
        <v>0.88409876070773663</v>
      </c>
    </row>
    <row r="38" spans="1:10" x14ac:dyDescent="0.2">
      <c r="A38" t="str">
        <f>'MGGIX US_monthly'!A50</f>
        <v>2021-01-29</v>
      </c>
      <c r="B38">
        <f>'MGGIX US_monthly'!B50</f>
        <v>44.209999084472599</v>
      </c>
      <c r="C38">
        <f>'MSCI ACWI Index_monthly'!B50</f>
        <v>326.71161699999999</v>
      </c>
      <c r="D38">
        <f>('MGGIX US_monthly'!B50-'MGGIX US_monthly'!B49)/'MGGIX US_monthly'!B49</f>
        <v>-1.2067059564858113E-2</v>
      </c>
      <c r="E38">
        <f>('MSCI ACWI Index_monthly'!B50-'MSCI ACWI Index_monthly'!B49)/'MSCI ACWI Index_monthly'!B49</f>
        <v>-4.5480451574210368E-3</v>
      </c>
      <c r="F38">
        <f>(1+'Risk-free rate'!B50/100)^(1/12)-1</f>
        <v>6.6642234708869097E-5</v>
      </c>
      <c r="G38">
        <f t="shared" si="1"/>
        <v>-1.2133701799566982E-2</v>
      </c>
      <c r="H38">
        <f t="shared" si="2"/>
        <v>-4.6146873921299059E-3</v>
      </c>
      <c r="I38">
        <f t="shared" si="5"/>
        <v>0.29553502679958954</v>
      </c>
      <c r="J38">
        <f t="shared" si="6"/>
        <v>0.89690087680445119</v>
      </c>
    </row>
    <row r="39" spans="1:10" x14ac:dyDescent="0.2">
      <c r="A39" t="str">
        <f>'MGGIX US_monthly'!A51</f>
        <v>2021-02-26</v>
      </c>
      <c r="B39">
        <f>'MGGIX US_monthly'!B51</f>
        <v>45.840000152587798</v>
      </c>
      <c r="C39">
        <f>'MSCI ACWI Index_monthly'!B51</f>
        <v>334.27938599999999</v>
      </c>
      <c r="D39">
        <f>('MGGIX US_monthly'!B51-'MGGIX US_monthly'!B50)/'MGGIX US_monthly'!B50</f>
        <v>3.6869511465058742E-2</v>
      </c>
      <c r="E39">
        <f>('MSCI ACWI Index_monthly'!B51-'MSCI ACWI Index_monthly'!B50)/'MSCI ACWI Index_monthly'!B50</f>
        <v>2.3163452433954922E-2</v>
      </c>
      <c r="F39">
        <f>(1+'Risk-free rate'!B51/100)^(1/12)-1</f>
        <v>3.3327223783574667E-5</v>
      </c>
      <c r="G39">
        <f t="shared" si="1"/>
        <v>3.6836184241275167E-2</v>
      </c>
      <c r="H39">
        <f t="shared" si="2"/>
        <v>2.3130125210171347E-2</v>
      </c>
      <c r="I39">
        <f t="shared" si="5"/>
        <v>0.27538400965515053</v>
      </c>
      <c r="J39">
        <f t="shared" si="6"/>
        <v>0.91022628767945013</v>
      </c>
    </row>
    <row r="40" spans="1:10" x14ac:dyDescent="0.2">
      <c r="A40" t="str">
        <f>'MGGIX US_monthly'!A52</f>
        <v>2021-03-31</v>
      </c>
      <c r="B40">
        <f>'MGGIX US_monthly'!B52</f>
        <v>44.209999084472599</v>
      </c>
      <c r="C40">
        <f>'MSCI ACWI Index_monthly'!B52</f>
        <v>343.20776799999999</v>
      </c>
      <c r="D40">
        <f>('MGGIX US_monthly'!B52-'MGGIX US_monthly'!B51)/'MGGIX US_monthly'!B51</f>
        <v>-3.5558487405964387E-2</v>
      </c>
      <c r="E40">
        <f>('MSCI ACWI Index_monthly'!B52-'MSCI ACWI Index_monthly'!B51)/'MSCI ACWI Index_monthly'!B51</f>
        <v>2.6709340671099591E-2</v>
      </c>
      <c r="F40">
        <f>(1+'Risk-free rate'!B52/100)^(1/12)-1</f>
        <v>2.4996563158685703E-5</v>
      </c>
      <c r="G40">
        <f t="shared" si="1"/>
        <v>-3.5583483969123073E-2</v>
      </c>
      <c r="H40">
        <f t="shared" si="2"/>
        <v>2.6684344107940905E-2</v>
      </c>
      <c r="I40">
        <f t="shared" si="5"/>
        <v>0.12028277408548815</v>
      </c>
      <c r="J40">
        <f t="shared" si="6"/>
        <v>1.0055177002875095</v>
      </c>
    </row>
    <row r="41" spans="1:10" x14ac:dyDescent="0.2">
      <c r="A41" t="str">
        <f>'MGGIX US_monthly'!A53</f>
        <v>2021-04-30</v>
      </c>
      <c r="B41">
        <f>'MGGIX US_monthly'!B53</f>
        <v>46.849998474121001</v>
      </c>
      <c r="C41">
        <f>'MSCI ACWI Index_monthly'!B53</f>
        <v>358.21367900000001</v>
      </c>
      <c r="D41">
        <f>('MGGIX US_monthly'!B53-'MGGIX US_monthly'!B52)/'MGGIX US_monthly'!B52</f>
        <v>5.9714984037980236E-2</v>
      </c>
      <c r="E41">
        <f>('MSCI ACWI Index_monthly'!B53-'MSCI ACWI Index_monthly'!B52)/'MSCI ACWI Index_monthly'!B52</f>
        <v>4.3722527282657617E-2</v>
      </c>
      <c r="F41">
        <f>(1+'Risk-free rate'!B53/100)^(1/12)-1</f>
        <v>1.6665139084048874E-5</v>
      </c>
      <c r="G41">
        <f t="shared" si="1"/>
        <v>5.9698318898896187E-2</v>
      </c>
      <c r="H41">
        <f t="shared" si="2"/>
        <v>4.3705862143573568E-2</v>
      </c>
      <c r="I41">
        <f t="shared" si="5"/>
        <v>0.13216087025208223</v>
      </c>
      <c r="J41">
        <f t="shared" si="6"/>
        <v>0.96675102668743584</v>
      </c>
    </row>
    <row r="42" spans="1:10" x14ac:dyDescent="0.2">
      <c r="A42" t="str">
        <f>'MGGIX US_monthly'!A54</f>
        <v>2021-05-31</v>
      </c>
      <c r="B42">
        <f>'MGGIX US_monthly'!B54</f>
        <v>46.080001831054602</v>
      </c>
      <c r="C42">
        <f>'MSCI ACWI Index_monthly'!B54</f>
        <v>363.78834899999998</v>
      </c>
      <c r="D42">
        <f>('MGGIX US_monthly'!B54-'MGGIX US_monthly'!B53)/'MGGIX US_monthly'!B53</f>
        <v>-1.6435361113015402E-2</v>
      </c>
      <c r="E42">
        <f>('MSCI ACWI Index_monthly'!B54-'MSCI ACWI Index_monthly'!B53)/'MSCI ACWI Index_monthly'!B53</f>
        <v>1.5562415191855274E-2</v>
      </c>
      <c r="F42">
        <f>(1+'Risk-free rate'!B54/100)^(1/12)-1</f>
        <v>1.6665139084048874E-5</v>
      </c>
      <c r="G42">
        <f t="shared" si="1"/>
        <v>-1.645202625209945E-2</v>
      </c>
      <c r="H42">
        <f t="shared" si="2"/>
        <v>1.5545750052771225E-2</v>
      </c>
      <c r="I42">
        <f t="shared" si="5"/>
        <v>4.6266926945910836E-2</v>
      </c>
      <c r="J42">
        <f t="shared" si="6"/>
        <v>0.97537269051156428</v>
      </c>
    </row>
    <row r="43" spans="1:10" x14ac:dyDescent="0.2">
      <c r="A43" t="str">
        <f>'MGGIX US_monthly'!A55</f>
        <v>2021-06-30</v>
      </c>
      <c r="B43">
        <f>'MGGIX US_monthly'!B55</f>
        <v>47.659999847412102</v>
      </c>
      <c r="C43">
        <f>'MSCI ACWI Index_monthly'!B55</f>
        <v>368.58210000000003</v>
      </c>
      <c r="D43">
        <f>('MGGIX US_monthly'!B55-'MGGIX US_monthly'!B54)/'MGGIX US_monthly'!B54</f>
        <v>3.4288150034158534E-2</v>
      </c>
      <c r="E43">
        <f>('MSCI ACWI Index_monthly'!B55-'MSCI ACWI Index_monthly'!B54)/'MSCI ACWI Index_monthly'!B54</f>
        <v>1.3177307665782454E-2</v>
      </c>
      <c r="F43">
        <f>(1+'Risk-free rate'!B55/100)^(1/12)-1</f>
        <v>3.3327223783574667E-5</v>
      </c>
      <c r="G43">
        <f t="shared" si="1"/>
        <v>3.4254822810374959E-2</v>
      </c>
      <c r="H43">
        <f t="shared" si="2"/>
        <v>1.314398044199888E-2</v>
      </c>
      <c r="I43">
        <f t="shared" si="5"/>
        <v>3.1552521121584798E-2</v>
      </c>
      <c r="J43">
        <f t="shared" si="6"/>
        <v>0.9547251453263641</v>
      </c>
    </row>
    <row r="44" spans="1:10" x14ac:dyDescent="0.2">
      <c r="A44" t="str">
        <f>'MGGIX US_monthly'!A56</f>
        <v>2021-07-30</v>
      </c>
      <c r="B44">
        <f>'MGGIX US_monthly'!B56</f>
        <v>46.380001068115199</v>
      </c>
      <c r="C44">
        <f>'MSCI ACWI Index_monthly'!B56</f>
        <v>371.12192199999998</v>
      </c>
      <c r="D44">
        <f>('MGGIX US_monthly'!B56-'MGGIX US_monthly'!B55)/'MGGIX US_monthly'!B55</f>
        <v>-2.6856877536612211E-2</v>
      </c>
      <c r="E44">
        <f>('MSCI ACWI Index_monthly'!B56-'MSCI ACWI Index_monthly'!B55)/'MSCI ACWI Index_monthly'!B55</f>
        <v>6.8907904100604942E-3</v>
      </c>
      <c r="F44">
        <f>(1+'Risk-free rate'!B56/100)^(1/12)-1</f>
        <v>4.1657121104599071E-5</v>
      </c>
      <c r="G44">
        <f t="shared" si="1"/>
        <v>-2.689853465771681E-2</v>
      </c>
      <c r="H44">
        <f t="shared" si="2"/>
        <v>6.8491332889558951E-3</v>
      </c>
      <c r="I44">
        <f t="shared" si="5"/>
        <v>-2.3388922535225953E-2</v>
      </c>
      <c r="J44">
        <f t="shared" si="6"/>
        <v>0.96667725657383308</v>
      </c>
    </row>
    <row r="45" spans="1:10" x14ac:dyDescent="0.2">
      <c r="A45" t="str">
        <f>'MGGIX US_monthly'!A57</f>
        <v>2021-08-31</v>
      </c>
      <c r="B45">
        <f>'MGGIX US_monthly'!B57</f>
        <v>47.380001068115199</v>
      </c>
      <c r="C45">
        <f>'MSCI ACWI Index_monthly'!B57</f>
        <v>380.41085199999998</v>
      </c>
      <c r="D45">
        <f>('MGGIX US_monthly'!B57-'MGGIX US_monthly'!B56)/'MGGIX US_monthly'!B56</f>
        <v>2.1561017183491803E-2</v>
      </c>
      <c r="E45">
        <f>('MSCI ACWI Index_monthly'!B57-'MSCI ACWI Index_monthly'!B56)/'MSCI ACWI Index_monthly'!B56</f>
        <v>2.5029321765584072E-2</v>
      </c>
      <c r="F45">
        <f>(1+'Risk-free rate'!B57/100)^(1/12)-1</f>
        <v>4.1657121104599071E-5</v>
      </c>
      <c r="G45">
        <f t="shared" si="1"/>
        <v>2.1519360062387204E-2</v>
      </c>
      <c r="H45">
        <f t="shared" si="2"/>
        <v>2.4987664644479473E-2</v>
      </c>
      <c r="I45">
        <f t="shared" si="5"/>
        <v>-4.7360554242938835E-2</v>
      </c>
      <c r="J45">
        <f t="shared" si="6"/>
        <v>0.83487916142592578</v>
      </c>
    </row>
    <row r="46" spans="1:10" x14ac:dyDescent="0.2">
      <c r="A46" t="str">
        <f>'MGGIX US_monthly'!A58</f>
        <v>2021-09-30</v>
      </c>
      <c r="B46">
        <f>'MGGIX US_monthly'!B58</f>
        <v>45.209999084472599</v>
      </c>
      <c r="C46">
        <f>'MSCI ACWI Index_monthly'!B58</f>
        <v>364.69617399999998</v>
      </c>
      <c r="D46">
        <f>('MGGIX US_monthly'!B58-'MGGIX US_monthly'!B57)/'MGGIX US_monthly'!B57</f>
        <v>-4.5799956410362386E-2</v>
      </c>
      <c r="E46">
        <f>('MSCI ACWI Index_monthly'!B58-'MSCI ACWI Index_monthly'!B57)/'MSCI ACWI Index_monthly'!B57</f>
        <v>-4.1309752120320668E-2</v>
      </c>
      <c r="F46">
        <f>(1+'Risk-free rate'!B58/100)^(1/12)-1</f>
        <v>3.3327223783574667E-5</v>
      </c>
      <c r="G46">
        <f t="shared" si="1"/>
        <v>-4.583328363414596E-2</v>
      </c>
      <c r="H46">
        <f t="shared" si="2"/>
        <v>-4.1343079344104243E-2</v>
      </c>
      <c r="I46">
        <f t="shared" si="5"/>
        <v>-0.1033220778976891</v>
      </c>
      <c r="J46">
        <f t="shared" si="6"/>
        <v>0.93710672944709672</v>
      </c>
    </row>
    <row r="47" spans="1:10" x14ac:dyDescent="0.2">
      <c r="A47" t="str">
        <f>'MGGIX US_monthly'!A59</f>
        <v>2021-10-29</v>
      </c>
      <c r="B47">
        <f>'MGGIX US_monthly'!B59</f>
        <v>47.560001373291001</v>
      </c>
      <c r="C47">
        <f>'MSCI ACWI Index_monthly'!B59</f>
        <v>383.31155100000001</v>
      </c>
      <c r="D47">
        <f>('MGGIX US_monthly'!B59-'MGGIX US_monthly'!B58)/'MGGIX US_monthly'!B58</f>
        <v>5.1979702198788842E-2</v>
      </c>
      <c r="E47">
        <f>('MSCI ACWI Index_monthly'!B59-'MSCI ACWI Index_monthly'!B58)/'MSCI ACWI Index_monthly'!B58</f>
        <v>5.1043521504012333E-2</v>
      </c>
      <c r="F47">
        <f>(1+'Risk-free rate'!B59/100)^(1/12)-1</f>
        <v>4.1657121104599071E-5</v>
      </c>
      <c r="G47">
        <f t="shared" si="1"/>
        <v>5.1938045077684243E-2</v>
      </c>
      <c r="H47">
        <f t="shared" si="2"/>
        <v>5.1001864382907734E-2</v>
      </c>
      <c r="I47">
        <f t="shared" si="5"/>
        <v>-0.11927963867585745</v>
      </c>
      <c r="J47">
        <f t="shared" si="6"/>
        <v>0.993576770501305</v>
      </c>
    </row>
    <row r="48" spans="1:10" x14ac:dyDescent="0.2">
      <c r="A48" t="str">
        <f>'MGGIX US_monthly'!A60</f>
        <v>2021-11-30</v>
      </c>
      <c r="B48">
        <f>'MGGIX US_monthly'!B60</f>
        <v>44.830001831054602</v>
      </c>
      <c r="C48">
        <f>'MSCI ACWI Index_monthly'!B60</f>
        <v>374.08123499999999</v>
      </c>
      <c r="D48">
        <f>('MGGIX US_monthly'!B60-'MGGIX US_monthly'!B59)/'MGGIX US_monthly'!B59</f>
        <v>-5.7401166177626035E-2</v>
      </c>
      <c r="E48">
        <f>('MSCI ACWI Index_monthly'!B60-'MSCI ACWI Index_monthly'!B59)/'MSCI ACWI Index_monthly'!B59</f>
        <v>-2.4080453552520299E-2</v>
      </c>
      <c r="F48">
        <f>(1+'Risk-free rate'!B60/100)^(1/12)-1</f>
        <v>4.1657121104599071E-5</v>
      </c>
      <c r="G48">
        <f t="shared" si="1"/>
        <v>-5.7442823298730634E-2</v>
      </c>
      <c r="H48">
        <f t="shared" si="2"/>
        <v>-2.4122110673624898E-2</v>
      </c>
      <c r="I48">
        <f t="shared" si="5"/>
        <v>-0.15795141471721152</v>
      </c>
      <c r="J48">
        <f t="shared" si="6"/>
        <v>1.1216260702769199</v>
      </c>
    </row>
    <row r="49" spans="1:10" x14ac:dyDescent="0.2">
      <c r="A49" t="str">
        <f>'MGGIX US_monthly'!A61</f>
        <v>2021-12-31</v>
      </c>
      <c r="B49">
        <f>'MGGIX US_monthly'!B61</f>
        <v>42.689998626708899</v>
      </c>
      <c r="C49">
        <f>'MSCI ACWI Index_monthly'!B61</f>
        <v>389.04467</v>
      </c>
      <c r="D49">
        <f>('MGGIX US_monthly'!B61-'MGGIX US_monthly'!B60)/'MGGIX US_monthly'!B60</f>
        <v>-4.773596067228536E-2</v>
      </c>
      <c r="E49">
        <f>('MSCI ACWI Index_monthly'!B61-'MSCI ACWI Index_monthly'!B60)/'MSCI ACWI Index_monthly'!B60</f>
        <v>4.0000496148918041E-2</v>
      </c>
      <c r="F49">
        <f>(1+'Risk-free rate'!B61/100)^(1/12)-1</f>
        <v>4.99862552685304E-5</v>
      </c>
      <c r="G49">
        <f t="shared" si="1"/>
        <v>-4.7785946927553891E-2</v>
      </c>
      <c r="H49">
        <f t="shared" si="2"/>
        <v>3.9950509893649511E-2</v>
      </c>
      <c r="I49">
        <f t="shared" si="5"/>
        <v>-0.18416572980553303</v>
      </c>
      <c r="J49">
        <f t="shared" si="6"/>
        <v>0.93725726001309595</v>
      </c>
    </row>
    <row r="50" spans="1:10" x14ac:dyDescent="0.2">
      <c r="A50" t="str">
        <f>'MGGIX US_monthly'!A62</f>
        <v>2022-01-31</v>
      </c>
      <c r="B50">
        <f>'MGGIX US_monthly'!B62</f>
        <v>38.029998779296797</v>
      </c>
      <c r="C50">
        <f>'MSCI ACWI Index_monthly'!B62</f>
        <v>369.93775199999999</v>
      </c>
      <c r="D50">
        <f>('MGGIX US_monthly'!B62-'MGGIX US_monthly'!B61)/'MGGIX US_monthly'!B61</f>
        <v>-0.10915905357974372</v>
      </c>
      <c r="E50">
        <f>('MSCI ACWI Index_monthly'!B62-'MSCI ACWI Index_monthly'!B61)/'MSCI ACWI Index_monthly'!B61</f>
        <v>-4.9112401411385502E-2</v>
      </c>
      <c r="F50">
        <f>(1+'Risk-free rate'!B62/100)^(1/12)-1</f>
        <v>1.2491414476678564E-4</v>
      </c>
      <c r="G50">
        <f t="shared" si="1"/>
        <v>-0.1092839677245105</v>
      </c>
      <c r="H50">
        <f t="shared" si="2"/>
        <v>-4.9237315556152288E-2</v>
      </c>
      <c r="I50">
        <f t="shared" si="5"/>
        <v>-0.2540847926505776</v>
      </c>
      <c r="J50">
        <f t="shared" si="6"/>
        <v>1.1862036038603112</v>
      </c>
    </row>
    <row r="51" spans="1:10" x14ac:dyDescent="0.2">
      <c r="A51" t="str">
        <f>'MGGIX US_monthly'!A63</f>
        <v>2022-02-28</v>
      </c>
      <c r="B51">
        <f>'MGGIX US_monthly'!B63</f>
        <v>35.099998474121001</v>
      </c>
      <c r="C51">
        <f>'MSCI ACWI Index_monthly'!B63</f>
        <v>360.38328000000001</v>
      </c>
      <c r="D51">
        <f>('MGGIX US_monthly'!B63-'MGGIX US_monthly'!B62)/'MGGIX US_monthly'!B62</f>
        <v>-7.7044449098716841E-2</v>
      </c>
      <c r="E51">
        <f>('MSCI ACWI Index_monthly'!B63-'MSCI ACWI Index_monthly'!B62)/'MSCI ACWI Index_monthly'!B62</f>
        <v>-2.5827242416718736E-2</v>
      </c>
      <c r="F51">
        <f>(1+'Risk-free rate'!B63/100)^(1/12)-1</f>
        <v>2.7458493733023559E-4</v>
      </c>
      <c r="G51">
        <f t="shared" si="1"/>
        <v>-7.7319034036047077E-2</v>
      </c>
      <c r="H51">
        <f t="shared" si="2"/>
        <v>-2.6101827354048972E-2</v>
      </c>
      <c r="I51">
        <f t="shared" si="5"/>
        <v>-0.29643871058762572</v>
      </c>
      <c r="J51">
        <f t="shared" si="6"/>
        <v>1.2004070023448328</v>
      </c>
    </row>
    <row r="52" spans="1:10" x14ac:dyDescent="0.2">
      <c r="A52" t="str">
        <f>'MGGIX US_monthly'!A64</f>
        <v>2022-03-31</v>
      </c>
      <c r="B52">
        <f>'MGGIX US_monthly'!B64</f>
        <v>34.029998779296797</v>
      </c>
      <c r="C52">
        <f>'MSCI ACWI Index_monthly'!B64</f>
        <v>368.188827</v>
      </c>
      <c r="D52">
        <f>('MGGIX US_monthly'!B64-'MGGIX US_monthly'!B63)/'MGGIX US_monthly'!B63</f>
        <v>-3.048432311508812E-2</v>
      </c>
      <c r="E52">
        <f>('MSCI ACWI Index_monthly'!B64-'MSCI ACWI Index_monthly'!B63)/'MSCI ACWI Index_monthly'!B63</f>
        <v>2.1659015368304516E-2</v>
      </c>
      <c r="F52">
        <f>(1+'Risk-free rate'!B64/100)^(1/12)-1</f>
        <v>3.6592929423662213E-4</v>
      </c>
      <c r="G52">
        <f t="shared" si="1"/>
        <v>-3.0850252409324742E-2</v>
      </c>
      <c r="H52">
        <f t="shared" si="2"/>
        <v>2.1293086074067893E-2</v>
      </c>
      <c r="I52">
        <f t="shared" si="5"/>
        <v>-0.28993745103607471</v>
      </c>
      <c r="J52">
        <f t="shared" si="6"/>
        <v>1.230391534957413</v>
      </c>
    </row>
    <row r="53" spans="1:10" x14ac:dyDescent="0.2">
      <c r="A53" t="str">
        <f>'MGGIX US_monthly'!A65</f>
        <v>2022-04-29</v>
      </c>
      <c r="B53">
        <f>'MGGIX US_monthly'!B65</f>
        <v>28.940000534057599</v>
      </c>
      <c r="C53">
        <f>'MSCI ACWI Index_monthly'!B65</f>
        <v>338.71831800000001</v>
      </c>
      <c r="D53">
        <f>('MGGIX US_monthly'!B65-'MGGIX US_monthly'!B64)/'MGGIX US_monthly'!B64</f>
        <v>-0.14957385917791616</v>
      </c>
      <c r="E53">
        <f>('MSCI ACWI Index_monthly'!B65-'MSCI ACWI Index_monthly'!B64)/'MSCI ACWI Index_monthly'!B64</f>
        <v>-8.0041834077708152E-2</v>
      </c>
      <c r="F53">
        <f>(1+'Risk-free rate'!B65/100)^(1/12)-1</f>
        <v>6.3113787510671315E-4</v>
      </c>
      <c r="G53">
        <f t="shared" si="1"/>
        <v>-0.15020499705302287</v>
      </c>
      <c r="H53">
        <f t="shared" si="2"/>
        <v>-8.0672971952814865E-2</v>
      </c>
      <c r="I53">
        <f t="shared" si="5"/>
        <v>-0.33015533407642084</v>
      </c>
      <c r="J53">
        <f t="shared" si="6"/>
        <v>1.2373533652895448</v>
      </c>
    </row>
    <row r="54" spans="1:10" x14ac:dyDescent="0.2">
      <c r="A54" t="str">
        <f>'MGGIX US_monthly'!A66</f>
        <v>2022-05-31</v>
      </c>
      <c r="B54">
        <f>'MGGIX US_monthly'!B66</f>
        <v>27.4799995422363</v>
      </c>
      <c r="C54">
        <f>'MSCI ACWI Index_monthly'!B66</f>
        <v>339.11470700000001</v>
      </c>
      <c r="D54">
        <f>('MGGIX US_monthly'!B66-'MGGIX US_monthly'!B65)/'MGGIX US_monthly'!B65</f>
        <v>-5.0449238592899119E-2</v>
      </c>
      <c r="E54">
        <f>('MSCI ACWI Index_monthly'!B66-'MSCI ACWI Index_monthly'!B65)/'MSCI ACWI Index_monthly'!B65</f>
        <v>1.1702614796286251E-3</v>
      </c>
      <c r="F54">
        <f>(1+'Risk-free rate'!B66/100)^(1/12)-1</f>
        <v>8.1302127632687515E-4</v>
      </c>
      <c r="G54">
        <f t="shared" si="1"/>
        <v>-5.1262259869225994E-2</v>
      </c>
      <c r="H54">
        <f t="shared" si="2"/>
        <v>3.5724020330174999E-4</v>
      </c>
      <c r="I54">
        <f t="shared" si="5"/>
        <v>-0.34128654601303798</v>
      </c>
      <c r="J54">
        <f t="shared" si="6"/>
        <v>1.2345532936068799</v>
      </c>
    </row>
    <row r="55" spans="1:10" x14ac:dyDescent="0.2">
      <c r="A55" t="str">
        <f>'MGGIX US_monthly'!A67</f>
        <v>2022-06-30</v>
      </c>
      <c r="B55">
        <f>'MGGIX US_monthly'!B67</f>
        <v>24.7299995422363</v>
      </c>
      <c r="C55">
        <f>'MSCI ACWI Index_monthly'!B67</f>
        <v>310.528572</v>
      </c>
      <c r="D55">
        <f>('MGGIX US_monthly'!B67-'MGGIX US_monthly'!B66)/'MGGIX US_monthly'!B66</f>
        <v>-0.10007278187080375</v>
      </c>
      <c r="E55">
        <f>('MSCI ACWI Index_monthly'!B67-'MSCI ACWI Index_monthly'!B66)/'MSCI ACWI Index_monthly'!B66</f>
        <v>-8.4296358753912767E-2</v>
      </c>
      <c r="F55">
        <f>(1+'Risk-free rate'!B67/100)^(1/12)-1</f>
        <v>1.2332669717645128E-3</v>
      </c>
      <c r="G55">
        <f t="shared" si="1"/>
        <v>-0.10130604884256826</v>
      </c>
      <c r="H55">
        <f t="shared" si="2"/>
        <v>-8.552962572567728E-2</v>
      </c>
      <c r="I55">
        <f t="shared" si="5"/>
        <v>-0.37070318084104747</v>
      </c>
      <c r="J55">
        <f t="shared" si="6"/>
        <v>1.0481898275719739</v>
      </c>
    </row>
    <row r="56" spans="1:10" x14ac:dyDescent="0.2">
      <c r="A56" t="str">
        <f>'MGGIX US_monthly'!A68</f>
        <v>2022-07-29</v>
      </c>
      <c r="B56">
        <f>'MGGIX US_monthly'!B68</f>
        <v>27.600000381469702</v>
      </c>
      <c r="C56">
        <f>'MSCI ACWI Index_monthly'!B68</f>
        <v>332.21356600000001</v>
      </c>
      <c r="D56">
        <f>('MGGIX US_monthly'!B68-'MGGIX US_monthly'!B67)/'MGGIX US_monthly'!B67</f>
        <v>0.11605341254987632</v>
      </c>
      <c r="E56">
        <f>('MSCI ACWI Index_monthly'!B68-'MSCI ACWI Index_monthly'!B67)/'MSCI ACWI Index_monthly'!B67</f>
        <v>6.9832524138873822E-2</v>
      </c>
      <c r="F56">
        <f>(1+'Risk-free rate'!B68/100)^(1/12)-1</f>
        <v>1.8396059010297172E-3</v>
      </c>
      <c r="G56">
        <f t="shared" ref="G56:G85" si="7">D56-$F56</f>
        <v>0.1142138066488466</v>
      </c>
      <c r="H56">
        <f t="shared" ref="H56:H85" si="8">E56-$F56</f>
        <v>6.7992918237844105E-2</v>
      </c>
      <c r="I56">
        <f t="shared" si="5"/>
        <v>-0.30282086413861009</v>
      </c>
      <c r="J56">
        <f t="shared" si="6"/>
        <v>1.2647149500407866</v>
      </c>
    </row>
    <row r="57" spans="1:10" x14ac:dyDescent="0.2">
      <c r="A57" t="str">
        <f>'MGGIX US_monthly'!A69</f>
        <v>2022-08-31</v>
      </c>
      <c r="B57">
        <f>'MGGIX US_monthly'!B69</f>
        <v>26.920000076293899</v>
      </c>
      <c r="C57">
        <f>'MSCI ACWI Index_monthly'!B69</f>
        <v>319.98315700000001</v>
      </c>
      <c r="D57">
        <f>('MGGIX US_monthly'!B69-'MGGIX US_monthly'!B68)/'MGGIX US_monthly'!B68</f>
        <v>-2.4637691875988028E-2</v>
      </c>
      <c r="E57">
        <f>('MSCI ACWI Index_monthly'!B69-'MSCI ACWI Index_monthly'!B68)/'MSCI ACWI Index_monthly'!B68</f>
        <v>-3.6814899365066892E-2</v>
      </c>
      <c r="F57">
        <f>(1+'Risk-free rate'!B69/100)^(1/12)-1</f>
        <v>2.1656835180154932E-3</v>
      </c>
      <c r="G57">
        <f t="shared" si="7"/>
        <v>-2.6803375394003522E-2</v>
      </c>
      <c r="H57">
        <f t="shared" si="8"/>
        <v>-3.8980582883082385E-2</v>
      </c>
      <c r="I57">
        <f t="shared" si="5"/>
        <v>-0.28814438882708659</v>
      </c>
      <c r="J57">
        <f t="shared" si="6"/>
        <v>1.1900710496718514</v>
      </c>
    </row>
    <row r="58" spans="1:10" x14ac:dyDescent="0.2">
      <c r="A58" t="str">
        <f>'MGGIX US_monthly'!A70</f>
        <v>2022-09-30</v>
      </c>
      <c r="B58">
        <f>'MGGIX US_monthly'!B70</f>
        <v>23.7399997711181</v>
      </c>
      <c r="C58">
        <f>'MSCI ACWI Index_monthly'!B70</f>
        <v>289.35139299999997</v>
      </c>
      <c r="D58">
        <f>('MGGIX US_monthly'!B70-'MGGIX US_monthly'!B69)/'MGGIX US_monthly'!B69</f>
        <v>-0.11812779703430047</v>
      </c>
      <c r="E58">
        <f>('MSCI ACWI Index_monthly'!B70-'MSCI ACWI Index_monthly'!B69)/'MSCI ACWI Index_monthly'!B69</f>
        <v>-9.5729301151935425E-2</v>
      </c>
      <c r="F58">
        <f>(1+'Risk-free rate'!B70/100)^(1/12)-1</f>
        <v>2.5716462189622202E-3</v>
      </c>
      <c r="G58">
        <f t="shared" si="7"/>
        <v>-0.12069944325326269</v>
      </c>
      <c r="H58">
        <f t="shared" si="8"/>
        <v>-9.8300947370897646E-2</v>
      </c>
      <c r="I58">
        <f t="shared" si="5"/>
        <v>-0.29910942003600405</v>
      </c>
      <c r="J58">
        <f t="shared" si="6"/>
        <v>1.1541015750094652</v>
      </c>
    </row>
    <row r="59" spans="1:10" x14ac:dyDescent="0.2">
      <c r="A59" t="str">
        <f>'MGGIX US_monthly'!A71</f>
        <v>2022-10-31</v>
      </c>
      <c r="B59">
        <f>'MGGIX US_monthly'!B71</f>
        <v>24.579999923706001</v>
      </c>
      <c r="C59">
        <f>'MSCI ACWI Index_monthly'!B71</f>
        <v>306.81289299999997</v>
      </c>
      <c r="D59">
        <f>('MGGIX US_monthly'!B71-'MGGIX US_monthly'!B70)/'MGGIX US_monthly'!B70</f>
        <v>3.5383326060931093E-2</v>
      </c>
      <c r="E59">
        <f>('MSCI ACWI Index_monthly'!B71-'MSCI ACWI Index_monthly'!B70)/'MSCI ACWI Index_monthly'!B70</f>
        <v>6.0347039697852788E-2</v>
      </c>
      <c r="F59">
        <f>(1+'Risk-free rate'!B71/100)^(1/12)-1</f>
        <v>3.0483680766628662E-3</v>
      </c>
      <c r="G59">
        <f t="shared" si="7"/>
        <v>3.2334957984268227E-2</v>
      </c>
      <c r="H59">
        <f t="shared" si="8"/>
        <v>5.7298671621189921E-2</v>
      </c>
      <c r="I59">
        <f t="shared" si="5"/>
        <v>-0.32645800744070752</v>
      </c>
      <c r="J59">
        <f t="shared" si="6"/>
        <v>1.0999219146380583</v>
      </c>
    </row>
    <row r="60" spans="1:10" x14ac:dyDescent="0.2">
      <c r="A60" t="str">
        <f>'MGGIX US_monthly'!A72</f>
        <v>2022-11-30</v>
      </c>
      <c r="B60">
        <f>'MGGIX US_monthly'!B72</f>
        <v>26.889999389648398</v>
      </c>
      <c r="C60">
        <f>'MSCI ACWI Index_monthly'!B72</f>
        <v>330.610342</v>
      </c>
      <c r="D60">
        <f>('MGGIX US_monthly'!B72-'MGGIX US_monthly'!B71)/'MGGIX US_monthly'!B71</f>
        <v>9.3978823153475069E-2</v>
      </c>
      <c r="E60">
        <f>('MSCI ACWI Index_monthly'!B72-'MSCI ACWI Index_monthly'!B71)/'MSCI ACWI Index_monthly'!B71</f>
        <v>7.7563393009041609E-2</v>
      </c>
      <c r="F60">
        <f>(1+'Risk-free rate'!B72/100)^(1/12)-1</f>
        <v>3.3942459274463044E-3</v>
      </c>
      <c r="G60">
        <f t="shared" si="7"/>
        <v>9.0584577226028765E-2</v>
      </c>
      <c r="H60">
        <f t="shared" si="8"/>
        <v>7.4169147081595305E-2</v>
      </c>
      <c r="I60">
        <f t="shared" si="5"/>
        <v>-0.29108855743805262</v>
      </c>
      <c r="J60">
        <f t="shared" si="6"/>
        <v>1.1824040036982555</v>
      </c>
    </row>
    <row r="61" spans="1:10" x14ac:dyDescent="0.2">
      <c r="A61" t="str">
        <f>'MGGIX US_monthly'!A73</f>
        <v>2022-12-30</v>
      </c>
      <c r="B61">
        <f>'MGGIX US_monthly'!B73</f>
        <v>20.340000152587798</v>
      </c>
      <c r="C61">
        <f>'MSCI ACWI Index_monthly'!B73</f>
        <v>317.60050799999999</v>
      </c>
      <c r="D61">
        <f>('MGGIX US_monthly'!B73-'MGGIX US_monthly'!B72)/'MGGIX US_monthly'!B72</f>
        <v>-0.24358495298375107</v>
      </c>
      <c r="E61">
        <f>('MSCI ACWI Index_monthly'!B73-'MSCI ACWI Index_monthly'!B72)/'MSCI ACWI Index_monthly'!B72</f>
        <v>-3.9350958960624446E-2</v>
      </c>
      <c r="F61">
        <f>(1+'Risk-free rate'!B73/100)^(1/12)-1</f>
        <v>3.474495003497502E-3</v>
      </c>
      <c r="G61">
        <f t="shared" si="7"/>
        <v>-0.24705944798724858</v>
      </c>
      <c r="H61">
        <f t="shared" si="8"/>
        <v>-4.2825453964121948E-2</v>
      </c>
      <c r="I61">
        <f t="shared" si="5"/>
        <v>-0.33424819606842726</v>
      </c>
      <c r="J61">
        <f t="shared" si="6"/>
        <v>1.384460232810967</v>
      </c>
    </row>
    <row r="62" spans="1:10" x14ac:dyDescent="0.2">
      <c r="A62" t="str">
        <f>'MGGIX US_monthly'!A74</f>
        <v>2023-01-31</v>
      </c>
      <c r="B62">
        <f>'MGGIX US_monthly'!B74</f>
        <v>23.659999847412099</v>
      </c>
      <c r="C62">
        <f>'MSCI ACWI Index_monthly'!B74</f>
        <v>340.365115</v>
      </c>
      <c r="D62">
        <f>('MGGIX US_monthly'!B74-'MGGIX US_monthly'!B73)/'MGGIX US_monthly'!B73</f>
        <v>0.1632251558465159</v>
      </c>
      <c r="E62">
        <f>('MSCI ACWI Index_monthly'!B74-'MSCI ACWI Index_monthly'!B73)/'MSCI ACWI Index_monthly'!B73</f>
        <v>7.1676859534494236E-2</v>
      </c>
      <c r="F62">
        <f>(1+'Risk-free rate'!B74/100)^(1/12)-1</f>
        <v>3.7068189305531352E-3</v>
      </c>
      <c r="G62">
        <f t="shared" si="7"/>
        <v>0.15951833691596276</v>
      </c>
      <c r="H62">
        <f t="shared" si="8"/>
        <v>6.7970040603941101E-2</v>
      </c>
      <c r="I62">
        <f t="shared" si="5"/>
        <v>-0.24711939766232005</v>
      </c>
      <c r="J62">
        <f t="shared" si="6"/>
        <v>1.5400798589387228</v>
      </c>
    </row>
    <row r="63" spans="1:10" x14ac:dyDescent="0.2">
      <c r="A63" t="str">
        <f>'MGGIX US_monthly'!A75</f>
        <v>2023-02-28</v>
      </c>
      <c r="B63">
        <f>'MGGIX US_monthly'!B75</f>
        <v>23.0100002288818</v>
      </c>
      <c r="C63">
        <f>'MSCI ACWI Index_monthly'!B75</f>
        <v>330.61025000000001</v>
      </c>
      <c r="D63">
        <f>('MGGIX US_monthly'!B75-'MGGIX US_monthly'!B74)/'MGGIX US_monthly'!B74</f>
        <v>-2.7472511526723212E-2</v>
      </c>
      <c r="E63">
        <f>('MSCI ACWI Index_monthly'!B75-'MSCI ACWI Index_monthly'!B74)/'MSCI ACWI Index_monthly'!B74</f>
        <v>-2.8660002362463015E-2</v>
      </c>
      <c r="F63">
        <f>(1+'Risk-free rate'!B75/100)^(1/12)-1</f>
        <v>3.7947872834442897E-3</v>
      </c>
      <c r="G63">
        <f t="shared" si="7"/>
        <v>-3.1267298810167501E-2</v>
      </c>
      <c r="H63">
        <f t="shared" si="8"/>
        <v>-3.2454789645907305E-2</v>
      </c>
      <c r="I63">
        <f t="shared" si="5"/>
        <v>-0.20501105732173486</v>
      </c>
      <c r="J63">
        <f t="shared" si="6"/>
        <v>1.5114710232670707</v>
      </c>
    </row>
    <row r="64" spans="1:10" x14ac:dyDescent="0.2">
      <c r="A64" t="str">
        <f>'MGGIX US_monthly'!A76</f>
        <v>2023-03-31</v>
      </c>
      <c r="B64">
        <f>'MGGIX US_monthly'!B76</f>
        <v>24.520000457763601</v>
      </c>
      <c r="C64">
        <f>'MSCI ACWI Index_monthly'!B76</f>
        <v>340.80381699999998</v>
      </c>
      <c r="D64">
        <f>('MGGIX US_monthly'!B76-'MGGIX US_monthly'!B75)/'MGGIX US_monthly'!B75</f>
        <v>6.5623651189123902E-2</v>
      </c>
      <c r="E64">
        <f>('MSCI ACWI Index_monthly'!B76-'MSCI ACWI Index_monthly'!B75)/'MSCI ACWI Index_monthly'!B75</f>
        <v>3.083258005461105E-2</v>
      </c>
      <c r="F64">
        <f>(1+'Risk-free rate'!B76/100)^(1/12)-1</f>
        <v>3.8267547616503972E-3</v>
      </c>
      <c r="G64">
        <f t="shared" si="7"/>
        <v>6.1796896427473505E-2</v>
      </c>
      <c r="H64">
        <f t="shared" si="8"/>
        <v>2.7005825292960653E-2</v>
      </c>
      <c r="I64">
        <f t="shared" si="5"/>
        <v>-0.13002613631839877</v>
      </c>
      <c r="J64">
        <f t="shared" si="6"/>
        <v>1.5680203365782415</v>
      </c>
    </row>
    <row r="65" spans="1:10" x14ac:dyDescent="0.2">
      <c r="A65" t="str">
        <f>'MGGIX US_monthly'!A77</f>
        <v>2023-04-28</v>
      </c>
      <c r="B65">
        <f>'MGGIX US_monthly'!B77</f>
        <v>24.659999847412099</v>
      </c>
      <c r="C65">
        <f>'MSCI ACWI Index_monthly'!B77</f>
        <v>345.70204200000001</v>
      </c>
      <c r="D65">
        <f>('MGGIX US_monthly'!B77-'MGGIX US_monthly'!B76)/'MGGIX US_monthly'!B76</f>
        <v>5.7095997975061558E-3</v>
      </c>
      <c r="E65">
        <f>('MSCI ACWI Index_monthly'!B77-'MSCI ACWI Index_monthly'!B76)/'MSCI ACWI Index_monthly'!B76</f>
        <v>1.4372564964552687E-2</v>
      </c>
      <c r="F65">
        <f>(1+'Risk-free rate'!B77/100)^(1/12)-1</f>
        <v>4.0103507726252374E-3</v>
      </c>
      <c r="G65">
        <f t="shared" si="7"/>
        <v>1.6992490248809184E-3</v>
      </c>
      <c r="H65">
        <f t="shared" si="8"/>
        <v>1.0362214191927449E-2</v>
      </c>
      <c r="I65">
        <f t="shared" si="5"/>
        <v>-0.12177183581077733</v>
      </c>
      <c r="J65">
        <f t="shared" si="6"/>
        <v>1.5427213299065667</v>
      </c>
    </row>
    <row r="66" spans="1:10" x14ac:dyDescent="0.2">
      <c r="A66" t="str">
        <f>'MGGIX US_monthly'!A78</f>
        <v>2023-05-31</v>
      </c>
      <c r="B66">
        <f>'MGGIX US_monthly'!B78</f>
        <v>25.590000152587798</v>
      </c>
      <c r="C66">
        <f>'MSCI ACWI Index_monthly'!B78</f>
        <v>341.999393</v>
      </c>
      <c r="D66">
        <f>('MGGIX US_monthly'!B78-'MGGIX US_monthly'!B77)/'MGGIX US_monthly'!B77</f>
        <v>3.7712907985816425E-2</v>
      </c>
      <c r="E66">
        <f>('MSCI ACWI Index_monthly'!B78-'MSCI ACWI Index_monthly'!B77)/'MSCI ACWI Index_monthly'!B77</f>
        <v>-1.0710521056164338E-2</v>
      </c>
      <c r="F66">
        <f>(1+'Risk-free rate'!B78/100)^(1/12)-1</f>
        <v>4.1856194553282489E-3</v>
      </c>
      <c r="G66">
        <f t="shared" si="7"/>
        <v>3.3527288530488177E-2</v>
      </c>
      <c r="H66">
        <f t="shared" si="8"/>
        <v>-1.4896140511492587E-2</v>
      </c>
      <c r="I66">
        <f t="shared" si="5"/>
        <v>-2.081125194508604E-2</v>
      </c>
      <c r="J66">
        <f t="shared" si="6"/>
        <v>1.5201468474926165</v>
      </c>
    </row>
    <row r="67" spans="1:10" x14ac:dyDescent="0.2">
      <c r="A67" t="str">
        <f>'MGGIX US_monthly'!A79</f>
        <v>2023-06-30</v>
      </c>
      <c r="B67">
        <f>'MGGIX US_monthly'!B79</f>
        <v>27.329999923706001</v>
      </c>
      <c r="C67">
        <f>'MSCI ACWI Index_monthly'!B79</f>
        <v>361.856199</v>
      </c>
      <c r="D67">
        <f>('MGGIX US_monthly'!B79-'MGGIX US_monthly'!B78)/'MGGIX US_monthly'!B78</f>
        <v>6.7995301318599058E-2</v>
      </c>
      <c r="E67">
        <f>('MSCI ACWI Index_monthly'!B79-'MSCI ACWI Index_monthly'!B78)/'MSCI ACWI Index_monthly'!B78</f>
        <v>5.8060939306988787E-2</v>
      </c>
      <c r="F67">
        <f>(1+'Risk-free rate'!B79/100)^(1/12)-1</f>
        <v>4.2015362976310922E-3</v>
      </c>
      <c r="G67">
        <f t="shared" si="7"/>
        <v>6.3793765020967966E-2</v>
      </c>
      <c r="H67">
        <f t="shared" si="8"/>
        <v>5.3859403009357695E-2</v>
      </c>
      <c r="I67">
        <f t="shared" si="5"/>
        <v>-7.3672228348967694E-2</v>
      </c>
      <c r="J67">
        <f t="shared" si="6"/>
        <v>1.5847749307241941</v>
      </c>
    </row>
    <row r="68" spans="1:10" x14ac:dyDescent="0.2">
      <c r="A68" t="str">
        <f>'MGGIX US_monthly'!A80</f>
        <v>2023-07-31</v>
      </c>
      <c r="B68">
        <f>'MGGIX US_monthly'!B80</f>
        <v>28.75</v>
      </c>
      <c r="C68">
        <f>'MSCI ACWI Index_monthly'!B80</f>
        <v>375.10301399999997</v>
      </c>
      <c r="D68">
        <f>('MGGIX US_monthly'!B80-'MGGIX US_monthly'!B79)/'MGGIX US_monthly'!B79</f>
        <v>5.1957558736115933E-2</v>
      </c>
      <c r="E68">
        <f>('MSCI ACWI Index_monthly'!B80-'MSCI ACWI Index_monthly'!B79)/'MSCI ACWI Index_monthly'!B79</f>
        <v>3.6607953757895884E-2</v>
      </c>
      <c r="F68">
        <f>(1+'Risk-free rate'!B80/100)^(1/12)-1</f>
        <v>4.2731277661580691E-3</v>
      </c>
      <c r="G68">
        <f t="shared" si="7"/>
        <v>4.7684430969957864E-2</v>
      </c>
      <c r="H68">
        <f t="shared" si="8"/>
        <v>3.2334825991737814E-2</v>
      </c>
      <c r="I68">
        <f t="shared" si="5"/>
        <v>-8.1016770316954312E-2</v>
      </c>
      <c r="J68">
        <f t="shared" si="6"/>
        <v>1.5626665072728974</v>
      </c>
    </row>
    <row r="69" spans="1:10" x14ac:dyDescent="0.2">
      <c r="A69" t="str">
        <f>'MGGIX US_monthly'!A81</f>
        <v>2023-08-31</v>
      </c>
      <c r="B69">
        <f>'MGGIX US_monthly'!B81</f>
        <v>27.7600002288818</v>
      </c>
      <c r="C69">
        <f>'MSCI ACWI Index_monthly'!B81</f>
        <v>364.62116600000002</v>
      </c>
      <c r="D69">
        <f>('MGGIX US_monthly'!B81-'MGGIX US_monthly'!B80)/'MGGIX US_monthly'!B80</f>
        <v>-3.4434774647589553E-2</v>
      </c>
      <c r="E69">
        <f>('MSCI ACWI Index_monthly'!B81-'MSCI ACWI Index_monthly'!B80)/'MSCI ACWI Index_monthly'!B80</f>
        <v>-2.7943918360517246E-2</v>
      </c>
      <c r="F69">
        <f>(1+'Risk-free rate'!B81/100)^(1/12)-1</f>
        <v>4.3128765598297036E-3</v>
      </c>
      <c r="G69">
        <f t="shared" si="7"/>
        <v>-3.8747651207419256E-2</v>
      </c>
      <c r="H69">
        <f t="shared" si="8"/>
        <v>-3.225679492034695E-2</v>
      </c>
      <c r="I69">
        <f t="shared" si="5"/>
        <v>-0.10512453747901374</v>
      </c>
      <c r="J69">
        <f t="shared" si="6"/>
        <v>1.6009615117448863</v>
      </c>
    </row>
    <row r="70" spans="1:10" x14ac:dyDescent="0.2">
      <c r="A70" t="str">
        <f>'MGGIX US_monthly'!A82</f>
        <v>2023-09-29</v>
      </c>
      <c r="B70">
        <f>'MGGIX US_monthly'!B82</f>
        <v>25.9899997711181</v>
      </c>
      <c r="C70">
        <f>'MSCI ACWI Index_monthly'!B82</f>
        <v>349.54377599999998</v>
      </c>
      <c r="D70">
        <f>('MGGIX US_monthly'!B82-'MGGIX US_monthly'!B81)/'MGGIX US_monthly'!B81</f>
        <v>-6.3760822880763984E-2</v>
      </c>
      <c r="E70">
        <f>('MSCI ACWI Index_monthly'!B82-'MSCI ACWI Index_monthly'!B81)/'MSCI ACWI Index_monthly'!B81</f>
        <v>-4.1350835897442213E-2</v>
      </c>
      <c r="F70">
        <f>(1+'Risk-free rate'!B82/100)^(1/12)-1</f>
        <v>4.3287712331259165E-3</v>
      </c>
      <c r="G70">
        <f t="shared" si="7"/>
        <v>-6.8089594113889901E-2</v>
      </c>
      <c r="H70">
        <f t="shared" si="8"/>
        <v>-4.567960713056813E-2</v>
      </c>
      <c r="I70">
        <f t="shared" si="5"/>
        <v>-0.15878977065553168</v>
      </c>
      <c r="J70">
        <f t="shared" si="6"/>
        <v>1.7912977697182708</v>
      </c>
    </row>
    <row r="71" spans="1:10" x14ac:dyDescent="0.2">
      <c r="A71" t="str">
        <f>'MGGIX US_monthly'!A83</f>
        <v>2023-10-31</v>
      </c>
      <c r="B71">
        <f>'MGGIX US_monthly'!B83</f>
        <v>25.309999465942301</v>
      </c>
      <c r="C71">
        <f>'MSCI ACWI Index_monthly'!B83</f>
        <v>339.03409499999998</v>
      </c>
      <c r="D71">
        <f>('MGGIX US_monthly'!B83-'MGGIX US_monthly'!B82)/'MGGIX US_monthly'!B82</f>
        <v>-2.6163921168305002E-2</v>
      </c>
      <c r="E71">
        <f>('MSCI ACWI Index_monthly'!B83-'MSCI ACWI Index_monthly'!B82)/'MSCI ACWI Index_monthly'!B82</f>
        <v>-3.0066852055749382E-2</v>
      </c>
      <c r="F71">
        <f>(1+'Risk-free rate'!B83/100)^(1/12)-1</f>
        <v>4.3446631398347257E-3</v>
      </c>
      <c r="G71">
        <f t="shared" si="7"/>
        <v>-3.0508584308139727E-2</v>
      </c>
      <c r="H71">
        <f t="shared" si="8"/>
        <v>-3.4411515195584108E-2</v>
      </c>
      <c r="I71">
        <f t="shared" si="5"/>
        <v>-7.100707841866194E-2</v>
      </c>
      <c r="J71">
        <f t="shared" si="6"/>
        <v>1.8418137130674226</v>
      </c>
    </row>
    <row r="72" spans="1:10" x14ac:dyDescent="0.2">
      <c r="A72" t="str">
        <f>'MGGIX US_monthly'!A84</f>
        <v>2023-11-30</v>
      </c>
      <c r="B72">
        <f>'MGGIX US_monthly'!B84</f>
        <v>29.059999465942301</v>
      </c>
      <c r="C72">
        <f>'MSCI ACWI Index_monthly'!B84</f>
        <v>370.32553300000001</v>
      </c>
      <c r="D72">
        <f>('MGGIX US_monthly'!B84-'MGGIX US_monthly'!B83)/'MGGIX US_monthly'!B83</f>
        <v>0.14816278463561738</v>
      </c>
      <c r="E72">
        <f>('MSCI ACWI Index_monthly'!B84-'MSCI ACWI Index_monthly'!B83)/'MSCI ACWI Index_monthly'!B83</f>
        <v>9.22958441687112E-2</v>
      </c>
      <c r="F72">
        <f>(1+'Risk-free rate'!B84/100)^(1/12)-1</f>
        <v>4.2890293603305985E-3</v>
      </c>
      <c r="G72">
        <f t="shared" si="7"/>
        <v>0.14387375527528679</v>
      </c>
      <c r="H72">
        <f t="shared" si="8"/>
        <v>8.8006814808380601E-2</v>
      </c>
      <c r="I72">
        <f t="shared" si="5"/>
        <v>-4.9935414167672998E-2</v>
      </c>
      <c r="J72">
        <f t="shared" si="6"/>
        <v>1.913102870705528</v>
      </c>
    </row>
    <row r="73" spans="1:10" x14ac:dyDescent="0.2">
      <c r="A73" t="str">
        <f>'MGGIX US_monthly'!A85</f>
        <v>2023-12-29</v>
      </c>
      <c r="B73">
        <f>'MGGIX US_monthly'!B85</f>
        <v>29.809999465942301</v>
      </c>
      <c r="C73">
        <f>'MSCI ACWI Index_monthly'!B85</f>
        <v>388.11373900000001</v>
      </c>
      <c r="D73">
        <f>('MGGIX US_monthly'!B85-'MGGIX US_monthly'!B84)/'MGGIX US_monthly'!B84</f>
        <v>2.580867218800138E-2</v>
      </c>
      <c r="E73">
        <f>('MSCI ACWI Index_monthly'!B85-'MSCI ACWI Index_monthly'!B84)/'MSCI ACWI Index_monthly'!B84</f>
        <v>4.8033971235788384E-2</v>
      </c>
      <c r="F73">
        <f>(1+'Risk-free rate'!B85/100)^(1/12)-1</f>
        <v>4.2651759303415915E-3</v>
      </c>
      <c r="G73">
        <f t="shared" si="7"/>
        <v>2.1543496257659788E-2</v>
      </c>
      <c r="H73">
        <f t="shared" si="8"/>
        <v>4.3768795305446792E-2</v>
      </c>
      <c r="I73">
        <f t="shared" si="5"/>
        <v>0.13898290220343035</v>
      </c>
      <c r="J73">
        <f t="shared" si="6"/>
        <v>1.4301176538774256</v>
      </c>
    </row>
    <row r="74" spans="1:10" x14ac:dyDescent="0.2">
      <c r="A74" t="str">
        <f>'MGGIX US_monthly'!A86</f>
        <v>2024-01-31</v>
      </c>
      <c r="B74">
        <f>'MGGIX US_monthly'!B86</f>
        <v>30.399999618530199</v>
      </c>
      <c r="C74">
        <f>'MSCI ACWI Index_monthly'!B86</f>
        <v>390.38896699999998</v>
      </c>
      <c r="D74">
        <f>('MGGIX US_monthly'!B86-'MGGIX US_monthly'!B85)/'MGGIX US_monthly'!B85</f>
        <v>1.979202157524251E-2</v>
      </c>
      <c r="E74">
        <f>('MSCI ACWI Index_monthly'!B86-'MSCI ACWI Index_monthly'!B85)/'MSCI ACWI Index_monthly'!B85</f>
        <v>5.8622712142637392E-3</v>
      </c>
      <c r="F74">
        <f>(1+'Risk-free rate'!B86/100)^(1/12)-1</f>
        <v>4.2492701806178257E-3</v>
      </c>
      <c r="G74">
        <f t="shared" si="7"/>
        <v>1.5542751394624684E-2</v>
      </c>
      <c r="H74">
        <f t="shared" si="8"/>
        <v>1.6130010336459135E-3</v>
      </c>
      <c r="I74">
        <f t="shared" si="5"/>
        <v>0.10186335253248457</v>
      </c>
      <c r="J74">
        <f t="shared" si="6"/>
        <v>1.2694097596163212</v>
      </c>
    </row>
    <row r="75" spans="1:10" x14ac:dyDescent="0.2">
      <c r="A75" t="str">
        <f>'MGGIX US_monthly'!A87</f>
        <v>2024-02-29</v>
      </c>
      <c r="B75">
        <f>'MGGIX US_monthly'!B87</f>
        <v>33.220001220703097</v>
      </c>
      <c r="C75">
        <f>'MSCI ACWI Index_monthly'!B87</f>
        <v>407.14185700000002</v>
      </c>
      <c r="D75">
        <f>('MGGIX US_monthly'!B87-'MGGIX US_monthly'!B86)/'MGGIX US_monthly'!B86</f>
        <v>9.2763211761817815E-2</v>
      </c>
      <c r="E75">
        <f>('MSCI ACWI Index_monthly'!B87-'MSCI ACWI Index_monthly'!B86)/'MSCI ACWI Index_monthly'!B86</f>
        <v>4.2913328541889957E-2</v>
      </c>
      <c r="F75">
        <f>(1+'Risk-free rate'!B87/100)^(1/12)-1</f>
        <v>4.2651759303415915E-3</v>
      </c>
      <c r="G75">
        <f t="shared" si="7"/>
        <v>8.8498035831476224E-2</v>
      </c>
      <c r="H75">
        <f t="shared" si="8"/>
        <v>3.8648152611548366E-2</v>
      </c>
      <c r="I75">
        <f t="shared" si="5"/>
        <v>0.12565479417022063</v>
      </c>
      <c r="J75">
        <f t="shared" si="6"/>
        <v>1.3166421106911537</v>
      </c>
    </row>
    <row r="76" spans="1:10" x14ac:dyDescent="0.2">
      <c r="A76" t="str">
        <f>'MGGIX US_monthly'!A88</f>
        <v>2024-03-29</v>
      </c>
      <c r="B76">
        <f>'MGGIX US_monthly'!B88</f>
        <v>33.569999694824197</v>
      </c>
      <c r="C76">
        <f>'MSCI ACWI Index_monthly'!B88</f>
        <v>419.92483499999997</v>
      </c>
      <c r="D76">
        <f>('MGGIX US_monthly'!B88-'MGGIX US_monthly'!B87)/'MGGIX US_monthly'!B87</f>
        <v>1.0535775474414422E-2</v>
      </c>
      <c r="E76">
        <f>('MSCI ACWI Index_monthly'!B88-'MSCI ACWI Index_monthly'!B87)/'MSCI ACWI Index_monthly'!B87</f>
        <v>3.1396865196299278E-2</v>
      </c>
      <c r="F76">
        <f>(1+'Risk-free rate'!B88/100)^(1/12)-1</f>
        <v>4.2651759303415915E-3</v>
      </c>
      <c r="G76">
        <f t="shared" si="7"/>
        <v>6.2705995440728302E-3</v>
      </c>
      <c r="H76">
        <f t="shared" si="8"/>
        <v>2.7131689265957687E-2</v>
      </c>
      <c r="I76">
        <f t="shared" si="5"/>
        <v>7.2312069517813438E-2</v>
      </c>
      <c r="J76">
        <f t="shared" si="6"/>
        <v>1.2765066846624311</v>
      </c>
    </row>
    <row r="77" spans="1:10" x14ac:dyDescent="0.2">
      <c r="A77" t="str">
        <f>'MGGIX US_monthly'!A89</f>
        <v>2024-04-30</v>
      </c>
      <c r="B77">
        <f>'MGGIX US_monthly'!B89</f>
        <v>31.870000839233398</v>
      </c>
      <c r="C77">
        <f>'MSCI ACWI Index_monthly'!B89</f>
        <v>406.07026400000001</v>
      </c>
      <c r="D77">
        <f>('MGGIX US_monthly'!B89-'MGGIX US_monthly'!B88)/'MGGIX US_monthly'!B88</f>
        <v>-5.0640419155347914E-2</v>
      </c>
      <c r="E77">
        <f>('MSCI ACWI Index_monthly'!B89-'MSCI ACWI Index_monthly'!B88)/'MSCI ACWI Index_monthly'!B88</f>
        <v>-3.2992978374332078E-2</v>
      </c>
      <c r="F77">
        <f>(1+'Risk-free rate'!B89/100)^(1/12)-1</f>
        <v>4.2651759303415915E-3</v>
      </c>
      <c r="G77">
        <f t="shared" si="7"/>
        <v>-5.4905595085689506E-2</v>
      </c>
      <c r="H77">
        <f t="shared" si="8"/>
        <v>-3.725815430467367E-2</v>
      </c>
      <c r="I77">
        <f t="shared" si="5"/>
        <v>7.2827310748774909E-2</v>
      </c>
      <c r="J77">
        <f t="shared" si="6"/>
        <v>1.3071178653809103</v>
      </c>
    </row>
    <row r="78" spans="1:10" x14ac:dyDescent="0.2">
      <c r="A78" t="str">
        <f>'MGGIX US_monthly'!A90</f>
        <v>2024-05-31</v>
      </c>
      <c r="B78">
        <f>'MGGIX US_monthly'!B90</f>
        <v>32.049999237060497</v>
      </c>
      <c r="C78">
        <f>'MSCI ACWI Index_monthly'!B90</f>
        <v>422.56224500000002</v>
      </c>
      <c r="D78">
        <f>('MGGIX US_monthly'!B90-'MGGIX US_monthly'!B89)/'MGGIX US_monthly'!B89</f>
        <v>5.6478943547912499E-3</v>
      </c>
      <c r="E78">
        <f>('MSCI ACWI Index_monthly'!B90-'MSCI ACWI Index_monthly'!B89)/'MSCI ACWI Index_monthly'!B89</f>
        <v>4.0613614101031564E-2</v>
      </c>
      <c r="F78">
        <f>(1+'Risk-free rate'!B90/100)^(1/12)-1</f>
        <v>4.2731277661580691E-3</v>
      </c>
      <c r="G78">
        <f t="shared" si="7"/>
        <v>1.3747665886331807E-3</v>
      </c>
      <c r="H78">
        <f t="shared" si="8"/>
        <v>3.6340486334873495E-2</v>
      </c>
      <c r="I78">
        <f t="shared" si="5"/>
        <v>-3.0168559783592674E-2</v>
      </c>
      <c r="J78">
        <f t="shared" si="6"/>
        <v>1.3185818354682037</v>
      </c>
    </row>
    <row r="79" spans="1:10" x14ac:dyDescent="0.2">
      <c r="A79" t="str">
        <f>'MGGIX US_monthly'!A91</f>
        <v>2024-06-28</v>
      </c>
      <c r="B79">
        <f>'MGGIX US_monthly'!B91</f>
        <v>33.330001831054602</v>
      </c>
      <c r="C79">
        <f>'MSCI ACWI Index_monthly'!B91</f>
        <v>431.97360800000001</v>
      </c>
      <c r="D79">
        <f>('MGGIX US_monthly'!B91-'MGGIX US_monthly'!B90)/'MGGIX US_monthly'!B90</f>
        <v>3.9937679390456733E-2</v>
      </c>
      <c r="E79">
        <f>('MSCI ACWI Index_monthly'!B91-'MSCI ACWI Index_monthly'!B90)/'MSCI ACWI Index_monthly'!B90</f>
        <v>2.2272134132570207E-2</v>
      </c>
      <c r="F79">
        <f>(1+'Risk-free rate'!B91/100)^(1/12)-1</f>
        <v>4.2651759303415915E-3</v>
      </c>
      <c r="G79">
        <f t="shared" si="7"/>
        <v>3.5672503460115142E-2</v>
      </c>
      <c r="H79">
        <f t="shared" si="8"/>
        <v>1.8006958202228616E-2</v>
      </c>
      <c r="I79">
        <f t="shared" si="5"/>
        <v>-1.3501909603450768E-2</v>
      </c>
      <c r="J79">
        <f t="shared" si="6"/>
        <v>1.3343283890829711</v>
      </c>
    </row>
    <row r="80" spans="1:10" x14ac:dyDescent="0.2">
      <c r="A80" t="str">
        <f>'MGGIX US_monthly'!A92</f>
        <v>2024-07-31</v>
      </c>
      <c r="B80">
        <f>'MGGIX US_monthly'!B92</f>
        <v>32.569999694824197</v>
      </c>
      <c r="C80">
        <f>'MSCI ACWI Index_monthly'!B92</f>
        <v>438.94025599999998</v>
      </c>
      <c r="D80">
        <f>('MGGIX US_monthly'!B92-'MGGIX US_monthly'!B91)/'MGGIX US_monthly'!B91</f>
        <v>-2.2802343068648954E-2</v>
      </c>
      <c r="E80">
        <f>('MSCI ACWI Index_monthly'!B92-'MSCI ACWI Index_monthly'!B91)/'MSCI ACWI Index_monthly'!B91</f>
        <v>1.6127485269887051E-2</v>
      </c>
      <c r="F80">
        <f>(1+'Risk-free rate'!B92/100)^(1/12)-1</f>
        <v>4.2333616592649115E-3</v>
      </c>
      <c r="G80">
        <f t="shared" si="7"/>
        <v>-2.7035704727913865E-2</v>
      </c>
      <c r="H80">
        <f t="shared" si="8"/>
        <v>1.1894123610622139E-2</v>
      </c>
      <c r="I80">
        <f t="shared" si="5"/>
        <v>-5.8018927585106628E-2</v>
      </c>
      <c r="J80">
        <f t="shared" si="6"/>
        <v>1.322150679093691</v>
      </c>
    </row>
    <row r="81" spans="1:10" x14ac:dyDescent="0.2">
      <c r="A81" t="str">
        <f>'MGGIX US_monthly'!A93</f>
        <v>2024-08-30</v>
      </c>
      <c r="B81">
        <f>'MGGIX US_monthly'!B93</f>
        <v>34.639999389648402</v>
      </c>
      <c r="C81">
        <f>'MSCI ACWI Index_monthly'!B93</f>
        <v>450.08780300000001</v>
      </c>
      <c r="D81">
        <f>('MGGIX US_monthly'!B93-'MGGIX US_monthly'!B92)/'MGGIX US_monthly'!B92</f>
        <v>6.3555410322989808E-2</v>
      </c>
      <c r="E81">
        <f>('MSCI ACWI Index_monthly'!B93-'MSCI ACWI Index_monthly'!B92)/'MSCI ACWI Index_monthly'!B92</f>
        <v>2.5396501796362991E-2</v>
      </c>
      <c r="F81">
        <f>(1+'Risk-free rate'!B93/100)^(1/12)-1</f>
        <v>4.1139593013970188E-3</v>
      </c>
      <c r="G81">
        <f t="shared" si="7"/>
        <v>5.9441451021592789E-2</v>
      </c>
      <c r="H81">
        <f t="shared" si="8"/>
        <v>2.1282542494965973E-2</v>
      </c>
      <c r="I81">
        <f t="shared" si="5"/>
        <v>-3.8455860188973401E-2</v>
      </c>
      <c r="J81">
        <f t="shared" si="6"/>
        <v>1.3630813930462704</v>
      </c>
    </row>
    <row r="82" spans="1:10" x14ac:dyDescent="0.2">
      <c r="A82" t="str">
        <f>'MGGIX US_monthly'!A94</f>
        <v>2024-09-30</v>
      </c>
      <c r="B82">
        <f>'MGGIX US_monthly'!B94</f>
        <v>36.580001831054602</v>
      </c>
      <c r="C82">
        <f>'MSCI ACWI Index_monthly'!B94</f>
        <v>460.54383300000001</v>
      </c>
      <c r="D82">
        <f>('MGGIX US_monthly'!B94-'MGGIX US_monthly'!B93)/'MGGIX US_monthly'!B93</f>
        <v>5.6004690403832345E-2</v>
      </c>
      <c r="E82">
        <f>('MSCI ACWI Index_monthly'!B94-'MSCI ACWI Index_monthly'!B93)/'MSCI ACWI Index_monthly'!B93</f>
        <v>2.3231089423678512E-2</v>
      </c>
      <c r="F82">
        <f>(1+'Risk-free rate'!B94/100)^(1/12)-1</f>
        <v>3.8507230235700352E-3</v>
      </c>
      <c r="G82">
        <f t="shared" si="7"/>
        <v>5.215396738026231E-2</v>
      </c>
      <c r="H82">
        <f t="shared" si="8"/>
        <v>1.9380366400108477E-2</v>
      </c>
      <c r="I82">
        <f t="shared" si="5"/>
        <v>-4.3645913851567686E-3</v>
      </c>
      <c r="J82">
        <f t="shared" si="6"/>
        <v>1.349361731440446</v>
      </c>
    </row>
    <row r="83" spans="1:10" x14ac:dyDescent="0.2">
      <c r="A83" t="str">
        <f>'MGGIX US_monthly'!A95</f>
        <v>2024-10-31</v>
      </c>
      <c r="B83">
        <f>'MGGIX US_monthly'!B95</f>
        <v>36.990001678466797</v>
      </c>
      <c r="C83">
        <f>'MSCI ACWI Index_monthly'!B95</f>
        <v>450.20609000000002</v>
      </c>
      <c r="D83">
        <f>('MGGIX US_monthly'!B95-'MGGIX US_monthly'!B94)/'MGGIX US_monthly'!B94</f>
        <v>1.1208305819824349E-2</v>
      </c>
      <c r="E83">
        <f>('MSCI ACWI Index_monthly'!B95-'MSCI ACWI Index_monthly'!B94)/'MSCI ACWI Index_monthly'!B94</f>
        <v>-2.244681669638162E-2</v>
      </c>
      <c r="F83">
        <f>(1+'Risk-free rate'!B95/100)^(1/12)-1</f>
        <v>3.6828128357737633E-3</v>
      </c>
      <c r="G83">
        <f t="shared" si="7"/>
        <v>7.5254929840505858E-3</v>
      </c>
      <c r="H83">
        <f t="shared" si="8"/>
        <v>-2.6129629532155384E-2</v>
      </c>
      <c r="I83">
        <f t="shared" si="5"/>
        <v>4.6532124822677767E-2</v>
      </c>
      <c r="J83">
        <f t="shared" si="6"/>
        <v>1.2542475870474679</v>
      </c>
    </row>
    <row r="84" spans="1:10" x14ac:dyDescent="0.2">
      <c r="A84" t="str">
        <f>'MGGIX US_monthly'!A96</f>
        <v>2024-11-29</v>
      </c>
      <c r="B84">
        <f>'MGGIX US_monthly'!B96</f>
        <v>39.200000762939403</v>
      </c>
      <c r="C84">
        <f>'MSCI ACWI Index_monthly'!B96</f>
        <v>467.045456</v>
      </c>
      <c r="D84">
        <f>('MGGIX US_monthly'!B96-'MGGIX US_monthly'!B95)/'MGGIX US_monthly'!B95</f>
        <v>5.9745849802410961E-2</v>
      </c>
      <c r="E84">
        <f>('MSCI ACWI Index_monthly'!B96-'MSCI ACWI Index_monthly'!B95)/'MSCI ACWI Index_monthly'!B95</f>
        <v>3.7403683277585122E-2</v>
      </c>
      <c r="F84">
        <f>(1+'Risk-free rate'!B96/100)^(1/12)-1</f>
        <v>3.6107566318024364E-3</v>
      </c>
      <c r="G84">
        <f t="shared" si="7"/>
        <v>5.6135093170608524E-2</v>
      </c>
      <c r="H84">
        <f t="shared" si="8"/>
        <v>3.3792926645782685E-2</v>
      </c>
      <c r="I84">
        <f t="shared" si="5"/>
        <v>8.1564627788404342E-2</v>
      </c>
      <c r="J84">
        <f t="shared" si="6"/>
        <v>0.97389604669734531</v>
      </c>
    </row>
    <row r="85" spans="1:10" x14ac:dyDescent="0.2">
      <c r="A85" t="str">
        <f>'MGGIX US_monthly'!A97</f>
        <v>2024-12-31</v>
      </c>
      <c r="B85">
        <f>'MGGIX US_monthly'!B97</f>
        <v>35.139999389648402</v>
      </c>
      <c r="C85">
        <f>'MSCI ACWI Index_monthly'!B97</f>
        <v>455.98973100000001</v>
      </c>
      <c r="D85">
        <f>('MGGIX US_monthly'!B97-'MGGIX US_monthly'!B96)/'MGGIX US_monthly'!B96</f>
        <v>-0.10357146158857787</v>
      </c>
      <c r="E85">
        <f>('MSCI ACWI Index_monthly'!B97-'MSCI ACWI Index_monthly'!B96)/'MSCI ACWI Index_monthly'!B96</f>
        <v>-2.3671625230414394E-2</v>
      </c>
      <c r="F85">
        <f>(1+'Risk-free rate'!B97/100)^(1/12)-1</f>
        <v>3.4905363507502507E-3</v>
      </c>
      <c r="G85">
        <f t="shared" si="7"/>
        <v>-0.10706199793932812</v>
      </c>
      <c r="H85">
        <f t="shared" si="8"/>
        <v>-2.7162161581164645E-2</v>
      </c>
      <c r="I85">
        <f t="shared" si="5"/>
        <v>-4.3901836455746968E-2</v>
      </c>
      <c r="J85">
        <f t="shared" si="6"/>
        <v>1.5179659706749198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0F2D-A858-4E12-B4EE-87381E551339}">
  <dimension ref="A1:Q97"/>
  <sheetViews>
    <sheetView tabSelected="1" workbookViewId="0">
      <selection activeCell="L10" sqref="L10"/>
    </sheetView>
  </sheetViews>
  <sheetFormatPr baseColWidth="10" defaultRowHeight="16" x14ac:dyDescent="0.2"/>
  <cols>
    <col min="2" max="3" width="11.83203125" bestFit="1" customWidth="1"/>
    <col min="12" max="12" width="11.83203125" bestFit="1" customWidth="1"/>
    <col min="14" max="14" width="14.33203125" bestFit="1" customWidth="1"/>
    <col min="15" max="15" width="12.5" bestFit="1" customWidth="1"/>
    <col min="16" max="16" width="11.5" bestFit="1" customWidth="1"/>
  </cols>
  <sheetData>
    <row r="1" spans="1:17" ht="48" x14ac:dyDescent="0.2">
      <c r="A1" s="21" t="s">
        <v>1</v>
      </c>
      <c r="B1" s="21" t="s">
        <v>122</v>
      </c>
      <c r="C1" s="21" t="s">
        <v>123</v>
      </c>
      <c r="D1" s="21" t="s">
        <v>127</v>
      </c>
      <c r="E1" s="21" t="s">
        <v>128</v>
      </c>
      <c r="F1" s="21" t="s">
        <v>129</v>
      </c>
      <c r="G1" s="21" t="s">
        <v>130</v>
      </c>
      <c r="H1" s="21" t="s">
        <v>131</v>
      </c>
      <c r="I1" s="21" t="s">
        <v>132</v>
      </c>
      <c r="J1" s="21"/>
      <c r="L1" s="21" t="s">
        <v>127</v>
      </c>
      <c r="M1" s="21" t="s">
        <v>128</v>
      </c>
      <c r="N1" s="21" t="s">
        <v>129</v>
      </c>
      <c r="O1" s="21" t="s">
        <v>130</v>
      </c>
      <c r="P1" s="21" t="s">
        <v>131</v>
      </c>
      <c r="Q1" s="21" t="s">
        <v>132</v>
      </c>
    </row>
    <row r="2" spans="1:17" x14ac:dyDescent="0.2">
      <c r="A2" s="11" t="str">
        <f>'MGGIX US_monthly'!A2</f>
        <v>2017-01-31</v>
      </c>
      <c r="B2" s="11"/>
      <c r="C2" s="11"/>
      <c r="K2" t="s">
        <v>133</v>
      </c>
      <c r="L2" cm="1">
        <f t="array" ref="L2">GEOMEAN(IF(C14:C38 &gt; 0, 1 + B14:B38)) - 1</f>
        <v>3.0900645546207528E-2</v>
      </c>
      <c r="M2" cm="1">
        <f t="array" ref="M2">GEOMEAN(IF(C14:C38 &gt; 0, 1 + C14:C38)) - 1</f>
        <v>2.640341963286863E-2</v>
      </c>
      <c r="N2" s="22">
        <f>(L2/M2)*100</f>
        <v>117.03274036420824</v>
      </c>
      <c r="O2" cm="1">
        <f t="array" ref="O2">GEOMEAN(IF(C14:C38&lt;0,1+B14:B38))-1</f>
        <v>-3.1867819402447983E-2</v>
      </c>
      <c r="P2" cm="1">
        <f t="array" ref="P2">GEOMEAN(IF(C14:C38&lt;0,1+C14:C38))-1</f>
        <v>-3.8871260032492749E-2</v>
      </c>
      <c r="Q2">
        <f>(O2/P2)*100</f>
        <v>81.982985310508212</v>
      </c>
    </row>
    <row r="3" spans="1:17" x14ac:dyDescent="0.2">
      <c r="A3" s="11" t="str">
        <f>'MGGIX US_monthly'!A3</f>
        <v>2017-02-28</v>
      </c>
      <c r="B3" s="11">
        <f>('MGGIX US_monthly'!B3-'MGGIX US_monthly'!B2)/'MGGIX US_monthly'!B2</f>
        <v>4.2944785276073573E-2</v>
      </c>
      <c r="C3" s="11">
        <f>('MSCI ACWI Index_monthly'!B3-'MSCI ACWI Index_monthly'!B2)/'MSCI ACWI Index_monthly'!B2</f>
        <v>2.8051298498091851E-2</v>
      </c>
      <c r="K3" t="s">
        <v>134</v>
      </c>
      <c r="L3" cm="1">
        <f t="array" ref="L3">GEOMEAN(IF(C26:C61 &gt; 0, 1 + B26:B61)) - 1</f>
        <v>3.9674922581914407E-2</v>
      </c>
      <c r="M3" cm="1">
        <f t="array" ref="M3">GEOMEAN(IF(C26:C61 &gt; 0, 1 + C26:C61)) - 1</f>
        <v>3.9631872767247112E-2</v>
      </c>
      <c r="N3" s="22">
        <f>(L3/M3)*100</f>
        <v>100.10862422505271</v>
      </c>
      <c r="O3" cm="1">
        <f t="array" ref="O3">GEOMEAN(IF(C26:C61&lt;0,1+B26:B61))-1</f>
        <v>-3.2045174112871333E-2</v>
      </c>
      <c r="P3" cm="1">
        <f t="array" ref="P3">GEOMEAN(IF(C26:C61&lt;0,1+C26:C61))-1</f>
        <v>-4.438668479496044E-2</v>
      </c>
      <c r="Q3">
        <f>(O3/P3)*100</f>
        <v>72.195466412733012</v>
      </c>
    </row>
    <row r="4" spans="1:17" x14ac:dyDescent="0.2">
      <c r="A4" s="11" t="str">
        <f>'MGGIX US_monthly'!A4</f>
        <v>2017-03-31</v>
      </c>
      <c r="B4" s="11">
        <f>('MGGIX US_monthly'!B4-'MGGIX US_monthly'!B3)/'MGGIX US_monthly'!B3</f>
        <v>5.0588235294117614E-2</v>
      </c>
      <c r="C4" s="11">
        <f>('MSCI ACWI Index_monthly'!B4-'MSCI ACWI Index_monthly'!B3)/'MSCI ACWI Index_monthly'!B3</f>
        <v>1.2233542235933925E-2</v>
      </c>
      <c r="K4" t="s">
        <v>135</v>
      </c>
      <c r="L4" cm="1">
        <f t="array" ref="L4">GEOMEAN(IF(C62:C97 &gt; 0, 1 + B62:B97)) - 1</f>
        <v>4.7116888766709053E-2</v>
      </c>
      <c r="M4" cm="1">
        <f t="array" ref="M4">GEOMEAN(IF(C62:C97 &gt; 0, 1 + C62:C97)) - 1</f>
        <v>3.91383716673388E-2</v>
      </c>
      <c r="N4" s="22">
        <f>(L4/M4)*100</f>
        <v>120.38540889535363</v>
      </c>
      <c r="O4" cm="1">
        <f t="array" ref="O4">GEOMEAN(IF(C62:C97&lt;0,1+B62:B97))-1</f>
        <v>-7.4509829455562726E-2</v>
      </c>
      <c r="P4" cm="1">
        <f t="array" ref="P4">GEOMEAN(IF(C62:C97&lt;0,1+C62:C97))-1</f>
        <v>-4.2245271900853809E-2</v>
      </c>
      <c r="Q4">
        <f>(O4/P4)*100</f>
        <v>176.37436357477162</v>
      </c>
    </row>
    <row r="5" spans="1:17" x14ac:dyDescent="0.2">
      <c r="A5" s="11" t="str">
        <f>'MGGIX US_monthly'!A5</f>
        <v>2017-04-28</v>
      </c>
      <c r="B5" s="11">
        <f>('MGGIX US_monthly'!B5-'MGGIX US_monthly'!B4)/'MGGIX US_monthly'!B4</f>
        <v>4.1993281075027998E-2</v>
      </c>
      <c r="C5" s="11">
        <f>('MSCI ACWI Index_monthly'!B5-'MSCI ACWI Index_monthly'!B4)/'MSCI ACWI Index_monthly'!B4</f>
        <v>1.5584667086532453E-2</v>
      </c>
    </row>
    <row r="6" spans="1:17" x14ac:dyDescent="0.2">
      <c r="A6" s="11" t="str">
        <f>'MGGIX US_monthly'!A6</f>
        <v>2017-05-31</v>
      </c>
      <c r="B6" s="11">
        <f>('MGGIX US_monthly'!B6-'MGGIX US_monthly'!B5)/'MGGIX US_monthly'!B5</f>
        <v>5.2659860290166602E-2</v>
      </c>
      <c r="C6" s="11">
        <f>('MSCI ACWI Index_monthly'!B6-'MSCI ACWI Index_monthly'!B5)/'MSCI ACWI Index_monthly'!B5</f>
        <v>2.2082854282743078E-2</v>
      </c>
      <c r="L6" t="s">
        <v>136</v>
      </c>
    </row>
    <row r="7" spans="1:17" x14ac:dyDescent="0.2">
      <c r="A7" s="11" t="str">
        <f>'MGGIX US_monthly'!A7</f>
        <v>2017-06-30</v>
      </c>
      <c r="B7" s="11">
        <f>('MGGIX US_monthly'!B7-'MGGIX US_monthly'!B6)/'MGGIX US_monthly'!B6</f>
        <v>-3.5732516590097135E-3</v>
      </c>
      <c r="C7" s="11">
        <f>('MSCI ACWI Index_monthly'!B7-'MSCI ACWI Index_monthly'!B6)/'MSCI ACWI Index_monthly'!B6</f>
        <v>4.5474443004803406E-3</v>
      </c>
    </row>
    <row r="8" spans="1:17" x14ac:dyDescent="0.2">
      <c r="A8" s="11" t="str">
        <f>'MGGIX US_monthly'!A8</f>
        <v>2017-07-31</v>
      </c>
      <c r="B8" s="11">
        <f>('MGGIX US_monthly'!B8-'MGGIX US_monthly'!B7)/'MGGIX US_monthly'!B7</f>
        <v>6.8135245901639441E-2</v>
      </c>
      <c r="C8" s="11">
        <f>('MSCI ACWI Index_monthly'!B8-'MSCI ACWI Index_monthly'!B7)/'MSCI ACWI Index_monthly'!B7</f>
        <v>2.7946673680121593E-2</v>
      </c>
    </row>
    <row r="9" spans="1:17" x14ac:dyDescent="0.2">
      <c r="A9" s="11" t="str">
        <f>'MGGIX US_monthly'!A9</f>
        <v>2017-08-31</v>
      </c>
      <c r="B9" s="11">
        <f>('MGGIX US_monthly'!B9-'MGGIX US_monthly'!B8)/'MGGIX US_monthly'!B8</f>
        <v>1.8225419664268536E-2</v>
      </c>
      <c r="C9" s="11">
        <f>('MSCI ACWI Index_monthly'!B9-'MSCI ACWI Index_monthly'!B8)/'MSCI ACWI Index_monthly'!B8</f>
        <v>3.8311124431666221E-3</v>
      </c>
    </row>
    <row r="10" spans="1:17" x14ac:dyDescent="0.2">
      <c r="A10" s="11" t="str">
        <f>'MGGIX US_monthly'!A10</f>
        <v>2017-09-29</v>
      </c>
      <c r="B10" s="11">
        <f>('MGGIX US_monthly'!B10-'MGGIX US_monthly'!B9)/'MGGIX US_monthly'!B9</f>
        <v>1.742816768723509E-2</v>
      </c>
      <c r="C10" s="11">
        <f>('MSCI ACWI Index_monthly'!B10-'MSCI ACWI Index_monthly'!B9)/'MSCI ACWI Index_monthly'!B9</f>
        <v>1.9320014267378963E-2</v>
      </c>
    </row>
    <row r="11" spans="1:17" x14ac:dyDescent="0.2">
      <c r="A11" s="11" t="str">
        <f>'MGGIX US_monthly'!A11</f>
        <v>2017-10-31</v>
      </c>
      <c r="B11" s="11">
        <f>('MGGIX US_monthly'!B11-'MGGIX US_monthly'!B10)/'MGGIX US_monthly'!B10</f>
        <v>2.7314814814814806E-2</v>
      </c>
      <c r="C11" s="11">
        <f>('MSCI ACWI Index_monthly'!B11-'MSCI ACWI Index_monthly'!B10)/'MSCI ACWI Index_monthly'!B10</f>
        <v>2.0765334740696854E-2</v>
      </c>
    </row>
    <row r="12" spans="1:17" x14ac:dyDescent="0.2">
      <c r="A12" s="11" t="str">
        <f>'MGGIX US_monthly'!A12</f>
        <v>2017-11-30</v>
      </c>
      <c r="B12" s="11">
        <f>('MGGIX US_monthly'!B12-'MGGIX US_monthly'!B11)/'MGGIX US_monthly'!B11</f>
        <v>1.3068949977467289E-2</v>
      </c>
      <c r="C12" s="11">
        <f>('MSCI ACWI Index_monthly'!B12-'MSCI ACWI Index_monthly'!B11)/'MSCI ACWI Index_monthly'!B11</f>
        <v>1.9358219525073606E-2</v>
      </c>
    </row>
    <row r="13" spans="1:17" x14ac:dyDescent="0.2">
      <c r="A13" s="11" t="str">
        <f>'MGGIX US_monthly'!A13</f>
        <v>2017-12-29</v>
      </c>
      <c r="B13" s="11">
        <f>('MGGIX US_monthly'!B13-'MGGIX US_monthly'!B12)/'MGGIX US_monthly'!B12</f>
        <v>2.0462633451957334E-2</v>
      </c>
      <c r="C13" s="11">
        <f>('MSCI ACWI Index_monthly'!B13-'MSCI ACWI Index_monthly'!B12)/'MSCI ACWI Index_monthly'!B12</f>
        <v>1.6121714041148715E-2</v>
      </c>
    </row>
    <row r="14" spans="1:17" x14ac:dyDescent="0.2">
      <c r="A14" t="str">
        <f>'MGGIX US_monthly'!A14</f>
        <v>2018-01-31</v>
      </c>
      <c r="B14">
        <f>('MGGIX US_monthly'!B14-'MGGIX US_monthly'!B13)/'MGGIX US_monthly'!B13</f>
        <v>8.3696599825632004E-2</v>
      </c>
      <c r="C14">
        <f>('MSCI ACWI Index_monthly'!B14-'MSCI ACWI Index_monthly'!B13)/'MSCI ACWI Index_monthly'!B13</f>
        <v>5.6416607412786764E-2</v>
      </c>
    </row>
    <row r="15" spans="1:17" x14ac:dyDescent="0.2">
      <c r="A15" t="str">
        <f>'MGGIX US_monthly'!A15</f>
        <v>2018-02-28</v>
      </c>
      <c r="B15">
        <f>('MGGIX US_monthly'!B15-'MGGIX US_monthly'!B14)/'MGGIX US_monthly'!B14</f>
        <v>-1.97103781174577E-2</v>
      </c>
      <c r="C15">
        <f>('MSCI ACWI Index_monthly'!B15-'MSCI ACWI Index_monthly'!B14)/'MSCI ACWI Index_monthly'!B14</f>
        <v>-4.1998269996314598E-2</v>
      </c>
    </row>
    <row r="16" spans="1:17" x14ac:dyDescent="0.2">
      <c r="A16" t="str">
        <f>'MGGIX US_monthly'!A16</f>
        <v>2018-03-30</v>
      </c>
      <c r="B16">
        <f>('MGGIX US_monthly'!B16-'MGGIX US_monthly'!B15)/'MGGIX US_monthly'!B15</f>
        <v>-6.1551087402544986E-3</v>
      </c>
      <c r="C16">
        <f>('MSCI ACWI Index_monthly'!B16-'MSCI ACWI Index_monthly'!B15)/'MSCI ACWI Index_monthly'!B15</f>
        <v>-2.1406743417279907E-2</v>
      </c>
    </row>
    <row r="17" spans="1:3" x14ac:dyDescent="0.2">
      <c r="A17" t="str">
        <f>'MGGIX US_monthly'!A17</f>
        <v>2018-04-30</v>
      </c>
      <c r="B17">
        <f>('MGGIX US_monthly'!B17-'MGGIX US_monthly'!B16)/'MGGIX US_monthly'!B16</f>
        <v>1.6515276630883657E-2</v>
      </c>
      <c r="C17">
        <f>('MSCI ACWI Index_monthly'!B17-'MSCI ACWI Index_monthly'!B16)/'MSCI ACWI Index_monthly'!B16</f>
        <v>9.5495650541142542E-3</v>
      </c>
    </row>
    <row r="18" spans="1:3" x14ac:dyDescent="0.2">
      <c r="A18" t="str">
        <f>'MGGIX US_monthly'!A18</f>
        <v>2018-05-31</v>
      </c>
      <c r="B18">
        <f>('MGGIX US_monthly'!B18-'MGGIX US_monthly'!B17)/'MGGIX US_monthly'!B17</f>
        <v>6.0519902518277754E-2</v>
      </c>
      <c r="C18">
        <f>('MSCI ACWI Index_monthly'!B18-'MSCI ACWI Index_monthly'!B17)/'MSCI ACWI Index_monthly'!B17</f>
        <v>1.2484852212232185E-3</v>
      </c>
    </row>
    <row r="19" spans="1:3" x14ac:dyDescent="0.2">
      <c r="A19" t="str">
        <f>'MGGIX US_monthly'!A19</f>
        <v>2018-06-29</v>
      </c>
      <c r="B19">
        <f>('MGGIX US_monthly'!B19-'MGGIX US_monthly'!B18)/'MGGIX US_monthly'!B18</f>
        <v>-1.1106855610877027E-2</v>
      </c>
      <c r="C19">
        <f>('MSCI ACWI Index_monthly'!B19-'MSCI ACWI Index_monthly'!B18)/'MSCI ACWI Index_monthly'!B18</f>
        <v>-5.4153930393735098E-3</v>
      </c>
    </row>
    <row r="20" spans="1:3" x14ac:dyDescent="0.2">
      <c r="A20" t="str">
        <f>'MGGIX US_monthly'!A20</f>
        <v>2018-07-31</v>
      </c>
      <c r="B20">
        <f>('MGGIX US_monthly'!B20-'MGGIX US_monthly'!B19)/'MGGIX US_monthly'!B19</f>
        <v>-1.8202943454686246E-2</v>
      </c>
      <c r="C20">
        <f>('MSCI ACWI Index_monthly'!B20-'MSCI ACWI Index_monthly'!B19)/'MSCI ACWI Index_monthly'!B19</f>
        <v>3.0156739839025452E-2</v>
      </c>
    </row>
    <row r="21" spans="1:3" x14ac:dyDescent="0.2">
      <c r="A21" t="str">
        <f>'MGGIX US_monthly'!A21</f>
        <v>2018-08-31</v>
      </c>
      <c r="B21">
        <f>('MGGIX US_monthly'!B21-'MGGIX US_monthly'!B20)/'MGGIX US_monthly'!B20</f>
        <v>1.4595660749506802E-2</v>
      </c>
      <c r="C21">
        <f>('MSCI ACWI Index_monthly'!B21-'MSCI ACWI Index_monthly'!B20)/'MSCI ACWI Index_monthly'!B20</f>
        <v>7.8563847178605775E-3</v>
      </c>
    </row>
    <row r="22" spans="1:3" x14ac:dyDescent="0.2">
      <c r="A22" t="str">
        <f>'MGGIX US_monthly'!A22</f>
        <v>2018-09-28</v>
      </c>
      <c r="B22">
        <f>('MGGIX US_monthly'!B22-'MGGIX US_monthly'!B21)/'MGGIX US_monthly'!B21</f>
        <v>-1.2830482115085471E-2</v>
      </c>
      <c r="C22">
        <f>('MSCI ACWI Index_monthly'!B22-'MSCI ACWI Index_monthly'!B21)/'MSCI ACWI Index_monthly'!B21</f>
        <v>4.3522052068049157E-3</v>
      </c>
    </row>
    <row r="23" spans="1:3" x14ac:dyDescent="0.2">
      <c r="A23" t="str">
        <f>'MGGIX US_monthly'!A23</f>
        <v>2018-10-31</v>
      </c>
      <c r="B23">
        <f>('MGGIX US_monthly'!B23-'MGGIX US_monthly'!B22)/'MGGIX US_monthly'!B22</f>
        <v>-0.11067349350137859</v>
      </c>
      <c r="C23">
        <f>('MSCI ACWI Index_monthly'!B23-'MSCI ACWI Index_monthly'!B22)/'MSCI ACWI Index_monthly'!B22</f>
        <v>-7.4938935008137697E-2</v>
      </c>
    </row>
    <row r="24" spans="1:3" x14ac:dyDescent="0.2">
      <c r="A24" t="str">
        <f>'MGGIX US_monthly'!A24</f>
        <v>2018-11-30</v>
      </c>
      <c r="B24">
        <f>('MGGIX US_monthly'!B24-'MGGIX US_monthly'!B23)/'MGGIX US_monthly'!B23</f>
        <v>1.5943312666076306E-2</v>
      </c>
      <c r="C24">
        <f>('MSCI ACWI Index_monthly'!B24-'MSCI ACWI Index_monthly'!B23)/'MSCI ACWI Index_monthly'!B23</f>
        <v>1.4625419073570256E-2</v>
      </c>
    </row>
    <row r="25" spans="1:3" x14ac:dyDescent="0.2">
      <c r="A25" t="str">
        <f>'MGGIX US_monthly'!A25</f>
        <v>2018-12-31</v>
      </c>
      <c r="B25">
        <f>('MGGIX US_monthly'!B25-'MGGIX US_monthly'!B24)/'MGGIX US_monthly'!B24</f>
        <v>-6.2772449869224117E-2</v>
      </c>
      <c r="C25">
        <f>('MSCI ACWI Index_monthly'!B25-'MSCI ACWI Index_monthly'!B24)/'MSCI ACWI Index_monthly'!B24</f>
        <v>-7.0434470049532946E-2</v>
      </c>
    </row>
    <row r="26" spans="1:3" x14ac:dyDescent="0.2">
      <c r="A26" t="str">
        <f>'MGGIX US_monthly'!A26</f>
        <v>2019-01-31</v>
      </c>
      <c r="B26">
        <f>('MGGIX US_monthly'!B26-'MGGIX US_monthly'!B25)/'MGGIX US_monthly'!B25</f>
        <v>0.10511628971543258</v>
      </c>
      <c r="C26">
        <f>('MSCI ACWI Index_monthly'!B26-'MSCI ACWI Index_monthly'!B25)/'MSCI ACWI Index_monthly'!B25</f>
        <v>7.8959577434038003E-2</v>
      </c>
    </row>
    <row r="27" spans="1:3" x14ac:dyDescent="0.2">
      <c r="A27" t="str">
        <f>'MGGIX US_monthly'!A27</f>
        <v>2019-02-28</v>
      </c>
      <c r="B27">
        <f>('MGGIX US_monthly'!B27-'MGGIX US_monthly'!B26)/'MGGIX US_monthly'!B26</f>
        <v>3.030300111189789E-2</v>
      </c>
      <c r="C27">
        <f>('MSCI ACWI Index_monthly'!B27-'MSCI ACWI Index_monthly'!B26)/'MSCI ACWI Index_monthly'!B26</f>
        <v>2.6747149416984532E-2</v>
      </c>
    </row>
    <row r="28" spans="1:3" x14ac:dyDescent="0.2">
      <c r="A28" t="str">
        <f>'MGGIX US_monthly'!A28</f>
        <v>2019-03-29</v>
      </c>
      <c r="B28">
        <f>('MGGIX US_monthly'!B28-'MGGIX US_monthly'!B27)/'MGGIX US_monthly'!B27</f>
        <v>4.044116787706694E-2</v>
      </c>
      <c r="C28">
        <f>('MSCI ACWI Index_monthly'!B28-'MSCI ACWI Index_monthly'!B27)/'MSCI ACWI Index_monthly'!B27</f>
        <v>1.2576001627813266E-2</v>
      </c>
    </row>
    <row r="29" spans="1:3" x14ac:dyDescent="0.2">
      <c r="A29" t="str">
        <f>'MGGIX US_monthly'!A29</f>
        <v>2019-04-30</v>
      </c>
      <c r="B29">
        <f>('MGGIX US_monthly'!B29-'MGGIX US_monthly'!B28)/'MGGIX US_monthly'!B28</f>
        <v>5.0255230512490499E-2</v>
      </c>
      <c r="C29">
        <f>('MSCI ACWI Index_monthly'!B29-'MSCI ACWI Index_monthly'!B28)/'MSCI ACWI Index_monthly'!B28</f>
        <v>3.376562771484528E-2</v>
      </c>
    </row>
    <row r="30" spans="1:3" x14ac:dyDescent="0.2">
      <c r="A30" t="str">
        <f>'MGGIX US_monthly'!A30</f>
        <v>2019-05-31</v>
      </c>
      <c r="B30">
        <f>('MGGIX US_monthly'!B30-'MGGIX US_monthly'!B29)/'MGGIX US_monthly'!B29</f>
        <v>-4.6355131630586903E-2</v>
      </c>
      <c r="C30">
        <f>('MSCI ACWI Index_monthly'!B30-'MSCI ACWI Index_monthly'!B29)/'MSCI ACWI Index_monthly'!B29</f>
        <v>-5.9319027803549085E-2</v>
      </c>
    </row>
    <row r="31" spans="1:3" x14ac:dyDescent="0.2">
      <c r="A31" t="str">
        <f>'MGGIX US_monthly'!A31</f>
        <v>2019-06-28</v>
      </c>
      <c r="B31">
        <f>('MGGIX US_monthly'!B31-'MGGIX US_monthly'!B30)/'MGGIX US_monthly'!B30</f>
        <v>6.1544479840760079E-2</v>
      </c>
      <c r="C31">
        <f>('MSCI ACWI Index_monthly'!B31-'MSCI ACWI Index_monthly'!B30)/'MSCI ACWI Index_monthly'!B30</f>
        <v>6.5479612435121751E-2</v>
      </c>
    </row>
    <row r="32" spans="1:3" x14ac:dyDescent="0.2">
      <c r="A32" t="str">
        <f>'MGGIX US_monthly'!A32</f>
        <v>2019-07-31</v>
      </c>
      <c r="B32">
        <f>('MGGIX US_monthly'!B32-'MGGIX US_monthly'!B31)/'MGGIX US_monthly'!B31</f>
        <v>-7.7547668044403665E-3</v>
      </c>
      <c r="C32">
        <f>('MSCI ACWI Index_monthly'!B32-'MSCI ACWI Index_monthly'!B31)/'MSCI ACWI Index_monthly'!B31</f>
        <v>2.9301517284765514E-3</v>
      </c>
    </row>
    <row r="33" spans="1:9" x14ac:dyDescent="0.2">
      <c r="A33" t="str">
        <f>'MGGIX US_monthly'!A33</f>
        <v>2019-08-30</v>
      </c>
      <c r="B33">
        <f>('MGGIX US_monthly'!B33-'MGGIX US_monthly'!B32)/'MGGIX US_monthly'!B32</f>
        <v>-1.1909251662756085E-2</v>
      </c>
      <c r="C33">
        <f>('MSCI ACWI Index_monthly'!B33-'MSCI ACWI Index_monthly'!B32)/'MSCI ACWI Index_monthly'!B32</f>
        <v>-2.372229936463879E-2</v>
      </c>
    </row>
    <row r="34" spans="1:9" x14ac:dyDescent="0.2">
      <c r="A34" t="str">
        <f>'MGGIX US_monthly'!A34</f>
        <v>2019-09-30</v>
      </c>
      <c r="B34">
        <f>('MGGIX US_monthly'!B34-'MGGIX US_monthly'!B33)/'MGGIX US_monthly'!B33</f>
        <v>-1.5819212367721321E-2</v>
      </c>
      <c r="C34">
        <f>('MSCI ACWI Index_monthly'!B34-'MSCI ACWI Index_monthly'!B33)/'MSCI ACWI Index_monthly'!B33</f>
        <v>2.1041552050730869E-2</v>
      </c>
    </row>
    <row r="35" spans="1:9" x14ac:dyDescent="0.2">
      <c r="A35" t="str">
        <f>'MGGIX US_monthly'!A35</f>
        <v>2019-10-31</v>
      </c>
      <c r="B35">
        <f>('MGGIX US_monthly'!B35-'MGGIX US_monthly'!B34)/'MGGIX US_monthly'!B34</f>
        <v>3.5591287219483216E-2</v>
      </c>
      <c r="C35">
        <f>('MSCI ACWI Index_monthly'!B35-'MSCI ACWI Index_monthly'!B34)/'MSCI ACWI Index_monthly'!B34</f>
        <v>2.7368719308554744E-2</v>
      </c>
    </row>
    <row r="36" spans="1:9" x14ac:dyDescent="0.2">
      <c r="A36" t="str">
        <f>'MGGIX US_monthly'!A36</f>
        <v>2019-11-29</v>
      </c>
      <c r="B36">
        <f>('MGGIX US_monthly'!B36-'MGGIX US_monthly'!B35)/'MGGIX US_monthly'!B35</f>
        <v>5.0258707952426013E-2</v>
      </c>
      <c r="C36">
        <f>('MSCI ACWI Index_monthly'!B36-'MSCI ACWI Index_monthly'!B35)/'MSCI ACWI Index_monthly'!B35</f>
        <v>2.4411461155525307E-2</v>
      </c>
    </row>
    <row r="37" spans="1:9" x14ac:dyDescent="0.2">
      <c r="A37" t="str">
        <f>'MGGIX US_monthly'!A37</f>
        <v>2019-12-31</v>
      </c>
      <c r="B37">
        <f>('MGGIX US_monthly'!B37-'MGGIX US_monthly'!B36)/'MGGIX US_monthly'!B36</f>
        <v>2.4630568650961901E-2</v>
      </c>
      <c r="C37">
        <f>('MSCI ACWI Index_monthly'!B37-'MSCI ACWI Index_monthly'!B36)/'MSCI ACWI Index_monthly'!B36</f>
        <v>3.5215217669350193E-2</v>
      </c>
      <c r="D37" cm="1">
        <f t="array" ref="D37">GEOMEAN(IF(C2:C37&gt;0,1+B2:B37))-1</f>
        <v>3.115677654750959E-2</v>
      </c>
      <c r="E37" cm="1">
        <f t="array" ref="E37">GEOMEAN(IF(C2:C37&gt;0,1+C2:C37))-1</f>
        <v>2.2789558472933624E-2</v>
      </c>
      <c r="F37">
        <f>(D37/E37)*100</f>
        <v>136.71513901646415</v>
      </c>
      <c r="G37" cm="1">
        <f t="array" ref="G37">GEOMEAN(IF(C2:C37&lt;0,1+B2:B37))-1</f>
        <v>-3.9047902714086535E-2</v>
      </c>
      <c r="H37" cm="1">
        <f t="array" ref="H37">GEOMEAN(IF(C2:C37&lt;0,1+C2:C37))-1</f>
        <v>-4.2781876985424128E-2</v>
      </c>
      <c r="I37">
        <f>(G37/H37)*100</f>
        <v>91.272065335960448</v>
      </c>
    </row>
    <row r="38" spans="1:9" x14ac:dyDescent="0.2">
      <c r="A38" t="str">
        <f>'MGGIX US_monthly'!A38</f>
        <v>2020-01-31</v>
      </c>
      <c r="B38">
        <f>('MGGIX US_monthly'!B38-'MGGIX US_monthly'!B37)/'MGGIX US_monthly'!B37</f>
        <v>1.991757922357499E-2</v>
      </c>
      <c r="C38">
        <f>('MSCI ACWI Index_monthly'!B38-'MSCI ACWI Index_monthly'!B37)/'MSCI ACWI Index_monthly'!B37</f>
        <v>-1.1045927570700753E-2</v>
      </c>
      <c r="D38" cm="1">
        <f t="array" ref="D38">GEOMEAN(IF(C3:C38&gt;0,1+B3:B38))-1</f>
        <v>3.115677654750959E-2</v>
      </c>
      <c r="E38" cm="1">
        <f t="array" ref="E38">GEOMEAN(IF(C3:C38&gt;0,1+C3:C38))-1</f>
        <v>2.2789558472933624E-2</v>
      </c>
      <c r="F38">
        <f t="shared" ref="F38:F97" si="0">(D38/E38)*100</f>
        <v>136.71513901646415</v>
      </c>
      <c r="G38" cm="1">
        <f t="array" ref="G38">GEOMEAN(IF(C3:C38&lt;0,1+B3:B38))-1</f>
        <v>-3.1867819402447983E-2</v>
      </c>
      <c r="H38" cm="1">
        <f t="array" ref="H38">GEOMEAN(IF(C3:C38&lt;0,1+C3:C38))-1</f>
        <v>-3.8871260032492749E-2</v>
      </c>
      <c r="I38">
        <f t="shared" ref="I38:I97" si="1">(G38/H38)*100</f>
        <v>81.982985310508212</v>
      </c>
    </row>
    <row r="39" spans="1:9" x14ac:dyDescent="0.2">
      <c r="A39" t="str">
        <f>'MGGIX US_monthly'!A39</f>
        <v>2020-02-28</v>
      </c>
      <c r="B39">
        <f>('MGGIX US_monthly'!B39-'MGGIX US_monthly'!B38)/'MGGIX US_monthly'!B38</f>
        <v>-4.4107789213448864E-2</v>
      </c>
      <c r="C39">
        <f>('MSCI ACWI Index_monthly'!B39-'MSCI ACWI Index_monthly'!B38)/'MSCI ACWI Index_monthly'!B38</f>
        <v>-8.0769784446933543E-2</v>
      </c>
      <c r="D39" cm="1">
        <f t="array" ref="D39">GEOMEAN(IF(C4:C39&gt;0,1+B4:B39))-1</f>
        <v>3.0722751670691384E-2</v>
      </c>
      <c r="E39" cm="1">
        <f t="array" ref="E39">GEOMEAN(IF(C4:C39&gt;0,1+C4:C39))-1</f>
        <v>2.2595197247849086E-2</v>
      </c>
      <c r="F39">
        <f t="shared" si="0"/>
        <v>135.97027427417564</v>
      </c>
      <c r="G39" cm="1">
        <f t="array" ref="G39">GEOMEAN(IF(C4:C39&lt;0,1+B4:B39))-1</f>
        <v>-3.3235519335057528E-2</v>
      </c>
      <c r="H39" cm="1">
        <f t="array" ref="H39">GEOMEAN(IF(C4:C39&lt;0,1+C4:C39))-1</f>
        <v>-4.3619404735465883E-2</v>
      </c>
      <c r="I39">
        <f t="shared" si="1"/>
        <v>76.19434409207912</v>
      </c>
    </row>
    <row r="40" spans="1:9" x14ac:dyDescent="0.2">
      <c r="A40" t="str">
        <f>'MGGIX US_monthly'!A40</f>
        <v>2020-03-31</v>
      </c>
      <c r="B40">
        <f>('MGGIX US_monthly'!B40-'MGGIX US_monthly'!B39)/'MGGIX US_monthly'!B39</f>
        <v>-9.4399449200163937E-2</v>
      </c>
      <c r="C40">
        <f>('MSCI ACWI Index_monthly'!B40-'MSCI ACWI Index_monthly'!B39)/'MSCI ACWI Index_monthly'!B39</f>
        <v>-0.13500331439767524</v>
      </c>
      <c r="D40" cm="1">
        <f t="array" ref="D40">GEOMEAN(IF(C5:C40&gt;0,1+B5:B40))-1</f>
        <v>2.9966242079673133E-2</v>
      </c>
      <c r="E40" cm="1">
        <f t="array" ref="E40">GEOMEAN(IF(C5:C40&gt;0,1+C5:C40))-1</f>
        <v>2.2995833714209546E-2</v>
      </c>
      <c r="F40">
        <f t="shared" si="0"/>
        <v>130.31161406057848</v>
      </c>
      <c r="G40" cm="1">
        <f t="array" ref="G40">GEOMEAN(IF(C5:C40&lt;0,1+B5:B40))-1</f>
        <v>-3.9533359956407832E-2</v>
      </c>
      <c r="H40" cm="1">
        <f t="array" ref="H40">GEOMEAN(IF(C5:C40&lt;0,1+C5:C40))-1</f>
        <v>-5.3176290591112063E-2</v>
      </c>
      <c r="I40">
        <f t="shared" si="1"/>
        <v>74.343959529616896</v>
      </c>
    </row>
    <row r="41" spans="1:9" x14ac:dyDescent="0.2">
      <c r="A41" t="str">
        <f>'MGGIX US_monthly'!A41</f>
        <v>2020-04-30</v>
      </c>
      <c r="B41">
        <f>('MGGIX US_monthly'!B41-'MGGIX US_monthly'!B40)/'MGGIX US_monthly'!B40</f>
        <v>0.12796581223973583</v>
      </c>
      <c r="C41">
        <f>('MSCI ACWI Index_monthly'!B41-'MSCI ACWI Index_monthly'!B40)/'MSCI ACWI Index_monthly'!B40</f>
        <v>0.10712505867522561</v>
      </c>
      <c r="D41" cm="1">
        <f t="array" ref="D41">GEOMEAN(IF(C6:C41&gt;0,1+B6:B41))-1</f>
        <v>3.3111653793135964E-2</v>
      </c>
      <c r="E41" cm="1">
        <f t="array" ref="E41">GEOMEAN(IF(C6:C41&gt;0,1+C6:C41))-1</f>
        <v>2.639711919485821E-2</v>
      </c>
      <c r="F41">
        <f t="shared" si="0"/>
        <v>125.4366188549304</v>
      </c>
      <c r="G41" cm="1">
        <f t="array" ref="G41">GEOMEAN(IF(C6:C41&lt;0,1+B6:B41))-1</f>
        <v>-3.9533359956407832E-2</v>
      </c>
      <c r="H41" cm="1">
        <f t="array" ref="H41">GEOMEAN(IF(C6:C41&lt;0,1+C6:C41))-1</f>
        <v>-5.3176290591112063E-2</v>
      </c>
      <c r="I41">
        <f t="shared" si="1"/>
        <v>74.343959529616896</v>
      </c>
    </row>
    <row r="42" spans="1:9" x14ac:dyDescent="0.2">
      <c r="A42" t="str">
        <f>'MGGIX US_monthly'!A42</f>
        <v>2020-05-29</v>
      </c>
      <c r="B42">
        <f>('MGGIX US_monthly'!B42-'MGGIX US_monthly'!B41)/'MGGIX US_monthly'!B41</f>
        <v>8.6896567509089681E-2</v>
      </c>
      <c r="C42">
        <f>('MSCI ACWI Index_monthly'!B42-'MSCI ACWI Index_monthly'!B41)/'MSCI ACWI Index_monthly'!B41</f>
        <v>4.3491018357468464E-2</v>
      </c>
      <c r="D42" cm="1">
        <f t="array" ref="D42">GEOMEAN(IF(C7:C42&gt;0,1+B7:B42))-1</f>
        <v>3.43842087955053E-2</v>
      </c>
      <c r="E42" cm="1">
        <f t="array" ref="E42">GEOMEAN(IF(C7:C42&gt;0,1+C7:C42))-1</f>
        <v>2.7215771435592506E-2</v>
      </c>
      <c r="F42">
        <f t="shared" si="0"/>
        <v>126.33927675677781</v>
      </c>
      <c r="G42" cm="1">
        <f t="array" ref="G42">GEOMEAN(IF(C7:C42&lt;0,1+B7:B42))-1</f>
        <v>-3.9533359956407832E-2</v>
      </c>
      <c r="H42" cm="1">
        <f t="array" ref="H42">GEOMEAN(IF(C7:C42&lt;0,1+C7:C42))-1</f>
        <v>-5.3176290591112063E-2</v>
      </c>
      <c r="I42">
        <f t="shared" si="1"/>
        <v>74.343959529616896</v>
      </c>
    </row>
    <row r="43" spans="1:9" x14ac:dyDescent="0.2">
      <c r="A43" t="str">
        <f>'MGGIX US_monthly'!A43</f>
        <v>2020-06-30</v>
      </c>
      <c r="B43">
        <f>('MGGIX US_monthly'!B43-'MGGIX US_monthly'!B42)/'MGGIX US_monthly'!B42</f>
        <v>7.3921255790575513E-2</v>
      </c>
      <c r="C43">
        <f>('MSCI ACWI Index_monthly'!B43-'MSCI ACWI Index_monthly'!B42)/'MSCI ACWI Index_monthly'!B42</f>
        <v>3.1952495364267863E-2</v>
      </c>
      <c r="D43" cm="1">
        <f t="array" ref="D43">GEOMEAN(IF(C8:C43&gt;0,1+B8:B43))-1</f>
        <v>3.7368180613021273E-2</v>
      </c>
      <c r="E43" cm="1">
        <f t="array" ref="E43">GEOMEAN(IF(C8:C43&gt;0,1+C8:C43))-1</f>
        <v>2.8279707598321213E-2</v>
      </c>
      <c r="F43">
        <f t="shared" si="0"/>
        <v>132.13778990854766</v>
      </c>
      <c r="G43" cm="1">
        <f t="array" ref="G43">GEOMEAN(IF(C8:C43&lt;0,1+B8:B43))-1</f>
        <v>-3.9533359956407832E-2</v>
      </c>
      <c r="H43" cm="1">
        <f t="array" ref="H43">GEOMEAN(IF(C8:C43&lt;0,1+C8:C43))-1</f>
        <v>-5.3176290591112063E-2</v>
      </c>
      <c r="I43">
        <f t="shared" si="1"/>
        <v>74.343959529616896</v>
      </c>
    </row>
    <row r="44" spans="1:9" x14ac:dyDescent="0.2">
      <c r="A44" t="str">
        <f>'MGGIX US_monthly'!A44</f>
        <v>2020-07-31</v>
      </c>
      <c r="B44">
        <f>('MGGIX US_monthly'!B44-'MGGIX US_monthly'!B43)/'MGGIX US_monthly'!B43</f>
        <v>6.8242288845511853E-2</v>
      </c>
      <c r="C44">
        <f>('MSCI ACWI Index_monthly'!B44-'MSCI ACWI Index_monthly'!B43)/'MSCI ACWI Index_monthly'!B43</f>
        <v>5.2887034190809826E-2</v>
      </c>
      <c r="D44" cm="1">
        <f t="array" ref="D44">GEOMEAN(IF(C9:C44&gt;0,1+B9:B44))-1</f>
        <v>3.7372178867658867E-2</v>
      </c>
      <c r="E44" cm="1">
        <f t="array" ref="E44">GEOMEAN(IF(C9:C44&gt;0,1+C9:C44))-1</f>
        <v>2.9228244637164114E-2</v>
      </c>
      <c r="F44">
        <f t="shared" si="0"/>
        <v>127.86323411341517</v>
      </c>
      <c r="G44" cm="1">
        <f t="array" ref="G44">GEOMEAN(IF(C9:C44&lt;0,1+B9:B44))-1</f>
        <v>-3.9533359956407832E-2</v>
      </c>
      <c r="H44" cm="1">
        <f t="array" ref="H44">GEOMEAN(IF(C9:C44&lt;0,1+C9:C44))-1</f>
        <v>-5.3176290591112063E-2</v>
      </c>
      <c r="I44">
        <f t="shared" si="1"/>
        <v>74.343959529616896</v>
      </c>
    </row>
    <row r="45" spans="1:9" x14ac:dyDescent="0.2">
      <c r="A45" t="str">
        <f>'MGGIX US_monthly'!A45</f>
        <v>2020-08-31</v>
      </c>
      <c r="B45">
        <f>('MGGIX US_monthly'!B45-'MGGIX US_monthly'!B44)/'MGGIX US_monthly'!B44</f>
        <v>0.11587385631609091</v>
      </c>
      <c r="C45">
        <f>('MSCI ACWI Index_monthly'!B45-'MSCI ACWI Index_monthly'!B44)/'MSCI ACWI Index_monthly'!B44</f>
        <v>6.1205108348847695E-2</v>
      </c>
      <c r="D45" cm="1">
        <f t="array" ref="D45">GEOMEAN(IF(C10:C45&gt;0,1+B10:B45))-1</f>
        <v>4.1032425378751514E-2</v>
      </c>
      <c r="E45" cm="1">
        <f t="array" ref="E45">GEOMEAN(IF(C10:C45&gt;0,1+C10:C45))-1</f>
        <v>3.1430825396022488E-2</v>
      </c>
      <c r="F45">
        <f t="shared" si="0"/>
        <v>130.54835455878319</v>
      </c>
      <c r="G45" cm="1">
        <f t="array" ref="G45">GEOMEAN(IF(C10:C45&lt;0,1+B10:B45))-1</f>
        <v>-3.9533359956407832E-2</v>
      </c>
      <c r="H45" cm="1">
        <f t="array" ref="H45">GEOMEAN(IF(C10:C45&lt;0,1+C10:C45))-1</f>
        <v>-5.3176290591112063E-2</v>
      </c>
      <c r="I45">
        <f t="shared" si="1"/>
        <v>74.343959529616896</v>
      </c>
    </row>
    <row r="46" spans="1:9" x14ac:dyDescent="0.2">
      <c r="A46" t="str">
        <f>'MGGIX US_monthly'!A46</f>
        <v>2020-09-30</v>
      </c>
      <c r="B46">
        <f>('MGGIX US_monthly'!B46-'MGGIX US_monthly'!B45)/'MGGIX US_monthly'!B45</f>
        <v>-3.9652999619001292E-3</v>
      </c>
      <c r="C46">
        <f>('MSCI ACWI Index_monthly'!B46-'MSCI ACWI Index_monthly'!B45)/'MSCI ACWI Index_monthly'!B45</f>
        <v>-3.2243210006501995E-2</v>
      </c>
      <c r="D46" cm="1">
        <f t="array" ref="D46">GEOMEAN(IF(C11:C46&gt;0,1+B11:B46))-1</f>
        <v>4.1987902506413155E-2</v>
      </c>
      <c r="E46" cm="1">
        <f t="array" ref="E46">GEOMEAN(IF(C11:C46&gt;0,1+C11:C46))-1</f>
        <v>3.1918239476262045E-2</v>
      </c>
      <c r="F46">
        <f t="shared" si="0"/>
        <v>131.54830340075628</v>
      </c>
      <c r="G46" cm="1">
        <f t="array" ref="G46">GEOMEAN(IF(C11:C46&lt;0,1+B11:B46))-1</f>
        <v>-3.6353078928543114E-2</v>
      </c>
      <c r="H46" cm="1">
        <f t="array" ref="H46">GEOMEAN(IF(C11:C46&lt;0,1+C11:C46))-1</f>
        <v>-5.1292142591753187E-2</v>
      </c>
      <c r="I46">
        <f t="shared" si="1"/>
        <v>70.874557177083119</v>
      </c>
    </row>
    <row r="47" spans="1:9" x14ac:dyDescent="0.2">
      <c r="A47" t="str">
        <f>'MGGIX US_monthly'!A47</f>
        <v>2020-10-30</v>
      </c>
      <c r="B47">
        <f>('MGGIX US_monthly'!B47-'MGGIX US_monthly'!B46)/'MGGIX US_monthly'!B46</f>
        <v>-1.9407783178634803E-2</v>
      </c>
      <c r="C47">
        <f>('MSCI ACWI Index_monthly'!B47-'MSCI ACWI Index_monthly'!B46)/'MSCI ACWI Index_monthly'!B46</f>
        <v>-2.4308592195147909E-2</v>
      </c>
      <c r="D47" cm="1">
        <f t="array" ref="D47">GEOMEAN(IF(C12:C47&gt;0,1+B12:B47))-1</f>
        <v>4.260380862163804E-2</v>
      </c>
      <c r="E47" cm="1">
        <f t="array" ref="E47">GEOMEAN(IF(C12:C47&gt;0,1+C12:C47))-1</f>
        <v>3.2385579123092034E-2</v>
      </c>
      <c r="F47">
        <f t="shared" si="0"/>
        <v>131.55178871345257</v>
      </c>
      <c r="G47" cm="1">
        <f t="array" ref="G47">GEOMEAN(IF(C12:C47&lt;0,1+B12:B47))-1</f>
        <v>-3.4952225709572571E-2</v>
      </c>
      <c r="H47" cm="1">
        <f t="array" ref="H47">GEOMEAN(IF(C12:C47&lt;0,1+C12:C47))-1</f>
        <v>-4.9072304908249209E-2</v>
      </c>
      <c r="I47">
        <f t="shared" si="1"/>
        <v>71.225971094944413</v>
      </c>
    </row>
    <row r="48" spans="1:9" x14ac:dyDescent="0.2">
      <c r="A48" t="str">
        <f>'MGGIX US_monthly'!A48</f>
        <v>2020-11-30</v>
      </c>
      <c r="B48">
        <f>('MGGIX US_monthly'!B48-'MGGIX US_monthly'!B47)/'MGGIX US_monthly'!B47</f>
        <v>0.11012433822358637</v>
      </c>
      <c r="C48">
        <f>('MSCI ACWI Index_monthly'!B48-'MSCI ACWI Index_monthly'!B47)/'MSCI ACWI Index_monthly'!B47</f>
        <v>0.12326292344693911</v>
      </c>
      <c r="D48" cm="1">
        <f t="array" ref="D48">GEOMEAN(IF(C13:C48&gt;0,1+B13:B48))-1</f>
        <v>4.6585787740222928E-2</v>
      </c>
      <c r="E48" cm="1">
        <f t="array" ref="E48">GEOMEAN(IF(C13:C48&gt;0,1+C13:C48))-1</f>
        <v>3.6569368494174803E-2</v>
      </c>
      <c r="F48">
        <f t="shared" si="0"/>
        <v>127.39018927177716</v>
      </c>
      <c r="G48" cm="1">
        <f t="array" ref="G48">GEOMEAN(IF(C13:C48&lt;0,1+B13:B48))-1</f>
        <v>-3.4952225709572571E-2</v>
      </c>
      <c r="H48" cm="1">
        <f t="array" ref="H48">GEOMEAN(IF(C13:C48&lt;0,1+C13:C48))-1</f>
        <v>-4.9072304908249209E-2</v>
      </c>
      <c r="I48">
        <f t="shared" si="1"/>
        <v>71.225971094944413</v>
      </c>
    </row>
    <row r="49" spans="1:9" x14ac:dyDescent="0.2">
      <c r="A49" t="str">
        <f>'MGGIX US_monthly'!A49</f>
        <v>2020-12-31</v>
      </c>
      <c r="B49">
        <f>('MGGIX US_monthly'!B49-'MGGIX US_monthly'!B48)/'MGGIX US_monthly'!B48</f>
        <v>2.2857142857142857E-2</v>
      </c>
      <c r="C49">
        <f>('MSCI ACWI Index_monthly'!B49-'MSCI ACWI Index_monthly'!B48)/'MSCI ACWI Index_monthly'!B48</f>
        <v>4.6429466409179491E-2</v>
      </c>
      <c r="D49" cm="1">
        <f t="array" ref="D49">GEOMEAN(IF(C14:C49&gt;0,1+B14:B49))-1</f>
        <v>4.6687998166701883E-2</v>
      </c>
      <c r="E49" cm="1">
        <f t="array" ref="E49">GEOMEAN(IF(C14:C49&gt;0,1+C14:C49))-1</f>
        <v>3.7839542821320293E-2</v>
      </c>
      <c r="F49">
        <f t="shared" si="0"/>
        <v>123.38414971651301</v>
      </c>
      <c r="G49" cm="1">
        <f t="array" ref="G49">GEOMEAN(IF(C14:C49&lt;0,1+B14:B49))-1</f>
        <v>-3.4952225709572571E-2</v>
      </c>
      <c r="H49" cm="1">
        <f t="array" ref="H49">GEOMEAN(IF(C14:C49&lt;0,1+C14:C49))-1</f>
        <v>-4.9072304908249209E-2</v>
      </c>
      <c r="I49">
        <f t="shared" si="1"/>
        <v>71.225971094944413</v>
      </c>
    </row>
    <row r="50" spans="1:9" x14ac:dyDescent="0.2">
      <c r="A50" t="str">
        <f>'MGGIX US_monthly'!A50</f>
        <v>2021-01-29</v>
      </c>
      <c r="B50">
        <f>('MGGIX US_monthly'!B50-'MGGIX US_monthly'!B49)/'MGGIX US_monthly'!B49</f>
        <v>-1.2067059564858113E-2</v>
      </c>
      <c r="C50">
        <f>('MSCI ACWI Index_monthly'!B50-'MSCI ACWI Index_monthly'!B49)/'MSCI ACWI Index_monthly'!B49</f>
        <v>-4.5480451574210368E-3</v>
      </c>
      <c r="D50" cm="1">
        <f t="array" ref="D50">GEOMEAN(IF(C15:C50&gt;0,1+B15:B50))-1</f>
        <v>4.5107915726402936E-2</v>
      </c>
      <c r="E50" cm="1">
        <f t="array" ref="E50">GEOMEAN(IF(C15:C50&gt;0,1+C15:C50))-1</f>
        <v>3.7039296720135173E-2</v>
      </c>
      <c r="F50">
        <f t="shared" si="0"/>
        <v>121.78394224715807</v>
      </c>
      <c r="G50" cm="1">
        <f t="array" ref="G50">GEOMEAN(IF(C15:C50&lt;0,1+B15:B50))-1</f>
        <v>-3.3210807840463152E-2</v>
      </c>
      <c r="H50" cm="1">
        <f t="array" ref="H50">GEOMEAN(IF(C15:C50&lt;0,1+C15:C50))-1</f>
        <v>-4.5719227146482244E-2</v>
      </c>
      <c r="I50">
        <f t="shared" si="1"/>
        <v>72.640790129844703</v>
      </c>
    </row>
    <row r="51" spans="1:9" x14ac:dyDescent="0.2">
      <c r="A51" t="str">
        <f>'MGGIX US_monthly'!A51</f>
        <v>2021-02-26</v>
      </c>
      <c r="B51">
        <f>('MGGIX US_monthly'!B51-'MGGIX US_monthly'!B50)/'MGGIX US_monthly'!B50</f>
        <v>3.6869511465058742E-2</v>
      </c>
      <c r="C51">
        <f>('MSCI ACWI Index_monthly'!B51-'MSCI ACWI Index_monthly'!B50)/'MSCI ACWI Index_monthly'!B50</f>
        <v>2.3163452433954922E-2</v>
      </c>
      <c r="D51" cm="1">
        <f t="array" ref="D51">GEOMEAN(IF(C16:C51&gt;0,1+B16:B51))-1</f>
        <v>4.4763345587882863E-2</v>
      </c>
      <c r="E51" cm="1">
        <f t="array" ref="E51">GEOMEAN(IF(C16:C51&gt;0,1+C16:C51))-1</f>
        <v>3.6457397042823025E-2</v>
      </c>
      <c r="F51">
        <f t="shared" si="0"/>
        <v>122.78261537789885</v>
      </c>
      <c r="G51" cm="1">
        <f t="array" ref="G51">GEOMEAN(IF(C16:C51&lt;0,1+B16:B51))-1</f>
        <v>-3.4327415593792154E-2</v>
      </c>
      <c r="H51" cm="1">
        <f t="array" ref="H51">GEOMEAN(IF(C16:C51&lt;0,1+C16:C51))-1</f>
        <v>-4.6028653763426464E-2</v>
      </c>
      <c r="I51">
        <f t="shared" si="1"/>
        <v>74.578361057928873</v>
      </c>
    </row>
    <row r="52" spans="1:9" x14ac:dyDescent="0.2">
      <c r="A52" t="str">
        <f>'MGGIX US_monthly'!A52</f>
        <v>2021-03-31</v>
      </c>
      <c r="B52">
        <f>('MGGIX US_monthly'!B52-'MGGIX US_monthly'!B51)/'MGGIX US_monthly'!B51</f>
        <v>-3.5558487405964387E-2</v>
      </c>
      <c r="C52">
        <f>('MSCI ACWI Index_monthly'!B52-'MSCI ACWI Index_monthly'!B51)/'MSCI ACWI Index_monthly'!B51</f>
        <v>2.6709340671099591E-2</v>
      </c>
      <c r="D52" cm="1">
        <f t="array" ref="D52">GEOMEAN(IF(C17:C52&gt;0,1+B17:B52))-1</f>
        <v>4.142559280087621E-2</v>
      </c>
      <c r="E52" cm="1">
        <f t="array" ref="E52">GEOMEAN(IF(C17:C52&gt;0,1+C17:C52))-1</f>
        <v>3.6065703599048149E-2</v>
      </c>
      <c r="F52">
        <f t="shared" si="0"/>
        <v>114.86145747055249</v>
      </c>
      <c r="G52" cm="1">
        <f t="array" ref="G52">GEOMEAN(IF(C17:C52&lt;0,1+B17:B52))-1</f>
        <v>-3.6848589842514601E-2</v>
      </c>
      <c r="H52" cm="1">
        <f t="array" ref="H52">GEOMEAN(IF(C17:C52&lt;0,1+C17:C52))-1</f>
        <v>-4.8236053175538807E-2</v>
      </c>
      <c r="I52">
        <f t="shared" si="1"/>
        <v>76.392215815039037</v>
      </c>
    </row>
    <row r="53" spans="1:9" x14ac:dyDescent="0.2">
      <c r="A53" t="str">
        <f>'MGGIX US_monthly'!A53</f>
        <v>2021-04-30</v>
      </c>
      <c r="B53">
        <f>('MGGIX US_monthly'!B53-'MGGIX US_monthly'!B52)/'MGGIX US_monthly'!B52</f>
        <v>5.9714984037980236E-2</v>
      </c>
      <c r="C53">
        <f>('MSCI ACWI Index_monthly'!B53-'MSCI ACWI Index_monthly'!B52)/'MSCI ACWI Index_monthly'!B52</f>
        <v>4.3722527282657617E-2</v>
      </c>
      <c r="D53" cm="1">
        <f t="array" ref="D53">GEOMEAN(IF(C18:C53&gt;0,1+B18:B53))-1</f>
        <v>4.3160785689794645E-2</v>
      </c>
      <c r="E53" cm="1">
        <f t="array" ref="E53">GEOMEAN(IF(C18:C53&gt;0,1+C18:C53))-1</f>
        <v>3.7446223562177083E-2</v>
      </c>
      <c r="F53">
        <f t="shared" si="0"/>
        <v>115.26071679332068</v>
      </c>
      <c r="G53" cm="1">
        <f t="array" ref="G53">GEOMEAN(IF(C18:C53&lt;0,1+B18:B53))-1</f>
        <v>-3.6848589842514601E-2</v>
      </c>
      <c r="H53" cm="1">
        <f t="array" ref="H53">GEOMEAN(IF(C18:C53&lt;0,1+C18:C53))-1</f>
        <v>-4.8236053175538807E-2</v>
      </c>
      <c r="I53">
        <f t="shared" si="1"/>
        <v>76.392215815039037</v>
      </c>
    </row>
    <row r="54" spans="1:9" x14ac:dyDescent="0.2">
      <c r="A54" t="str">
        <f>'MGGIX US_monthly'!A54</f>
        <v>2021-05-31</v>
      </c>
      <c r="B54">
        <f>('MGGIX US_monthly'!B54-'MGGIX US_monthly'!B53)/'MGGIX US_monthly'!B53</f>
        <v>-1.6435361113015402E-2</v>
      </c>
      <c r="C54">
        <f>('MSCI ACWI Index_monthly'!B54-'MSCI ACWI Index_monthly'!B53)/'MSCI ACWI Index_monthly'!B53</f>
        <v>1.5562415191855274E-2</v>
      </c>
      <c r="D54" cm="1">
        <f t="array" ref="D54">GEOMEAN(IF(C19:C54&gt;0,1+B19:B54))-1</f>
        <v>4.0022215311067422E-2</v>
      </c>
      <c r="E54" cm="1">
        <f t="array" ref="E54">GEOMEAN(IF(C19:C54&gt;0,1+C19:C54))-1</f>
        <v>3.8035446821852226E-2</v>
      </c>
      <c r="F54">
        <f t="shared" si="0"/>
        <v>105.22346562279307</v>
      </c>
      <c r="G54" cm="1">
        <f t="array" ref="G54">GEOMEAN(IF(C19:C54&lt;0,1+B19:B54))-1</f>
        <v>-3.6848589842514601E-2</v>
      </c>
      <c r="H54" cm="1">
        <f t="array" ref="H54">GEOMEAN(IF(C19:C54&lt;0,1+C19:C54))-1</f>
        <v>-4.8236053175538807E-2</v>
      </c>
      <c r="I54">
        <f t="shared" si="1"/>
        <v>76.392215815039037</v>
      </c>
    </row>
    <row r="55" spans="1:9" x14ac:dyDescent="0.2">
      <c r="A55" t="str">
        <f>'MGGIX US_monthly'!A55</f>
        <v>2021-06-30</v>
      </c>
      <c r="B55">
        <f>('MGGIX US_monthly'!B55-'MGGIX US_monthly'!B54)/'MGGIX US_monthly'!B54</f>
        <v>3.4288150034158534E-2</v>
      </c>
      <c r="C55">
        <f>('MSCI ACWI Index_monthly'!B55-'MSCI ACWI Index_monthly'!B54)/'MSCI ACWI Index_monthly'!B54</f>
        <v>1.3177307665782454E-2</v>
      </c>
      <c r="D55" cm="1">
        <f t="array" ref="D55">GEOMEAN(IF(C20:C55&gt;0,1+B20:B55))-1</f>
        <v>3.9801087640154664E-2</v>
      </c>
      <c r="E55" cm="1">
        <f t="array" ref="E55">GEOMEAN(IF(C20:C55&gt;0,1+C20:C55))-1</f>
        <v>3.7068181586396243E-2</v>
      </c>
      <c r="F55">
        <f t="shared" si="0"/>
        <v>107.37264666568207</v>
      </c>
      <c r="G55" cm="1">
        <f t="array" ref="G55">GEOMEAN(IF(C20:C55&lt;0,1+B20:B55))-1</f>
        <v>-3.9385617482649793E-2</v>
      </c>
      <c r="H55" cm="1">
        <f t="array" ref="H55">GEOMEAN(IF(C20:C55&lt;0,1+C20:C55))-1</f>
        <v>-5.2415384452389469E-2</v>
      </c>
      <c r="I55">
        <f t="shared" si="1"/>
        <v>75.14133091673682</v>
      </c>
    </row>
    <row r="56" spans="1:9" x14ac:dyDescent="0.2">
      <c r="A56" t="str">
        <f>'MGGIX US_monthly'!A56</f>
        <v>2021-07-30</v>
      </c>
      <c r="B56">
        <f>('MGGIX US_monthly'!B56-'MGGIX US_monthly'!B55)/'MGGIX US_monthly'!B55</f>
        <v>-2.6856877536612211E-2</v>
      </c>
      <c r="C56">
        <f>('MSCI ACWI Index_monthly'!B56-'MSCI ACWI Index_monthly'!B55)/'MSCI ACWI Index_monthly'!B55</f>
        <v>6.8907904100604942E-3</v>
      </c>
      <c r="D56" cm="1">
        <f t="array" ref="D56">GEOMEAN(IF(C21:C56&gt;0,1+B21:B56))-1</f>
        <v>3.9447077320889479E-2</v>
      </c>
      <c r="E56" cm="1">
        <f t="array" ref="E56">GEOMEAN(IF(C21:C56&gt;0,1+C21:C56))-1</f>
        <v>3.6157405357847283E-2</v>
      </c>
      <c r="F56">
        <f t="shared" si="0"/>
        <v>109.0981969820139</v>
      </c>
      <c r="G56" cm="1">
        <f t="array" ref="G56">GEOMEAN(IF(C21:C56&lt;0,1+B21:B56))-1</f>
        <v>-3.9385617482649793E-2</v>
      </c>
      <c r="H56" cm="1">
        <f t="array" ref="H56">GEOMEAN(IF(C21:C56&lt;0,1+C21:C56))-1</f>
        <v>-5.2415384452389469E-2</v>
      </c>
      <c r="I56">
        <f t="shared" si="1"/>
        <v>75.14133091673682</v>
      </c>
    </row>
    <row r="57" spans="1:9" x14ac:dyDescent="0.2">
      <c r="A57" t="str">
        <f>'MGGIX US_monthly'!A57</f>
        <v>2021-08-31</v>
      </c>
      <c r="B57">
        <f>('MGGIX US_monthly'!B57-'MGGIX US_monthly'!B56)/'MGGIX US_monthly'!B56</f>
        <v>2.1561017183491803E-2</v>
      </c>
      <c r="C57">
        <f>('MSCI ACWI Index_monthly'!B57-'MSCI ACWI Index_monthly'!B56)/'MSCI ACWI Index_monthly'!B56</f>
        <v>2.5029321765584072E-2</v>
      </c>
      <c r="D57" cm="1">
        <f t="array" ref="D57">GEOMEAN(IF(C22:C57&gt;0,1+B22:B57))-1</f>
        <v>3.9720635697797713E-2</v>
      </c>
      <c r="E57" cm="1">
        <f t="array" ref="E57">GEOMEAN(IF(C22:C57&gt;0,1+C22:C57))-1</f>
        <v>3.6830948541713315E-2</v>
      </c>
      <c r="F57">
        <f t="shared" si="0"/>
        <v>107.84581247700326</v>
      </c>
      <c r="G57" cm="1">
        <f t="array" ref="G57">GEOMEAN(IF(C22:C57&lt;0,1+B22:B57))-1</f>
        <v>-3.9385617482649793E-2</v>
      </c>
      <c r="H57" cm="1">
        <f t="array" ref="H57">GEOMEAN(IF(C22:C57&lt;0,1+C22:C57))-1</f>
        <v>-5.2415384452389469E-2</v>
      </c>
      <c r="I57">
        <f t="shared" si="1"/>
        <v>75.14133091673682</v>
      </c>
    </row>
    <row r="58" spans="1:9" x14ac:dyDescent="0.2">
      <c r="A58" t="str">
        <f>'MGGIX US_monthly'!A58</f>
        <v>2021-09-30</v>
      </c>
      <c r="B58">
        <f>('MGGIX US_monthly'!B58-'MGGIX US_monthly'!B57)/'MGGIX US_monthly'!B57</f>
        <v>-4.5799956410362386E-2</v>
      </c>
      <c r="C58">
        <f>('MSCI ACWI Index_monthly'!B58-'MSCI ACWI Index_monthly'!B57)/'MSCI ACWI Index_monthly'!B57</f>
        <v>-4.1309752120320668E-2</v>
      </c>
      <c r="D58" cm="1">
        <f t="array" ref="D58">GEOMEAN(IF(C23:C58&gt;0,1+B23:B58))-1</f>
        <v>4.1879902525516988E-2</v>
      </c>
      <c r="E58" cm="1">
        <f t="array" ref="E58">GEOMEAN(IF(C23:C58&gt;0,1+C23:C58))-1</f>
        <v>3.8151721913533887E-2</v>
      </c>
      <c r="F58">
        <f t="shared" si="0"/>
        <v>109.77198518177649</v>
      </c>
      <c r="G58" cm="1">
        <f t="array" ref="G58">GEOMEAN(IF(C23:C58&lt;0,1+B23:B58))-1</f>
        <v>-3.9970516622383934E-2</v>
      </c>
      <c r="H58" cm="1">
        <f t="array" ref="H58">GEOMEAN(IF(C23:C58&lt;0,1+C23:C58))-1</f>
        <v>-5.1411120140486655E-2</v>
      </c>
      <c r="I58">
        <f t="shared" si="1"/>
        <v>77.746830866863064</v>
      </c>
    </row>
    <row r="59" spans="1:9" x14ac:dyDescent="0.2">
      <c r="A59" t="str">
        <f>'MGGIX US_monthly'!A59</f>
        <v>2021-10-29</v>
      </c>
      <c r="B59">
        <f>('MGGIX US_monthly'!B59-'MGGIX US_monthly'!B58)/'MGGIX US_monthly'!B58</f>
        <v>5.1979702198788842E-2</v>
      </c>
      <c r="C59">
        <f>('MSCI ACWI Index_monthly'!B59-'MSCI ACWI Index_monthly'!B58)/'MSCI ACWI Index_monthly'!B58</f>
        <v>5.1043521504012333E-2</v>
      </c>
      <c r="D59" cm="1">
        <f t="array" ref="D59">GEOMEAN(IF(C24:C59&gt;0,1+B24:B59))-1</f>
        <v>4.2266557366117175E-2</v>
      </c>
      <c r="E59" cm="1">
        <f t="array" ref="E59">GEOMEAN(IF(C24:C59&gt;0,1+C24:C59))-1</f>
        <v>3.8644623918136833E-2</v>
      </c>
      <c r="F59">
        <f t="shared" si="0"/>
        <v>109.37241220319001</v>
      </c>
      <c r="G59" cm="1">
        <f t="array" ref="G59">GEOMEAN(IF(C24:C59&lt;0,1+B24:B59))-1</f>
        <v>-3.2598170801034887E-2</v>
      </c>
      <c r="H59" cm="1">
        <f t="array" ref="H59">GEOMEAN(IF(C24:C59&lt;0,1+C24:C59))-1</f>
        <v>-4.9025674696700272E-2</v>
      </c>
      <c r="I59">
        <f t="shared" si="1"/>
        <v>66.492039125835717</v>
      </c>
    </row>
    <row r="60" spans="1:9" x14ac:dyDescent="0.2">
      <c r="A60" t="str">
        <f>'MGGIX US_monthly'!A60</f>
        <v>2021-11-30</v>
      </c>
      <c r="B60">
        <f>('MGGIX US_monthly'!B60-'MGGIX US_monthly'!B59)/'MGGIX US_monthly'!B59</f>
        <v>-5.7401166177626035E-2</v>
      </c>
      <c r="C60">
        <f>('MSCI ACWI Index_monthly'!B60-'MSCI ACWI Index_monthly'!B59)/'MSCI ACWI Index_monthly'!B59</f>
        <v>-2.4080453552520299E-2</v>
      </c>
      <c r="D60" cm="1">
        <f t="array" ref="D60">GEOMEAN(IF(C25:C60&gt;0,1+B25:B60))-1</f>
        <v>4.3333557418165247E-2</v>
      </c>
      <c r="E60" cm="1">
        <f t="array" ref="E60">GEOMEAN(IF(C25:C60&gt;0,1+C25:C60))-1</f>
        <v>3.9617130549951307E-2</v>
      </c>
      <c r="F60">
        <f t="shared" si="0"/>
        <v>109.38085827172182</v>
      </c>
      <c r="G60" cm="1">
        <f t="array" ref="G60">GEOMEAN(IF(C25:C60&lt;0,1+B25:B60))-1</f>
        <v>-3.4879703073183776E-2</v>
      </c>
      <c r="H60" cm="1">
        <f t="array" ref="H60">GEOMEAN(IF(C25:C60&lt;0,1+C25:C60))-1</f>
        <v>-4.6784523402381928E-2</v>
      </c>
      <c r="I60">
        <f t="shared" si="1"/>
        <v>74.553934798463615</v>
      </c>
    </row>
    <row r="61" spans="1:9" x14ac:dyDescent="0.2">
      <c r="A61" t="str">
        <f>'MGGIX US_monthly'!A61</f>
        <v>2021-12-31</v>
      </c>
      <c r="B61">
        <f>('MGGIX US_monthly'!B61-'MGGIX US_monthly'!B60)/'MGGIX US_monthly'!B60</f>
        <v>-4.773596067228536E-2</v>
      </c>
      <c r="C61">
        <f>('MSCI ACWI Index_monthly'!B61-'MSCI ACWI Index_monthly'!B60)/'MSCI ACWI Index_monthly'!B60</f>
        <v>4.0000496148918041E-2</v>
      </c>
      <c r="D61" cm="1">
        <f t="array" ref="D61">GEOMEAN(IF(C26:C61&gt;0,1+B26:B61))-1</f>
        <v>3.9674922581914407E-2</v>
      </c>
      <c r="E61" cm="1">
        <f t="array" ref="E61">GEOMEAN(IF(C26:C61&gt;0,1+C26:C61))-1</f>
        <v>3.9631872767247112E-2</v>
      </c>
      <c r="F61">
        <f t="shared" si="0"/>
        <v>100.10862422505271</v>
      </c>
      <c r="G61" cm="1">
        <f t="array" ref="G61">GEOMEAN(IF(C26:C61&lt;0,1+B26:B61))-1</f>
        <v>-3.2045174112871333E-2</v>
      </c>
      <c r="H61" cm="1">
        <f t="array" ref="H61">GEOMEAN(IF(C26:C61&lt;0,1+C26:C61))-1</f>
        <v>-4.438668479496044E-2</v>
      </c>
      <c r="I61">
        <f t="shared" si="1"/>
        <v>72.195466412733012</v>
      </c>
    </row>
    <row r="62" spans="1:9" x14ac:dyDescent="0.2">
      <c r="A62" t="str">
        <f>'MGGIX US_monthly'!A62</f>
        <v>2022-01-31</v>
      </c>
      <c r="B62">
        <f>('MGGIX US_monthly'!B62-'MGGIX US_monthly'!B61)/'MGGIX US_monthly'!B61</f>
        <v>-0.10915905357974372</v>
      </c>
      <c r="C62">
        <f>('MSCI ACWI Index_monthly'!B62-'MSCI ACWI Index_monthly'!B61)/'MSCI ACWI Index_monthly'!B61</f>
        <v>-4.9112401411385502E-2</v>
      </c>
      <c r="D62" cm="1">
        <f t="array" ref="D62">GEOMEAN(IF(C27:C62&gt;0,1+B27:B62))-1</f>
        <v>3.7139445886193556E-2</v>
      </c>
      <c r="E62" cm="1">
        <f t="array" ref="E62">GEOMEAN(IF(C27:C62&gt;0,1+C27:C62))-1</f>
        <v>3.8088935115212497E-2</v>
      </c>
      <c r="F62">
        <f t="shared" si="0"/>
        <v>97.507178328438698</v>
      </c>
      <c r="G62" cm="1">
        <f t="array" ref="G62">GEOMEAN(IF(C27:C62&lt;0,1+B27:B62))-1</f>
        <v>-3.9323052348155252E-2</v>
      </c>
      <c r="H62" cm="1">
        <f t="array" ref="H62">GEOMEAN(IF(C27:C62&lt;0,1+C27:C62))-1</f>
        <v>-4.4817264136539303E-2</v>
      </c>
      <c r="I62">
        <f t="shared" si="1"/>
        <v>87.740858586000456</v>
      </c>
    </row>
    <row r="63" spans="1:9" x14ac:dyDescent="0.2">
      <c r="A63" t="str">
        <f>'MGGIX US_monthly'!A63</f>
        <v>2022-02-28</v>
      </c>
      <c r="B63">
        <f>('MGGIX US_monthly'!B63-'MGGIX US_monthly'!B62)/'MGGIX US_monthly'!B62</f>
        <v>-7.7044449098716841E-2</v>
      </c>
      <c r="C63">
        <f>('MSCI ACWI Index_monthly'!B63-'MSCI ACWI Index_monthly'!B62)/'MSCI ACWI Index_monthly'!B62</f>
        <v>-2.5827242416718736E-2</v>
      </c>
      <c r="D63" cm="1">
        <f t="array" ref="D63">GEOMEAN(IF(C28:C63&gt;0,1+B28:B63))-1</f>
        <v>3.7425280098165814E-2</v>
      </c>
      <c r="E63" cm="1">
        <f t="array" ref="E63">GEOMEAN(IF(C28:C63&gt;0,1+C28:C63))-1</f>
        <v>3.856421883717287E-2</v>
      </c>
      <c r="F63">
        <f t="shared" si="0"/>
        <v>97.046643823343288</v>
      </c>
      <c r="G63" cm="1">
        <f t="array" ref="G63">GEOMEAN(IF(C28:C63&lt;0,1+B28:B63))-1</f>
        <v>-4.2524534756491872E-2</v>
      </c>
      <c r="H63" cm="1">
        <f t="array" ref="H63">GEOMEAN(IF(C28:C63&lt;0,1+C28:C63))-1</f>
        <v>-4.3249001761677452E-2</v>
      </c>
      <c r="I63">
        <f t="shared" si="1"/>
        <v>98.324893117353923</v>
      </c>
    </row>
    <row r="64" spans="1:9" x14ac:dyDescent="0.2">
      <c r="A64" t="str">
        <f>'MGGIX US_monthly'!A64</f>
        <v>2022-03-31</v>
      </c>
      <c r="B64">
        <f>('MGGIX US_monthly'!B64-'MGGIX US_monthly'!B63)/'MGGIX US_monthly'!B63</f>
        <v>-3.048432311508812E-2</v>
      </c>
      <c r="C64">
        <f>('MSCI ACWI Index_monthly'!B64-'MSCI ACWI Index_monthly'!B63)/'MSCI ACWI Index_monthly'!B63</f>
        <v>2.1659015368304516E-2</v>
      </c>
      <c r="D64" cm="1">
        <f t="array" ref="D64">GEOMEAN(IF(C29:C64&gt;0,1+B29:B64))-1</f>
        <v>3.4377855951093883E-2</v>
      </c>
      <c r="E64" cm="1">
        <f t="array" ref="E64">GEOMEAN(IF(C29:C64&gt;0,1+C29:C64))-1</f>
        <v>3.8950732315156777E-2</v>
      </c>
      <c r="F64">
        <f t="shared" si="0"/>
        <v>88.259844957309141</v>
      </c>
      <c r="G64" cm="1">
        <f t="array" ref="G64">GEOMEAN(IF(C29:C64&lt;0,1+B29:B64))-1</f>
        <v>-4.2524534756491872E-2</v>
      </c>
      <c r="H64" cm="1">
        <f t="array" ref="H64">GEOMEAN(IF(C29:C64&lt;0,1+C29:C64))-1</f>
        <v>-4.3249001761677452E-2</v>
      </c>
      <c r="I64">
        <f t="shared" si="1"/>
        <v>98.324893117353923</v>
      </c>
    </row>
    <row r="65" spans="1:9" x14ac:dyDescent="0.2">
      <c r="A65" t="str">
        <f>'MGGIX US_monthly'!A65</f>
        <v>2022-04-29</v>
      </c>
      <c r="B65">
        <f>('MGGIX US_monthly'!B65-'MGGIX US_monthly'!B64)/'MGGIX US_monthly'!B64</f>
        <v>-0.14957385917791616</v>
      </c>
      <c r="C65">
        <f>('MSCI ACWI Index_monthly'!B65-'MSCI ACWI Index_monthly'!B64)/'MSCI ACWI Index_monthly'!B64</f>
        <v>-8.0041834077708152E-2</v>
      </c>
      <c r="D65" cm="1">
        <f t="array" ref="D65">GEOMEAN(IF(C30:C65&gt;0,1+B30:B65))-1</f>
        <v>3.369300663609831E-2</v>
      </c>
      <c r="E65" cm="1">
        <f t="array" ref="E65">GEOMEAN(IF(C30:C65&gt;0,1+C30:C65))-1</f>
        <v>3.9176760658960141E-2</v>
      </c>
      <c r="F65">
        <f t="shared" si="0"/>
        <v>86.002533311524218</v>
      </c>
      <c r="G65" cm="1">
        <f t="array" ref="G65">GEOMEAN(IF(C30:C65&lt;0,1+B30:B65))-1</f>
        <v>-5.121719776722844E-2</v>
      </c>
      <c r="H65" cm="1">
        <f t="array" ref="H65">GEOMEAN(IF(C30:C65&lt;0,1+C30:C65))-1</f>
        <v>-4.6130727173987363E-2</v>
      </c>
      <c r="I65">
        <f t="shared" si="1"/>
        <v>111.02620943749027</v>
      </c>
    </row>
    <row r="66" spans="1:9" x14ac:dyDescent="0.2">
      <c r="A66" t="str">
        <f>'MGGIX US_monthly'!A66</f>
        <v>2022-05-31</v>
      </c>
      <c r="B66">
        <f>('MGGIX US_monthly'!B66-'MGGIX US_monthly'!B65)/'MGGIX US_monthly'!B65</f>
        <v>-5.0449238592899119E-2</v>
      </c>
      <c r="C66">
        <f>('MSCI ACWI Index_monthly'!B66-'MSCI ACWI Index_monthly'!B65)/'MSCI ACWI Index_monthly'!B65</f>
        <v>1.1702614796286251E-3</v>
      </c>
      <c r="D66" cm="1">
        <f t="array" ref="D66">GEOMEAN(IF(C31:C66&gt;0,1+B31:B66))-1</f>
        <v>3.0042600857286716E-2</v>
      </c>
      <c r="E66" cm="1">
        <f t="array" ref="E66">GEOMEAN(IF(C31:C66&gt;0,1+C31:C66))-1</f>
        <v>3.7564723021922486E-2</v>
      </c>
      <c r="F66">
        <f t="shared" si="0"/>
        <v>79.975568673177975</v>
      </c>
      <c r="G66" cm="1">
        <f t="array" ref="G66">GEOMEAN(IF(C31:C66&lt;0,1+B31:B66))-1</f>
        <v>-5.1621249260163427E-2</v>
      </c>
      <c r="H66" cm="1">
        <f t="array" ref="H66">GEOMEAN(IF(C31:C66&lt;0,1+C31:C66))-1</f>
        <v>-4.5023391487204245E-2</v>
      </c>
      <c r="I66">
        <f t="shared" si="1"/>
        <v>114.65428870420457</v>
      </c>
    </row>
    <row r="67" spans="1:9" x14ac:dyDescent="0.2">
      <c r="A67" t="str">
        <f>'MGGIX US_monthly'!A67</f>
        <v>2022-06-30</v>
      </c>
      <c r="B67">
        <f>('MGGIX US_monthly'!B67-'MGGIX US_monthly'!B66)/'MGGIX US_monthly'!B66</f>
        <v>-0.10007278187080375</v>
      </c>
      <c r="C67">
        <f>('MSCI ACWI Index_monthly'!B67-'MSCI ACWI Index_monthly'!B66)/'MSCI ACWI Index_monthly'!B66</f>
        <v>-8.4296358753912767E-2</v>
      </c>
      <c r="D67" cm="1">
        <f t="array" ref="D67">GEOMEAN(IF(C32:C67&gt;0,1+B32:B67))-1</f>
        <v>2.8694363631385222E-2</v>
      </c>
      <c r="E67" cm="1">
        <f t="array" ref="E67">GEOMEAN(IF(C32:C67&gt;0,1+C32:C67))-1</f>
        <v>3.6367762791078562E-2</v>
      </c>
      <c r="F67">
        <f t="shared" si="0"/>
        <v>78.900546608339312</v>
      </c>
      <c r="G67" cm="1">
        <f t="array" ref="G67">GEOMEAN(IF(C32:C67&lt;0,1+B32:B67))-1</f>
        <v>-5.5439161791637215E-2</v>
      </c>
      <c r="H67" cm="1">
        <f t="array" ref="H67">GEOMEAN(IF(C32:C67&lt;0,1+C32:C67))-1</f>
        <v>-4.8103287714449716E-2</v>
      </c>
      <c r="I67">
        <f t="shared" si="1"/>
        <v>115.25025507764593</v>
      </c>
    </row>
    <row r="68" spans="1:9" x14ac:dyDescent="0.2">
      <c r="A68" t="str">
        <f>'MGGIX US_monthly'!A68</f>
        <v>2022-07-29</v>
      </c>
      <c r="B68">
        <f>('MGGIX US_monthly'!B68-'MGGIX US_monthly'!B67)/'MGGIX US_monthly'!B67</f>
        <v>0.11605341254987632</v>
      </c>
      <c r="C68">
        <f>('MSCI ACWI Index_monthly'!B68-'MSCI ACWI Index_monthly'!B67)/'MSCI ACWI Index_monthly'!B67</f>
        <v>6.9832524138873822E-2</v>
      </c>
      <c r="D68" cm="1">
        <f t="array" ref="D68">GEOMEAN(IF(C33:C68&gt;0,1+B33:B68))-1</f>
        <v>3.3966860175083324E-2</v>
      </c>
      <c r="E68" cm="1">
        <f t="array" ref="E68">GEOMEAN(IF(C33:C68&gt;0,1+C33:C68))-1</f>
        <v>3.9281622891214507E-2</v>
      </c>
      <c r="F68">
        <f t="shared" si="0"/>
        <v>86.470104020779019</v>
      </c>
      <c r="G68" cm="1">
        <f t="array" ref="G68">GEOMEAN(IF(C33:C68&lt;0,1+B33:B68))-1</f>
        <v>-5.5439161791637215E-2</v>
      </c>
      <c r="H68" cm="1">
        <f t="array" ref="H68">GEOMEAN(IF(C33:C68&lt;0,1+C33:C68))-1</f>
        <v>-4.8103287714449716E-2</v>
      </c>
      <c r="I68">
        <f t="shared" si="1"/>
        <v>115.25025507764593</v>
      </c>
    </row>
    <row r="69" spans="1:9" x14ac:dyDescent="0.2">
      <c r="A69" t="str">
        <f>'MGGIX US_monthly'!A69</f>
        <v>2022-08-31</v>
      </c>
      <c r="B69">
        <f>('MGGIX US_monthly'!B69-'MGGIX US_monthly'!B68)/'MGGIX US_monthly'!B68</f>
        <v>-2.4637691875988028E-2</v>
      </c>
      <c r="C69">
        <f>('MSCI ACWI Index_monthly'!B69-'MSCI ACWI Index_monthly'!B68)/'MSCI ACWI Index_monthly'!B68</f>
        <v>-3.6814899365066892E-2</v>
      </c>
      <c r="D69" cm="1">
        <f t="array" ref="D69">GEOMEAN(IF(C34:C69&gt;0,1+B34:B69))-1</f>
        <v>3.3966860175083324E-2</v>
      </c>
      <c r="E69" cm="1">
        <f t="array" ref="E69">GEOMEAN(IF(C34:C69&gt;0,1+C34:C69))-1</f>
        <v>3.9281622891214507E-2</v>
      </c>
      <c r="F69">
        <f t="shared" si="0"/>
        <v>86.470104020779019</v>
      </c>
      <c r="G69" cm="1">
        <f t="array" ref="G69">GEOMEAN(IF(C34:C69&lt;0,1+B34:B69))-1</f>
        <v>-5.6380749485437476E-2</v>
      </c>
      <c r="H69" cm="1">
        <f t="array" ref="H69">GEOMEAN(IF(C34:C69&lt;0,1+C34:C69))-1</f>
        <v>-4.9091390238627075E-2</v>
      </c>
      <c r="I69">
        <f t="shared" si="1"/>
        <v>114.84854922905573</v>
      </c>
    </row>
    <row r="70" spans="1:9" x14ac:dyDescent="0.2">
      <c r="A70" t="str">
        <f>'MGGIX US_monthly'!A70</f>
        <v>2022-09-30</v>
      </c>
      <c r="B70">
        <f>('MGGIX US_monthly'!B70-'MGGIX US_monthly'!B69)/'MGGIX US_monthly'!B69</f>
        <v>-0.11812779703430047</v>
      </c>
      <c r="C70">
        <f>('MSCI ACWI Index_monthly'!B70-'MSCI ACWI Index_monthly'!B69)/'MSCI ACWI Index_monthly'!B69</f>
        <v>-9.5729301151935425E-2</v>
      </c>
      <c r="D70" cm="1">
        <f t="array" ref="D70">GEOMEAN(IF(C35:C70&gt;0,1+B35:B70))-1</f>
        <v>3.6288763665016432E-2</v>
      </c>
      <c r="E70" cm="1">
        <f t="array" ref="E70">GEOMEAN(IF(C35:C70&gt;0,1+C35:C70))-1</f>
        <v>4.0118415552894193E-2</v>
      </c>
      <c r="F70">
        <f t="shared" si="0"/>
        <v>90.454129767840527</v>
      </c>
      <c r="G70" cm="1">
        <f t="array" ref="G70">GEOMEAN(IF(C35:C70&lt;0,1+B35:B70))-1</f>
        <v>-6.0931170653432121E-2</v>
      </c>
      <c r="H70" cm="1">
        <f t="array" ref="H70">GEOMEAN(IF(C35:C70&lt;0,1+C35:C70))-1</f>
        <v>-5.250100782564926E-2</v>
      </c>
      <c r="I70">
        <f t="shared" si="1"/>
        <v>116.05714476144651</v>
      </c>
    </row>
    <row r="71" spans="1:9" x14ac:dyDescent="0.2">
      <c r="A71" t="str">
        <f>'MGGIX US_monthly'!A71</f>
        <v>2022-10-31</v>
      </c>
      <c r="B71">
        <f>('MGGIX US_monthly'!B71-'MGGIX US_monthly'!B70)/'MGGIX US_monthly'!B70</f>
        <v>3.5383326060931093E-2</v>
      </c>
      <c r="C71">
        <f>('MSCI ACWI Index_monthly'!B71-'MSCI ACWI Index_monthly'!B70)/'MSCI ACWI Index_monthly'!B70</f>
        <v>6.0347039697852788E-2</v>
      </c>
      <c r="D71" cm="1">
        <f t="array" ref="D71">GEOMEAN(IF(C36:C71&gt;0,1+B36:B71))-1</f>
        <v>3.6279303611870928E-2</v>
      </c>
      <c r="E71" cm="1">
        <f t="array" ref="E71">GEOMEAN(IF(C36:C71&gt;0,1+C36:C71))-1</f>
        <v>4.1613257527958192E-2</v>
      </c>
      <c r="F71">
        <f t="shared" si="0"/>
        <v>87.182080344218178</v>
      </c>
      <c r="G71" cm="1">
        <f t="array" ref="G71">GEOMEAN(IF(C36:C71&lt;0,1+B36:B71))-1</f>
        <v>-6.0931170653432121E-2</v>
      </c>
      <c r="H71" cm="1">
        <f t="array" ref="H71">GEOMEAN(IF(C36:C71&lt;0,1+C36:C71))-1</f>
        <v>-5.250100782564926E-2</v>
      </c>
      <c r="I71">
        <f t="shared" si="1"/>
        <v>116.05714476144651</v>
      </c>
    </row>
    <row r="72" spans="1:9" x14ac:dyDescent="0.2">
      <c r="A72" t="str">
        <f>'MGGIX US_monthly'!A72</f>
        <v>2022-11-30</v>
      </c>
      <c r="B72">
        <f>('MGGIX US_monthly'!B72-'MGGIX US_monthly'!B71)/'MGGIX US_monthly'!B71</f>
        <v>9.3978823153475069E-2</v>
      </c>
      <c r="C72">
        <f>('MSCI ACWI Index_monthly'!B72-'MSCI ACWI Index_monthly'!B71)/'MSCI ACWI Index_monthly'!B71</f>
        <v>7.7563393009041609E-2</v>
      </c>
      <c r="D72" cm="1">
        <f t="array" ref="D72">GEOMEAN(IF(C37:C72&gt;0,1+B37:B72))-1</f>
        <v>3.8202197682525751E-2</v>
      </c>
      <c r="E72" cm="1">
        <f t="array" ref="E72">GEOMEAN(IF(C37:C72&gt;0,1+C37:C72))-1</f>
        <v>4.4010971198656712E-2</v>
      </c>
      <c r="F72">
        <f t="shared" si="0"/>
        <v>86.801532986147194</v>
      </c>
      <c r="G72" cm="1">
        <f t="array" ref="G72">GEOMEAN(IF(C37:C72&lt;0,1+B37:B72))-1</f>
        <v>-6.0931170653432121E-2</v>
      </c>
      <c r="H72" cm="1">
        <f t="array" ref="H72">GEOMEAN(IF(C37:C72&lt;0,1+C37:C72))-1</f>
        <v>-5.250100782564926E-2</v>
      </c>
      <c r="I72">
        <f t="shared" si="1"/>
        <v>116.05714476144651</v>
      </c>
    </row>
    <row r="73" spans="1:9" x14ac:dyDescent="0.2">
      <c r="A73" t="str">
        <f>'MGGIX US_monthly'!A73</f>
        <v>2022-12-30</v>
      </c>
      <c r="B73">
        <f>('MGGIX US_monthly'!B73-'MGGIX US_monthly'!B72)/'MGGIX US_monthly'!B72</f>
        <v>-0.24358495298375107</v>
      </c>
      <c r="C73">
        <f>('MSCI ACWI Index_monthly'!B73-'MSCI ACWI Index_monthly'!B72)/'MSCI ACWI Index_monthly'!B72</f>
        <v>-3.9350958960624446E-2</v>
      </c>
      <c r="D73" cm="1">
        <f t="array" ref="D73">GEOMEAN(IF(C38:C73&gt;0,1+B38:B73))-1</f>
        <v>3.8852930845147959E-2</v>
      </c>
      <c r="E73" cm="1">
        <f t="array" ref="E73">GEOMEAN(IF(C38:C73&gt;0,1+C38:C73))-1</f>
        <v>4.4431675698968665E-2</v>
      </c>
      <c r="F73">
        <f t="shared" si="0"/>
        <v>87.444216842917328</v>
      </c>
      <c r="G73" cm="1">
        <f t="array" ref="G73">GEOMEAN(IF(C38:C73&lt;0,1+B38:B73))-1</f>
        <v>-7.4375287860854677E-2</v>
      </c>
      <c r="H73" cm="1">
        <f t="array" ref="H73">GEOMEAN(IF(C38:C73&lt;0,1+C38:C73))-1</f>
        <v>-5.1629965577897785E-2</v>
      </c>
      <c r="I73">
        <f t="shared" si="1"/>
        <v>144.05449825187159</v>
      </c>
    </row>
    <row r="74" spans="1:9" x14ac:dyDescent="0.2">
      <c r="A74" t="str">
        <f>'MGGIX US_monthly'!A74</f>
        <v>2023-01-31</v>
      </c>
      <c r="B74">
        <f>('MGGIX US_monthly'!B74-'MGGIX US_monthly'!B73)/'MGGIX US_monthly'!B73</f>
        <v>0.1632251558465159</v>
      </c>
      <c r="C74">
        <f>('MSCI ACWI Index_monthly'!B74-'MSCI ACWI Index_monthly'!B73)/'MSCI ACWI Index_monthly'!B73</f>
        <v>7.1676859534494236E-2</v>
      </c>
      <c r="D74" cm="1">
        <f t="array" ref="D74">GEOMEAN(IF(C39:C74&gt;0,1+B39:B74))-1</f>
        <v>4.4206348296873088E-2</v>
      </c>
      <c r="E74" cm="1">
        <f t="array" ref="E74">GEOMEAN(IF(C39:C74&gt;0,1+C39:C74))-1</f>
        <v>4.5654931700082724E-2</v>
      </c>
      <c r="F74">
        <f t="shared" si="0"/>
        <v>96.827104215759874</v>
      </c>
      <c r="G74" cm="1">
        <f t="array" ref="G74">GEOMEAN(IF(C39:C74&lt;0,1+B39:B74))-1</f>
        <v>-8.0766918666932197E-2</v>
      </c>
      <c r="H74" cm="1">
        <f t="array" ref="H74">GEOMEAN(IF(C39:C74&lt;0,1+C39:C74))-1</f>
        <v>-5.4464270167535522E-2</v>
      </c>
      <c r="I74">
        <f t="shared" si="1"/>
        <v>148.2934011940086</v>
      </c>
    </row>
    <row r="75" spans="1:9" x14ac:dyDescent="0.2">
      <c r="A75" t="str">
        <f>'MGGIX US_monthly'!A75</f>
        <v>2023-02-28</v>
      </c>
      <c r="B75">
        <f>('MGGIX US_monthly'!B75-'MGGIX US_monthly'!B74)/'MGGIX US_monthly'!B74</f>
        <v>-2.7472511526723212E-2</v>
      </c>
      <c r="C75">
        <f>('MSCI ACWI Index_monthly'!B75-'MSCI ACWI Index_monthly'!B74)/'MSCI ACWI Index_monthly'!B74</f>
        <v>-2.8660002362463015E-2</v>
      </c>
      <c r="D75" cm="1">
        <f t="array" ref="D75">GEOMEAN(IF(C40:C75&gt;0,1+B40:B75))-1</f>
        <v>4.4206348296873088E-2</v>
      </c>
      <c r="E75" cm="1">
        <f t="array" ref="E75">GEOMEAN(IF(C40:C75&gt;0,1+C40:C75))-1</f>
        <v>4.5654931700082724E-2</v>
      </c>
      <c r="F75">
        <f t="shared" si="0"/>
        <v>96.827104215759874</v>
      </c>
      <c r="G75" cm="1">
        <f t="array" ref="G75">GEOMEAN(IF(C40:C75&lt;0,1+B40:B75))-1</f>
        <v>-7.9633384782026639E-2</v>
      </c>
      <c r="H75" cm="1">
        <f t="array" ref="H75">GEOMEAN(IF(C40:C75&lt;0,1+C40:C75))-1</f>
        <v>-5.0732869393446012E-2</v>
      </c>
      <c r="I75">
        <f t="shared" si="1"/>
        <v>156.96605718168618</v>
      </c>
    </row>
    <row r="76" spans="1:9" x14ac:dyDescent="0.2">
      <c r="A76" t="str">
        <f>'MGGIX US_monthly'!A76</f>
        <v>2023-03-31</v>
      </c>
      <c r="B76">
        <f>('MGGIX US_monthly'!B76-'MGGIX US_monthly'!B75)/'MGGIX US_monthly'!B75</f>
        <v>6.5623651189123902E-2</v>
      </c>
      <c r="C76">
        <f>('MSCI ACWI Index_monthly'!B76-'MSCI ACWI Index_monthly'!B75)/'MSCI ACWI Index_monthly'!B75</f>
        <v>3.083258005461105E-2</v>
      </c>
      <c r="D76" cm="1">
        <f t="array" ref="D76">GEOMEAN(IF(C41:C76&gt;0,1+B41:B76))-1</f>
        <v>4.5128521338015704E-2</v>
      </c>
      <c r="E76" cm="1">
        <f t="array" ref="E76">GEOMEAN(IF(C41:C76&gt;0,1+C41:C76))-1</f>
        <v>4.5006071802375258E-2</v>
      </c>
      <c r="F76">
        <f t="shared" si="0"/>
        <v>100.27207336862931</v>
      </c>
      <c r="G76" cm="1">
        <f t="array" ref="G76">GEOMEAN(IF(C41:C76&lt;0,1+B41:B76))-1</f>
        <v>-7.848761081356892E-2</v>
      </c>
      <c r="H76" cm="1">
        <f t="array" ref="H76">GEOMEAN(IF(C41:C76&lt;0,1+C41:C76))-1</f>
        <v>-4.3920215465188095E-2</v>
      </c>
      <c r="I76">
        <f t="shared" si="1"/>
        <v>178.70497669980588</v>
      </c>
    </row>
    <row r="77" spans="1:9" x14ac:dyDescent="0.2">
      <c r="A77" t="str">
        <f>'MGGIX US_monthly'!A77</f>
        <v>2023-04-28</v>
      </c>
      <c r="B77">
        <f>('MGGIX US_monthly'!B77-'MGGIX US_monthly'!B76)/'MGGIX US_monthly'!B76</f>
        <v>5.7095997975061558E-3</v>
      </c>
      <c r="C77">
        <f>('MSCI ACWI Index_monthly'!B77-'MSCI ACWI Index_monthly'!B76)/'MSCI ACWI Index_monthly'!B76</f>
        <v>1.4372564964552687E-2</v>
      </c>
      <c r="D77" cm="1">
        <f t="array" ref="D77">GEOMEAN(IF(C42:C77&gt;0,1+B42:B77))-1</f>
        <v>3.9928468769804937E-2</v>
      </c>
      <c r="E77" cm="1">
        <f t="array" ref="E77">GEOMEAN(IF(C42:C77&gt;0,1+C42:C77))-1</f>
        <v>4.1038222646478717E-2</v>
      </c>
      <c r="F77">
        <f t="shared" si="0"/>
        <v>97.295804240272076</v>
      </c>
      <c r="G77" cm="1">
        <f t="array" ref="G77">GEOMEAN(IF(C42:C77&lt;0,1+B42:B77))-1</f>
        <v>-7.848761081356892E-2</v>
      </c>
      <c r="H77" cm="1">
        <f t="array" ref="H77">GEOMEAN(IF(C42:C77&lt;0,1+C42:C77))-1</f>
        <v>-4.3920215465188095E-2</v>
      </c>
      <c r="I77">
        <f t="shared" si="1"/>
        <v>178.70497669980588</v>
      </c>
    </row>
    <row r="78" spans="1:9" x14ac:dyDescent="0.2">
      <c r="A78" t="str">
        <f>'MGGIX US_monthly'!A78</f>
        <v>2023-05-31</v>
      </c>
      <c r="B78">
        <f>('MGGIX US_monthly'!B78-'MGGIX US_monthly'!B77)/'MGGIX US_monthly'!B77</f>
        <v>3.7712907985816425E-2</v>
      </c>
      <c r="C78">
        <f>('MSCI ACWI Index_monthly'!B78-'MSCI ACWI Index_monthly'!B77)/'MSCI ACWI Index_monthly'!B77</f>
        <v>-1.0710521056164338E-2</v>
      </c>
      <c r="D78" cm="1">
        <f t="array" ref="D78">GEOMEAN(IF(C43:C78&gt;0,1+B43:B78))-1</f>
        <v>3.7842457407652574E-2</v>
      </c>
      <c r="E78" cm="1">
        <f t="array" ref="E78">GEOMEAN(IF(C43:C78&gt;0,1+C43:C78))-1</f>
        <v>4.0926869024175971E-2</v>
      </c>
      <c r="F78">
        <f t="shared" si="0"/>
        <v>92.463602298281359</v>
      </c>
      <c r="G78" cm="1">
        <f t="array" ref="G78">GEOMEAN(IF(C43:C78&lt;0,1+B43:B78))-1</f>
        <v>-7.0637421449090465E-2</v>
      </c>
      <c r="H78" cm="1">
        <f t="array" ref="H78">GEOMEAN(IF(C43:C78&lt;0,1+C43:C78))-1</f>
        <v>-4.1585516761435404E-2</v>
      </c>
      <c r="I78">
        <f t="shared" si="1"/>
        <v>169.86063165769417</v>
      </c>
    </row>
    <row r="79" spans="1:9" x14ac:dyDescent="0.2">
      <c r="A79" t="str">
        <f>'MGGIX US_monthly'!A79</f>
        <v>2023-06-30</v>
      </c>
      <c r="B79">
        <f>('MGGIX US_monthly'!B79-'MGGIX US_monthly'!B78)/'MGGIX US_monthly'!B78</f>
        <v>6.7995301318599058E-2</v>
      </c>
      <c r="C79">
        <f>('MSCI ACWI Index_monthly'!B79-'MSCI ACWI Index_monthly'!B78)/'MSCI ACWI Index_monthly'!B78</f>
        <v>5.8060939306988787E-2</v>
      </c>
      <c r="D79" cm="1">
        <f t="array" ref="D79">GEOMEAN(IF(C44:C79&gt;0,1+B44:B79))-1</f>
        <v>3.7581457109023608E-2</v>
      </c>
      <c r="E79" cm="1">
        <f t="array" ref="E79">GEOMEAN(IF(C44:C79&gt;0,1+C44:C79))-1</f>
        <v>4.2109716298004418E-2</v>
      </c>
      <c r="F79">
        <f t="shared" si="0"/>
        <v>89.246521736373225</v>
      </c>
      <c r="G79" cm="1">
        <f t="array" ref="G79">GEOMEAN(IF(C44:C79&lt;0,1+B44:B79))-1</f>
        <v>-7.0637421449090465E-2</v>
      </c>
      <c r="H79" cm="1">
        <f t="array" ref="H79">GEOMEAN(IF(C44:C79&lt;0,1+C44:C79))-1</f>
        <v>-4.1585516761435404E-2</v>
      </c>
      <c r="I79">
        <f t="shared" si="1"/>
        <v>169.86063165769417</v>
      </c>
    </row>
    <row r="80" spans="1:9" x14ac:dyDescent="0.2">
      <c r="A80" t="str">
        <f>'MGGIX US_monthly'!A80</f>
        <v>2023-07-31</v>
      </c>
      <c r="B80">
        <f>('MGGIX US_monthly'!B80-'MGGIX US_monthly'!B79)/'MGGIX US_monthly'!B79</f>
        <v>5.1957558736115933E-2</v>
      </c>
      <c r="C80">
        <f>('MSCI ACWI Index_monthly'!B80-'MSCI ACWI Index_monthly'!B79)/'MSCI ACWI Index_monthly'!B79</f>
        <v>3.6607953757895884E-2</v>
      </c>
      <c r="D80" cm="1">
        <f t="array" ref="D80">GEOMEAN(IF(C45:C80&gt;0,1+B45:B80))-1</f>
        <v>3.6857204270238864E-2</v>
      </c>
      <c r="E80" cm="1">
        <f t="array" ref="E80">GEOMEAN(IF(C45:C80&gt;0,1+C45:C80))-1</f>
        <v>4.1371872738805271E-2</v>
      </c>
      <c r="F80">
        <f t="shared" si="0"/>
        <v>89.087589780938742</v>
      </c>
      <c r="G80" cm="1">
        <f t="array" ref="G80">GEOMEAN(IF(C45:C80&lt;0,1+B45:B80))-1</f>
        <v>-7.0637421449090465E-2</v>
      </c>
      <c r="H80" cm="1">
        <f t="array" ref="H80">GEOMEAN(IF(C45:C80&lt;0,1+C45:C80))-1</f>
        <v>-4.1585516761435404E-2</v>
      </c>
      <c r="I80">
        <f t="shared" si="1"/>
        <v>169.86063165769417</v>
      </c>
    </row>
    <row r="81" spans="1:9" x14ac:dyDescent="0.2">
      <c r="A81" t="str">
        <f>'MGGIX US_monthly'!A81</f>
        <v>2023-08-31</v>
      </c>
      <c r="B81">
        <f>('MGGIX US_monthly'!B81-'MGGIX US_monthly'!B80)/'MGGIX US_monthly'!B80</f>
        <v>-3.4434774647589553E-2</v>
      </c>
      <c r="C81">
        <f>('MSCI ACWI Index_monthly'!B81-'MSCI ACWI Index_monthly'!B80)/'MSCI ACWI Index_monthly'!B80</f>
        <v>-2.7943918360517246E-2</v>
      </c>
      <c r="D81" cm="1">
        <f t="array" ref="D81">GEOMEAN(IF(C46:C81&gt;0,1+B46:B81))-1</f>
        <v>3.3237322053237817E-2</v>
      </c>
      <c r="E81" cm="1">
        <f t="array" ref="E81">GEOMEAN(IF(C46:C81&gt;0,1+C46:C81))-1</f>
        <v>4.0436734054922541E-2</v>
      </c>
      <c r="F81">
        <f t="shared" si="0"/>
        <v>82.195861832198815</v>
      </c>
      <c r="G81" cm="1">
        <f t="array" ref="G81">GEOMEAN(IF(C46:C81&lt;0,1+B46:B81))-1</f>
        <v>-6.8266715154511437E-2</v>
      </c>
      <c r="H81" cm="1">
        <f t="array" ref="H81">GEOMEAN(IF(C46:C81&lt;0,1+C46:C81))-1</f>
        <v>-4.0682062804960228E-2</v>
      </c>
      <c r="I81">
        <f t="shared" si="1"/>
        <v>167.80544163111588</v>
      </c>
    </row>
    <row r="82" spans="1:9" x14ac:dyDescent="0.2">
      <c r="A82" t="str">
        <f>'MGGIX US_monthly'!A82</f>
        <v>2023-09-29</v>
      </c>
      <c r="B82">
        <f>('MGGIX US_monthly'!B82-'MGGIX US_monthly'!B81)/'MGGIX US_monthly'!B81</f>
        <v>-6.3760822880763984E-2</v>
      </c>
      <c r="C82">
        <f>('MSCI ACWI Index_monthly'!B82-'MSCI ACWI Index_monthly'!B81)/'MSCI ACWI Index_monthly'!B81</f>
        <v>-4.1350835897442213E-2</v>
      </c>
      <c r="D82" cm="1">
        <f t="array" ref="D82">GEOMEAN(IF(C47:C82&gt;0,1+B47:B82))-1</f>
        <v>3.3237322053237817E-2</v>
      </c>
      <c r="E82" cm="1">
        <f t="array" ref="E82">GEOMEAN(IF(C47:C82&gt;0,1+C47:C82))-1</f>
        <v>4.0436734054922541E-2</v>
      </c>
      <c r="F82">
        <f t="shared" si="0"/>
        <v>82.195861832198815</v>
      </c>
      <c r="G82" cm="1">
        <f t="array" ref="G82">GEOMEAN(IF(C47:C82&lt;0,1+B47:B82))-1</f>
        <v>-7.210443329437477E-2</v>
      </c>
      <c r="H82" cm="1">
        <f t="array" ref="H82">GEOMEAN(IF(C47:C82&lt;0,1+C47:C82))-1</f>
        <v>-4.1286602790593152E-2</v>
      </c>
      <c r="I82">
        <f t="shared" si="1"/>
        <v>174.64365779885196</v>
      </c>
    </row>
    <row r="83" spans="1:9" x14ac:dyDescent="0.2">
      <c r="A83" t="str">
        <f>'MGGIX US_monthly'!A83</f>
        <v>2023-10-31</v>
      </c>
      <c r="B83">
        <f>('MGGIX US_monthly'!B83-'MGGIX US_monthly'!B82)/'MGGIX US_monthly'!B82</f>
        <v>-2.6163921168305002E-2</v>
      </c>
      <c r="C83">
        <f>('MSCI ACWI Index_monthly'!B83-'MSCI ACWI Index_monthly'!B82)/'MSCI ACWI Index_monthly'!B82</f>
        <v>-3.0066852055749382E-2</v>
      </c>
      <c r="D83" cm="1">
        <f t="array" ref="D83">GEOMEAN(IF(C48:C83&gt;0,1+B48:B83))-1</f>
        <v>3.3237322053237817E-2</v>
      </c>
      <c r="E83" cm="1">
        <f t="array" ref="E83">GEOMEAN(IF(C48:C83&gt;0,1+C48:C83))-1</f>
        <v>4.0436734054922541E-2</v>
      </c>
      <c r="F83">
        <f t="shared" si="0"/>
        <v>82.195861832198815</v>
      </c>
      <c r="G83" cm="1">
        <f t="array" ref="G83">GEOMEAN(IF(C48:C83&lt;0,1+B48:B83))-1</f>
        <v>-7.2532014151605262E-2</v>
      </c>
      <c r="H83" cm="1">
        <f t="array" ref="H83">GEOMEAN(IF(C48:C83&lt;0,1+C48:C83))-1</f>
        <v>-4.1664849654204916E-2</v>
      </c>
      <c r="I83">
        <f t="shared" si="1"/>
        <v>174.08442548954491</v>
      </c>
    </row>
    <row r="84" spans="1:9" x14ac:dyDescent="0.2">
      <c r="A84" t="str">
        <f>'MGGIX US_monthly'!A84</f>
        <v>2023-11-30</v>
      </c>
      <c r="B84">
        <f>('MGGIX US_monthly'!B84-'MGGIX US_monthly'!B83)/'MGGIX US_monthly'!B83</f>
        <v>0.14816278463561738</v>
      </c>
      <c r="C84">
        <f>('MSCI ACWI Index_monthly'!B84-'MSCI ACWI Index_monthly'!B83)/'MSCI ACWI Index_monthly'!B83</f>
        <v>9.22958441687112E-2</v>
      </c>
      <c r="D84" cm="1">
        <f t="array" ref="D84">GEOMEAN(IF(C49:C84&gt;0,1+B49:B84))-1</f>
        <v>3.4896312557109566E-2</v>
      </c>
      <c r="E84" cm="1">
        <f t="array" ref="E84">GEOMEAN(IF(C49:C84&gt;0,1+C49:C84))-1</f>
        <v>3.9052585860142708E-2</v>
      </c>
      <c r="F84">
        <f t="shared" si="0"/>
        <v>89.35723919046535</v>
      </c>
      <c r="G84" cm="1">
        <f t="array" ref="G84">GEOMEAN(IF(C49:C84&lt;0,1+B49:B84))-1</f>
        <v>-7.2532014151605262E-2</v>
      </c>
      <c r="H84" cm="1">
        <f t="array" ref="H84">GEOMEAN(IF(C49:C84&lt;0,1+C49:C84))-1</f>
        <v>-4.1664849654204916E-2</v>
      </c>
      <c r="I84">
        <f t="shared" si="1"/>
        <v>174.08442548954491</v>
      </c>
    </row>
    <row r="85" spans="1:9" x14ac:dyDescent="0.2">
      <c r="A85" t="str">
        <f>'MGGIX US_monthly'!A85</f>
        <v>2023-12-29</v>
      </c>
      <c r="B85">
        <f>('MGGIX US_monthly'!B85-'MGGIX US_monthly'!B84)/'MGGIX US_monthly'!B84</f>
        <v>2.580867218800138E-2</v>
      </c>
      <c r="C85">
        <f>('MSCI ACWI Index_monthly'!B85-'MSCI ACWI Index_monthly'!B84)/'MSCI ACWI Index_monthly'!B84</f>
        <v>4.8033971235788384E-2</v>
      </c>
      <c r="D85" cm="1">
        <f t="array" ref="D85">GEOMEAN(IF(C50:C85&gt;0,1+B50:B85))-1</f>
        <v>3.5038320821265012E-2</v>
      </c>
      <c r="E85" cm="1">
        <f t="array" ref="E85">GEOMEAN(IF(C50:C85&gt;0,1+C50:C85))-1</f>
        <v>3.9128396890769856E-2</v>
      </c>
      <c r="F85">
        <f t="shared" si="0"/>
        <v>89.547038993387261</v>
      </c>
      <c r="G85" cm="1">
        <f t="array" ref="G85">GEOMEAN(IF(C50:C85&lt;0,1+B50:B85))-1</f>
        <v>-7.2532014151605262E-2</v>
      </c>
      <c r="H85" cm="1">
        <f t="array" ref="H85">GEOMEAN(IF(C50:C85&lt;0,1+C50:C85))-1</f>
        <v>-4.1664849654204916E-2</v>
      </c>
      <c r="I85">
        <f t="shared" si="1"/>
        <v>174.08442548954491</v>
      </c>
    </row>
    <row r="86" spans="1:9" x14ac:dyDescent="0.2">
      <c r="A86" t="str">
        <f>'MGGIX US_monthly'!A86</f>
        <v>2024-01-31</v>
      </c>
      <c r="B86">
        <f>('MGGIX US_monthly'!B86-'MGGIX US_monthly'!B85)/'MGGIX US_monthly'!B85</f>
        <v>1.979202157524251E-2</v>
      </c>
      <c r="C86">
        <f>('MSCI ACWI Index_monthly'!B86-'MSCI ACWI Index_monthly'!B85)/'MSCI ACWI Index_monthly'!B85</f>
        <v>5.8622712142637392E-3</v>
      </c>
      <c r="D86" cm="1">
        <f t="array" ref="D86">GEOMEAN(IF(C51:C86&gt;0,1+B51:B86))-1</f>
        <v>3.4340387845023468E-2</v>
      </c>
      <c r="E86" cm="1">
        <f t="array" ref="E86">GEOMEAN(IF(C51:C86&gt;0,1+C51:C86))-1</f>
        <v>3.7592703126358318E-2</v>
      </c>
      <c r="F86">
        <f t="shared" si="0"/>
        <v>91.348546364428699</v>
      </c>
      <c r="G86" cm="1">
        <f t="array" ref="G86">GEOMEAN(IF(C51:C86&lt;0,1+B51:B86))-1</f>
        <v>-7.670656761302086E-2</v>
      </c>
      <c r="H86" cm="1">
        <f t="array" ref="H86">GEOMEAN(IF(C51:C86&lt;0,1+C51:C86))-1</f>
        <v>-4.426247023435137E-2</v>
      </c>
      <c r="I86">
        <f t="shared" si="1"/>
        <v>173.299337354855</v>
      </c>
    </row>
    <row r="87" spans="1:9" x14ac:dyDescent="0.2">
      <c r="A87" t="str">
        <f>'MGGIX US_monthly'!A87</f>
        <v>2024-02-29</v>
      </c>
      <c r="B87">
        <f>('MGGIX US_monthly'!B87-'MGGIX US_monthly'!B86)/'MGGIX US_monthly'!B86</f>
        <v>9.2763211761817815E-2</v>
      </c>
      <c r="C87">
        <f>('MSCI ACWI Index_monthly'!B87-'MSCI ACWI Index_monthly'!B86)/'MSCI ACWI Index_monthly'!B86</f>
        <v>4.2913328541889957E-2</v>
      </c>
      <c r="D87" cm="1">
        <f t="array" ref="D87">GEOMEAN(IF(C52:C87&gt;0,1+B52:B87))-1</f>
        <v>3.6811810519128185E-2</v>
      </c>
      <c r="E87" cm="1">
        <f t="array" ref="E87">GEOMEAN(IF(C52:C87&gt;0,1+C52:C87))-1</f>
        <v>3.8494801902740461E-2</v>
      </c>
      <c r="F87">
        <f t="shared" si="0"/>
        <v>95.628003521450879</v>
      </c>
      <c r="G87" cm="1">
        <f t="array" ref="G87">GEOMEAN(IF(C52:C87&lt;0,1+B52:B87))-1</f>
        <v>-7.670656761302086E-2</v>
      </c>
      <c r="H87" cm="1">
        <f t="array" ref="H87">GEOMEAN(IF(C52:C87&lt;0,1+C52:C87))-1</f>
        <v>-4.426247023435137E-2</v>
      </c>
      <c r="I87">
        <f t="shared" si="1"/>
        <v>173.299337354855</v>
      </c>
    </row>
    <row r="88" spans="1:9" x14ac:dyDescent="0.2">
      <c r="A88" t="str">
        <f>'MGGIX US_monthly'!A88</f>
        <v>2024-03-29</v>
      </c>
      <c r="B88">
        <f>('MGGIX US_monthly'!B88-'MGGIX US_monthly'!B87)/'MGGIX US_monthly'!B87</f>
        <v>1.0535775474414422E-2</v>
      </c>
      <c r="C88">
        <f>('MSCI ACWI Index_monthly'!B88-'MSCI ACWI Index_monthly'!B87)/'MSCI ACWI Index_monthly'!B87</f>
        <v>3.1396865196299278E-2</v>
      </c>
      <c r="D88" cm="1">
        <f t="array" ref="D88">GEOMEAN(IF(C53:C88&gt;0,1+B53:B88))-1</f>
        <v>3.9014391011476635E-2</v>
      </c>
      <c r="E88" cm="1">
        <f t="array" ref="E88">GEOMEAN(IF(C53:C88&gt;0,1+C53:C88))-1</f>
        <v>3.8709848772659594E-2</v>
      </c>
      <c r="F88">
        <f t="shared" si="0"/>
        <v>100.78673063438093</v>
      </c>
      <c r="G88" cm="1">
        <f t="array" ref="G88">GEOMEAN(IF(C53:C88&lt;0,1+B53:B88))-1</f>
        <v>-7.670656761302086E-2</v>
      </c>
      <c r="H88" cm="1">
        <f t="array" ref="H88">GEOMEAN(IF(C53:C88&lt;0,1+C53:C88))-1</f>
        <v>-4.426247023435137E-2</v>
      </c>
      <c r="I88">
        <f t="shared" si="1"/>
        <v>173.299337354855</v>
      </c>
    </row>
    <row r="89" spans="1:9" x14ac:dyDescent="0.2">
      <c r="A89" t="str">
        <f>'MGGIX US_monthly'!A89</f>
        <v>2024-04-30</v>
      </c>
      <c r="B89">
        <f>('MGGIX US_monthly'!B89-'MGGIX US_monthly'!B88)/'MGGIX US_monthly'!B88</f>
        <v>-5.0640419155347914E-2</v>
      </c>
      <c r="C89">
        <f>('MSCI ACWI Index_monthly'!B89-'MSCI ACWI Index_monthly'!B88)/'MSCI ACWI Index_monthly'!B88</f>
        <v>-3.2992978374332078E-2</v>
      </c>
      <c r="D89" cm="1">
        <f t="array" ref="D89">GEOMEAN(IF(C54:C89&gt;0,1+B54:B89))-1</f>
        <v>3.8038797907909094E-2</v>
      </c>
      <c r="E89" cm="1">
        <f t="array" ref="E89">GEOMEAN(IF(C54:C89&gt;0,1+C54:C89))-1</f>
        <v>3.847175120779367E-2</v>
      </c>
      <c r="F89">
        <f t="shared" si="0"/>
        <v>98.874620243965211</v>
      </c>
      <c r="G89" cm="1">
        <f t="array" ref="G89">GEOMEAN(IF(C54:C89&lt;0,1+B54:B89))-1</f>
        <v>-7.499131069593834E-2</v>
      </c>
      <c r="H89" cm="1">
        <f t="array" ref="H89">GEOMEAN(IF(C54:C89&lt;0,1+C54:C89))-1</f>
        <v>-4.3515273774718755E-2</v>
      </c>
      <c r="I89">
        <f t="shared" si="1"/>
        <v>172.33330780399766</v>
      </c>
    </row>
    <row r="90" spans="1:9" x14ac:dyDescent="0.2">
      <c r="A90" t="str">
        <f>'MGGIX US_monthly'!A90</f>
        <v>2024-05-31</v>
      </c>
      <c r="B90">
        <f>('MGGIX US_monthly'!B90-'MGGIX US_monthly'!B89)/'MGGIX US_monthly'!B89</f>
        <v>5.6478943547912499E-3</v>
      </c>
      <c r="C90">
        <f>('MSCI ACWI Index_monthly'!B90-'MSCI ACWI Index_monthly'!B89)/'MSCI ACWI Index_monthly'!B89</f>
        <v>4.0613614101031564E-2</v>
      </c>
      <c r="D90" cm="1">
        <f t="array" ref="D90">GEOMEAN(IF(C55:C90&gt;0,1+B55:B90))-1</f>
        <v>3.9136927652922315E-2</v>
      </c>
      <c r="E90" cm="1">
        <f t="array" ref="E90">GEOMEAN(IF(C55:C90&gt;0,1+C55:C90))-1</f>
        <v>3.9677472968153937E-2</v>
      </c>
      <c r="F90">
        <f t="shared" si="0"/>
        <v>98.637651859367466</v>
      </c>
      <c r="G90" cm="1">
        <f t="array" ref="G90">GEOMEAN(IF(C55:C90&lt;0,1+B55:B90))-1</f>
        <v>-7.499131069593834E-2</v>
      </c>
      <c r="H90" cm="1">
        <f t="array" ref="H90">GEOMEAN(IF(C55:C90&lt;0,1+C55:C90))-1</f>
        <v>-4.3515273774718755E-2</v>
      </c>
      <c r="I90">
        <f t="shared" si="1"/>
        <v>172.33330780399766</v>
      </c>
    </row>
    <row r="91" spans="1:9" x14ac:dyDescent="0.2">
      <c r="A91" t="str">
        <f>'MGGIX US_monthly'!A91</f>
        <v>2024-06-28</v>
      </c>
      <c r="B91">
        <f>('MGGIX US_monthly'!B91-'MGGIX US_monthly'!B90)/'MGGIX US_monthly'!B90</f>
        <v>3.9937679390456733E-2</v>
      </c>
      <c r="C91">
        <f>('MSCI ACWI Index_monthly'!B91-'MSCI ACWI Index_monthly'!B90)/'MSCI ACWI Index_monthly'!B90</f>
        <v>2.2272134132570207E-2</v>
      </c>
      <c r="D91" cm="1">
        <f t="array" ref="D91">GEOMEAN(IF(C56:C91&gt;0,1+B56:B91))-1</f>
        <v>3.940651351581459E-2</v>
      </c>
      <c r="E91" cm="1">
        <f t="array" ref="E91">GEOMEAN(IF(C56:C91&gt;0,1+C56:C91))-1</f>
        <v>4.0119998907260923E-2</v>
      </c>
      <c r="F91">
        <f t="shared" si="0"/>
        <v>98.221621607977653</v>
      </c>
      <c r="G91" cm="1">
        <f t="array" ref="G91">GEOMEAN(IF(C56:C91&lt;0,1+B56:B91))-1</f>
        <v>-7.499131069593834E-2</v>
      </c>
      <c r="H91" cm="1">
        <f t="array" ref="H91">GEOMEAN(IF(C56:C91&lt;0,1+C56:C91))-1</f>
        <v>-4.3515273774718755E-2</v>
      </c>
      <c r="I91">
        <f t="shared" si="1"/>
        <v>172.33330780399766</v>
      </c>
    </row>
    <row r="92" spans="1:9" x14ac:dyDescent="0.2">
      <c r="A92" t="str">
        <f>'MGGIX US_monthly'!A92</f>
        <v>2024-07-31</v>
      </c>
      <c r="B92">
        <f>('MGGIX US_monthly'!B92-'MGGIX US_monthly'!B91)/'MGGIX US_monthly'!B91</f>
        <v>-2.2802343068648954E-2</v>
      </c>
      <c r="C92">
        <f>('MSCI ACWI Index_monthly'!B92-'MSCI ACWI Index_monthly'!B91)/'MSCI ACWI Index_monthly'!B91</f>
        <v>1.6127485269887051E-2</v>
      </c>
      <c r="D92" cm="1">
        <f t="array" ref="D92">GEOMEAN(IF(C57:C92&gt;0,1+B57:B92))-1</f>
        <v>3.9612325305622864E-2</v>
      </c>
      <c r="E92" cm="1">
        <f t="array" ref="E92">GEOMEAN(IF(C57:C92&gt;0,1+C57:C92))-1</f>
        <v>4.0572384102870895E-2</v>
      </c>
      <c r="F92">
        <f t="shared" si="0"/>
        <v>97.633713624484557</v>
      </c>
      <c r="G92" cm="1">
        <f t="array" ref="G92">GEOMEAN(IF(C57:C92&lt;0,1+B57:B92))-1</f>
        <v>-7.499131069593834E-2</v>
      </c>
      <c r="H92" cm="1">
        <f t="array" ref="H92">GEOMEAN(IF(C57:C92&lt;0,1+C57:C92))-1</f>
        <v>-4.3515273774718755E-2</v>
      </c>
      <c r="I92">
        <f t="shared" si="1"/>
        <v>172.33330780399766</v>
      </c>
    </row>
    <row r="93" spans="1:9" x14ac:dyDescent="0.2">
      <c r="A93" t="str">
        <f>'MGGIX US_monthly'!A93</f>
        <v>2024-08-30</v>
      </c>
      <c r="B93">
        <f>('MGGIX US_monthly'!B93-'MGGIX US_monthly'!B92)/'MGGIX US_monthly'!B92</f>
        <v>6.3555410322989808E-2</v>
      </c>
      <c r="C93">
        <f>('MSCI ACWI Index_monthly'!B93-'MSCI ACWI Index_monthly'!B92)/'MSCI ACWI Index_monthly'!B92</f>
        <v>2.5396501796362991E-2</v>
      </c>
      <c r="D93" cm="1">
        <f t="array" ref="D93">GEOMEAN(IF(C58:C93&gt;0,1+B58:B93))-1</f>
        <v>4.1608591646185911E-2</v>
      </c>
      <c r="E93" cm="1">
        <f t="array" ref="E93">GEOMEAN(IF(C58:C93&gt;0,1+C58:C93))-1</f>
        <v>4.059013096992703E-2</v>
      </c>
      <c r="F93">
        <f t="shared" si="0"/>
        <v>102.50913375227455</v>
      </c>
      <c r="G93" cm="1">
        <f t="array" ref="G93">GEOMEAN(IF(C58:C93&lt;0,1+B58:B93))-1</f>
        <v>-7.499131069593834E-2</v>
      </c>
      <c r="H93" cm="1">
        <f t="array" ref="H93">GEOMEAN(IF(C58:C93&lt;0,1+C58:C93))-1</f>
        <v>-4.3515273774718755E-2</v>
      </c>
      <c r="I93">
        <f t="shared" si="1"/>
        <v>172.33330780399766</v>
      </c>
    </row>
    <row r="94" spans="1:9" x14ac:dyDescent="0.2">
      <c r="A94" t="str">
        <f>'MGGIX US_monthly'!A94</f>
        <v>2024-09-30</v>
      </c>
      <c r="B94">
        <f>('MGGIX US_monthly'!B94-'MGGIX US_monthly'!B93)/'MGGIX US_monthly'!B93</f>
        <v>5.6004690403832345E-2</v>
      </c>
      <c r="C94">
        <f>('MSCI ACWI Index_monthly'!B94-'MSCI ACWI Index_monthly'!B93)/'MSCI ACWI Index_monthly'!B93</f>
        <v>2.3231089423678512E-2</v>
      </c>
      <c r="D94" cm="1">
        <f t="array" ref="D94">GEOMEAN(IF(C59:C94&gt;0,1+B59:B94))-1</f>
        <v>4.2258681774273832E-2</v>
      </c>
      <c r="E94" cm="1">
        <f t="array" ref="E94">GEOMEAN(IF(C59:C94&gt;0,1+C59:C94))-1</f>
        <v>3.9794732238170871E-2</v>
      </c>
      <c r="F94">
        <f t="shared" si="0"/>
        <v>106.1916474807677</v>
      </c>
      <c r="G94" cm="1">
        <f t="array" ref="G94">GEOMEAN(IF(C59:C94&lt;0,1+B59:B94))-1</f>
        <v>-7.7041906686532435E-2</v>
      </c>
      <c r="H94" cm="1">
        <f t="array" ref="H94">GEOMEAN(IF(C59:C94&lt;0,1+C59:C94))-1</f>
        <v>-4.3672616741912806E-2</v>
      </c>
      <c r="I94">
        <f t="shared" si="1"/>
        <v>176.40780982238459</v>
      </c>
    </row>
    <row r="95" spans="1:9" x14ac:dyDescent="0.2">
      <c r="A95" t="str">
        <f>'MGGIX US_monthly'!A95</f>
        <v>2024-10-31</v>
      </c>
      <c r="B95">
        <f>('MGGIX US_monthly'!B95-'MGGIX US_monthly'!B94)/'MGGIX US_monthly'!B94</f>
        <v>1.1208305819824349E-2</v>
      </c>
      <c r="C95">
        <f>('MSCI ACWI Index_monthly'!B95-'MSCI ACWI Index_monthly'!B94)/'MSCI ACWI Index_monthly'!B94</f>
        <v>-2.244681669638162E-2</v>
      </c>
      <c r="D95" cm="1">
        <f t="array" ref="D95">GEOMEAN(IF(C60:C95&gt;0,1+B60:B95))-1</f>
        <v>4.1798023274142615E-2</v>
      </c>
      <c r="E95" cm="1">
        <f t="array" ref="E95">GEOMEAN(IF(C60:C95&gt;0,1+C60:C95))-1</f>
        <v>3.9262088791168326E-2</v>
      </c>
      <c r="F95">
        <f t="shared" si="0"/>
        <v>106.45899023982832</v>
      </c>
      <c r="G95" cm="1">
        <f t="array" ref="G95">GEOMEAN(IF(C60:C95&lt;0,1+B60:B95))-1</f>
        <v>-7.1405959470058011E-2</v>
      </c>
      <c r="H95" cm="1">
        <f t="array" ref="H95">GEOMEAN(IF(C60:C95&lt;0,1+C60:C95))-1</f>
        <v>-4.2272013845766843E-2</v>
      </c>
      <c r="I95">
        <f t="shared" si="1"/>
        <v>168.92017430394714</v>
      </c>
    </row>
    <row r="96" spans="1:9" x14ac:dyDescent="0.2">
      <c r="A96" t="str">
        <f>'MGGIX US_monthly'!A96</f>
        <v>2024-11-29</v>
      </c>
      <c r="B96">
        <f>('MGGIX US_monthly'!B96-'MGGIX US_monthly'!B95)/'MGGIX US_monthly'!B95</f>
        <v>5.9745849802410961E-2</v>
      </c>
      <c r="C96">
        <f>('MSCI ACWI Index_monthly'!B96-'MSCI ACWI Index_monthly'!B95)/'MSCI ACWI Index_monthly'!B95</f>
        <v>3.7403683277585122E-2</v>
      </c>
      <c r="D96" cm="1">
        <f t="array" ref="D96">GEOMEAN(IF(C61:C96&gt;0,1+B61:B96))-1</f>
        <v>4.2607200053391914E-2</v>
      </c>
      <c r="E96" cm="1">
        <f t="array" ref="E96">GEOMEAN(IF(C61:C96&gt;0,1+C61:C96))-1</f>
        <v>3.9177543635058321E-2</v>
      </c>
      <c r="F96">
        <f t="shared" si="0"/>
        <v>108.75413846840705</v>
      </c>
      <c r="G96" cm="1">
        <f t="array" ref="G96">GEOMEAN(IF(C61:C96&lt;0,1+B61:B96))-1</f>
        <v>-7.2398302792428093E-2</v>
      </c>
      <c r="H96" cm="1">
        <f t="array" ref="H96">GEOMEAN(IF(C61:C96&lt;0,1+C61:C96))-1</f>
        <v>-4.3558359755543008E-2</v>
      </c>
      <c r="I96">
        <f t="shared" si="1"/>
        <v>166.209892196905</v>
      </c>
    </row>
    <row r="97" spans="1:9" x14ac:dyDescent="0.2">
      <c r="A97" t="str">
        <f>'MGGIX US_monthly'!A97</f>
        <v>2024-12-31</v>
      </c>
      <c r="B97">
        <f>('MGGIX US_monthly'!B97-'MGGIX US_monthly'!B96)/'MGGIX US_monthly'!B96</f>
        <v>-0.10357146158857787</v>
      </c>
      <c r="C97">
        <f>('MSCI ACWI Index_monthly'!B97-'MSCI ACWI Index_monthly'!B96)/'MSCI ACWI Index_monthly'!B96</f>
        <v>-2.3671625230414394E-2</v>
      </c>
      <c r="D97" cm="1">
        <f t="array" ref="D97">GEOMEAN(IF(C62:C97&gt;0,1+B62:B97))-1</f>
        <v>4.7116888766709053E-2</v>
      </c>
      <c r="E97" cm="1">
        <f t="array" ref="E97">GEOMEAN(IF(C62:C97&gt;0,1+C62:C97))-1</f>
        <v>3.91383716673388E-2</v>
      </c>
      <c r="F97">
        <f t="shared" si="0"/>
        <v>120.38540889535363</v>
      </c>
      <c r="G97" cm="1">
        <f t="array" ref="G97">GEOMEAN(IF(C62:C97&lt;0,1+B62:B97))-1</f>
        <v>-7.4509829455562726E-2</v>
      </c>
      <c r="H97" cm="1">
        <f t="array" ref="H97">GEOMEAN(IF(C62:C97&lt;0,1+C62:C97))-1</f>
        <v>-4.2245271900853809E-2</v>
      </c>
      <c r="I97">
        <f t="shared" si="1"/>
        <v>176.37436357477162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1264-2D00-4AE2-8122-9D66740B19D7}">
  <dimension ref="A1:B97"/>
  <sheetViews>
    <sheetView workbookViewId="0">
      <selection activeCell="B26" sqref="B26"/>
    </sheetView>
  </sheetViews>
  <sheetFormatPr baseColWidth="10" defaultColWidth="11" defaultRowHeight="15" x14ac:dyDescent="0.2"/>
  <cols>
    <col min="1" max="16384" width="11" style="15"/>
  </cols>
  <sheetData>
    <row r="1" spans="1:2" x14ac:dyDescent="0.2">
      <c r="A1" s="18" t="s">
        <v>97</v>
      </c>
      <c r="B1" s="18" t="s">
        <v>96</v>
      </c>
    </row>
    <row r="2" spans="1:2" x14ac:dyDescent="0.2">
      <c r="A2" s="17">
        <v>42736</v>
      </c>
      <c r="B2" s="16">
        <v>0.51</v>
      </c>
    </row>
    <row r="3" spans="1:2" x14ac:dyDescent="0.2">
      <c r="A3" s="17">
        <v>42767</v>
      </c>
      <c r="B3" s="16">
        <v>0.52</v>
      </c>
    </row>
    <row r="4" spans="1:2" x14ac:dyDescent="0.2">
      <c r="A4" s="17">
        <v>42795</v>
      </c>
      <c r="B4" s="16">
        <v>0.74</v>
      </c>
    </row>
    <row r="5" spans="1:2" x14ac:dyDescent="0.2">
      <c r="A5" s="17">
        <v>42826</v>
      </c>
      <c r="B5" s="16">
        <v>0.8</v>
      </c>
    </row>
    <row r="6" spans="1:2" x14ac:dyDescent="0.2">
      <c r="A6" s="17">
        <v>42856</v>
      </c>
      <c r="B6" s="16">
        <v>0.89</v>
      </c>
    </row>
    <row r="7" spans="1:2" x14ac:dyDescent="0.2">
      <c r="A7" s="17">
        <v>42887</v>
      </c>
      <c r="B7" s="16">
        <v>0.98</v>
      </c>
    </row>
    <row r="8" spans="1:2" x14ac:dyDescent="0.2">
      <c r="A8" s="17">
        <v>42917</v>
      </c>
      <c r="B8" s="16">
        <v>1.07</v>
      </c>
    </row>
    <row r="9" spans="1:2" x14ac:dyDescent="0.2">
      <c r="A9" s="17">
        <v>42948</v>
      </c>
      <c r="B9" s="16">
        <v>1.01</v>
      </c>
    </row>
    <row r="10" spans="1:2" x14ac:dyDescent="0.2">
      <c r="A10" s="17">
        <v>42979</v>
      </c>
      <c r="B10" s="16">
        <v>1.03</v>
      </c>
    </row>
    <row r="11" spans="1:2" x14ac:dyDescent="0.2">
      <c r="A11" s="17">
        <v>43009</v>
      </c>
      <c r="B11" s="16">
        <v>1.07</v>
      </c>
    </row>
    <row r="12" spans="1:2" x14ac:dyDescent="0.2">
      <c r="A12" s="17">
        <v>43040</v>
      </c>
      <c r="B12" s="16">
        <v>1.23</v>
      </c>
    </row>
    <row r="13" spans="1:2" x14ac:dyDescent="0.2">
      <c r="A13" s="17">
        <v>43070</v>
      </c>
      <c r="B13" s="16">
        <v>1.32</v>
      </c>
    </row>
    <row r="14" spans="1:2" x14ac:dyDescent="0.2">
      <c r="A14" s="17">
        <v>43101</v>
      </c>
      <c r="B14" s="16">
        <v>1.41</v>
      </c>
    </row>
    <row r="15" spans="1:2" x14ac:dyDescent="0.2">
      <c r="A15" s="17">
        <v>43132</v>
      </c>
      <c r="B15" s="16">
        <v>1.57</v>
      </c>
    </row>
    <row r="16" spans="1:2" x14ac:dyDescent="0.2">
      <c r="A16" s="17">
        <v>43160</v>
      </c>
      <c r="B16" s="16">
        <v>1.7</v>
      </c>
    </row>
    <row r="17" spans="1:2" x14ac:dyDescent="0.2">
      <c r="A17" s="17">
        <v>43191</v>
      </c>
      <c r="B17" s="16">
        <v>1.76</v>
      </c>
    </row>
    <row r="18" spans="1:2" x14ac:dyDescent="0.2">
      <c r="A18" s="17">
        <v>43221</v>
      </c>
      <c r="B18" s="16">
        <v>1.86</v>
      </c>
    </row>
    <row r="19" spans="1:2" x14ac:dyDescent="0.2">
      <c r="A19" s="17">
        <v>43252</v>
      </c>
      <c r="B19" s="16">
        <v>1.9</v>
      </c>
    </row>
    <row r="20" spans="1:2" x14ac:dyDescent="0.2">
      <c r="A20" s="17">
        <v>43282</v>
      </c>
      <c r="B20" s="16">
        <v>1.96</v>
      </c>
    </row>
    <row r="21" spans="1:2" x14ac:dyDescent="0.2">
      <c r="A21" s="17">
        <v>43313</v>
      </c>
      <c r="B21" s="16">
        <v>2.0299999999999998</v>
      </c>
    </row>
    <row r="22" spans="1:2" x14ac:dyDescent="0.2">
      <c r="A22" s="17">
        <v>43344</v>
      </c>
      <c r="B22" s="16">
        <v>2.13</v>
      </c>
    </row>
    <row r="23" spans="1:2" x14ac:dyDescent="0.2">
      <c r="A23" s="17">
        <v>43374</v>
      </c>
      <c r="B23" s="16">
        <v>2.25</v>
      </c>
    </row>
    <row r="24" spans="1:2" x14ac:dyDescent="0.2">
      <c r="A24" s="17">
        <v>43405</v>
      </c>
      <c r="B24" s="16">
        <v>2.33</v>
      </c>
    </row>
    <row r="25" spans="1:2" x14ac:dyDescent="0.2">
      <c r="A25" s="17">
        <v>43435</v>
      </c>
      <c r="B25" s="16">
        <v>2.37</v>
      </c>
    </row>
    <row r="26" spans="1:2" x14ac:dyDescent="0.2">
      <c r="A26" s="17">
        <v>43466</v>
      </c>
      <c r="B26" s="16">
        <v>2.37</v>
      </c>
    </row>
    <row r="27" spans="1:2" x14ac:dyDescent="0.2">
      <c r="A27" s="17">
        <v>43497</v>
      </c>
      <c r="B27" s="16">
        <v>2.39</v>
      </c>
    </row>
    <row r="28" spans="1:2" x14ac:dyDescent="0.2">
      <c r="A28" s="17">
        <v>43525</v>
      </c>
      <c r="B28" s="16">
        <v>2.4</v>
      </c>
    </row>
    <row r="29" spans="1:2" x14ac:dyDescent="0.2">
      <c r="A29" s="17">
        <v>43556</v>
      </c>
      <c r="B29" s="16">
        <v>2.38</v>
      </c>
    </row>
    <row r="30" spans="1:2" x14ac:dyDescent="0.2">
      <c r="A30" s="17">
        <v>43586</v>
      </c>
      <c r="B30" s="16">
        <v>2.35</v>
      </c>
    </row>
    <row r="31" spans="1:2" x14ac:dyDescent="0.2">
      <c r="A31" s="17">
        <v>43617</v>
      </c>
      <c r="B31" s="16">
        <v>2.17</v>
      </c>
    </row>
    <row r="32" spans="1:2" x14ac:dyDescent="0.2">
      <c r="A32" s="17">
        <v>43647</v>
      </c>
      <c r="B32" s="16">
        <v>2.1</v>
      </c>
    </row>
    <row r="33" spans="1:2" x14ac:dyDescent="0.2">
      <c r="A33" s="17">
        <v>43678</v>
      </c>
      <c r="B33" s="16">
        <v>1.95</v>
      </c>
    </row>
    <row r="34" spans="1:2" x14ac:dyDescent="0.2">
      <c r="A34" s="17">
        <v>43709</v>
      </c>
      <c r="B34" s="16">
        <v>1.89</v>
      </c>
    </row>
    <row r="35" spans="1:2" x14ac:dyDescent="0.2">
      <c r="A35" s="17">
        <v>43739</v>
      </c>
      <c r="B35" s="16">
        <v>1.65</v>
      </c>
    </row>
    <row r="36" spans="1:2" x14ac:dyDescent="0.2">
      <c r="A36" s="17">
        <v>43770</v>
      </c>
      <c r="B36" s="16">
        <v>1.54</v>
      </c>
    </row>
    <row r="37" spans="1:2" x14ac:dyDescent="0.2">
      <c r="A37" s="17">
        <v>43800</v>
      </c>
      <c r="B37" s="16">
        <v>1.54</v>
      </c>
    </row>
    <row r="38" spans="1:2" x14ac:dyDescent="0.2">
      <c r="A38" s="17">
        <v>43831</v>
      </c>
      <c r="B38" s="16">
        <v>1.52</v>
      </c>
    </row>
    <row r="39" spans="1:2" x14ac:dyDescent="0.2">
      <c r="A39" s="17">
        <v>43862</v>
      </c>
      <c r="B39" s="16">
        <v>1.52</v>
      </c>
    </row>
    <row r="40" spans="1:2" x14ac:dyDescent="0.2">
      <c r="A40" s="17">
        <v>43891</v>
      </c>
      <c r="B40" s="16">
        <v>0.28999999999999998</v>
      </c>
    </row>
    <row r="41" spans="1:2" x14ac:dyDescent="0.2">
      <c r="A41" s="17">
        <v>43922</v>
      </c>
      <c r="B41" s="16">
        <v>0.14000000000000001</v>
      </c>
    </row>
    <row r="42" spans="1:2" x14ac:dyDescent="0.2">
      <c r="A42" s="17">
        <v>43952</v>
      </c>
      <c r="B42" s="16">
        <v>0.13</v>
      </c>
    </row>
    <row r="43" spans="1:2" x14ac:dyDescent="0.2">
      <c r="A43" s="17">
        <v>43983</v>
      </c>
      <c r="B43" s="16">
        <v>0.16</v>
      </c>
    </row>
    <row r="44" spans="1:2" x14ac:dyDescent="0.2">
      <c r="A44" s="17">
        <v>44013</v>
      </c>
      <c r="B44" s="16">
        <v>0.13</v>
      </c>
    </row>
    <row r="45" spans="1:2" x14ac:dyDescent="0.2">
      <c r="A45" s="17">
        <v>44044</v>
      </c>
      <c r="B45" s="16">
        <v>0.1</v>
      </c>
    </row>
    <row r="46" spans="1:2" x14ac:dyDescent="0.2">
      <c r="A46" s="17">
        <v>44075</v>
      </c>
      <c r="B46" s="16">
        <v>0.11</v>
      </c>
    </row>
    <row r="47" spans="1:2" x14ac:dyDescent="0.2">
      <c r="A47" s="17">
        <v>44105</v>
      </c>
      <c r="B47" s="16">
        <v>0.1</v>
      </c>
    </row>
    <row r="48" spans="1:2" x14ac:dyDescent="0.2">
      <c r="A48" s="17">
        <v>44136</v>
      </c>
      <c r="B48" s="16">
        <v>0.09</v>
      </c>
    </row>
    <row r="49" spans="1:2" x14ac:dyDescent="0.2">
      <c r="A49" s="17">
        <v>44166</v>
      </c>
      <c r="B49" s="16">
        <v>0.09</v>
      </c>
    </row>
    <row r="50" spans="1:2" x14ac:dyDescent="0.2">
      <c r="A50" s="17">
        <v>44197</v>
      </c>
      <c r="B50" s="16">
        <v>0.08</v>
      </c>
    </row>
    <row r="51" spans="1:2" x14ac:dyDescent="0.2">
      <c r="A51" s="17">
        <v>44228</v>
      </c>
      <c r="B51" s="16">
        <v>0.04</v>
      </c>
    </row>
    <row r="52" spans="1:2" x14ac:dyDescent="0.2">
      <c r="A52" s="17">
        <v>44256</v>
      </c>
      <c r="B52" s="16">
        <v>0.03</v>
      </c>
    </row>
    <row r="53" spans="1:2" x14ac:dyDescent="0.2">
      <c r="A53" s="17">
        <v>44287</v>
      </c>
      <c r="B53" s="16">
        <v>0.02</v>
      </c>
    </row>
    <row r="54" spans="1:2" x14ac:dyDescent="0.2">
      <c r="A54" s="17">
        <v>44317</v>
      </c>
      <c r="B54" s="16">
        <v>0.02</v>
      </c>
    </row>
    <row r="55" spans="1:2" x14ac:dyDescent="0.2">
      <c r="A55" s="17">
        <v>44348</v>
      </c>
      <c r="B55" s="16">
        <v>0.04</v>
      </c>
    </row>
    <row r="56" spans="1:2" x14ac:dyDescent="0.2">
      <c r="A56" s="17">
        <v>44378</v>
      </c>
      <c r="B56" s="16">
        <v>0.05</v>
      </c>
    </row>
    <row r="57" spans="1:2" x14ac:dyDescent="0.2">
      <c r="A57" s="17">
        <v>44409</v>
      </c>
      <c r="B57" s="16">
        <v>0.05</v>
      </c>
    </row>
    <row r="58" spans="1:2" x14ac:dyDescent="0.2">
      <c r="A58" s="17">
        <v>44440</v>
      </c>
      <c r="B58" s="16">
        <v>0.04</v>
      </c>
    </row>
    <row r="59" spans="1:2" x14ac:dyDescent="0.2">
      <c r="A59" s="17">
        <v>44470</v>
      </c>
      <c r="B59" s="16">
        <v>0.05</v>
      </c>
    </row>
    <row r="60" spans="1:2" x14ac:dyDescent="0.2">
      <c r="A60" s="17">
        <v>44501</v>
      </c>
      <c r="B60" s="16">
        <v>0.05</v>
      </c>
    </row>
    <row r="61" spans="1:2" x14ac:dyDescent="0.2">
      <c r="A61" s="17">
        <v>44531</v>
      </c>
      <c r="B61" s="16">
        <v>0.06</v>
      </c>
    </row>
    <row r="62" spans="1:2" x14ac:dyDescent="0.2">
      <c r="A62" s="17">
        <v>44562</v>
      </c>
      <c r="B62" s="16">
        <v>0.15</v>
      </c>
    </row>
    <row r="63" spans="1:2" x14ac:dyDescent="0.2">
      <c r="A63" s="17">
        <v>44593</v>
      </c>
      <c r="B63" s="16">
        <v>0.33</v>
      </c>
    </row>
    <row r="64" spans="1:2" x14ac:dyDescent="0.2">
      <c r="A64" s="17">
        <v>44621</v>
      </c>
      <c r="B64" s="16">
        <v>0.44</v>
      </c>
    </row>
    <row r="65" spans="1:2" x14ac:dyDescent="0.2">
      <c r="A65" s="17">
        <v>44652</v>
      </c>
      <c r="B65" s="16">
        <v>0.76</v>
      </c>
    </row>
    <row r="66" spans="1:2" x14ac:dyDescent="0.2">
      <c r="A66" s="17">
        <v>44682</v>
      </c>
      <c r="B66" s="16">
        <v>0.98</v>
      </c>
    </row>
    <row r="67" spans="1:2" x14ac:dyDescent="0.2">
      <c r="A67" s="17">
        <v>44713</v>
      </c>
      <c r="B67" s="16">
        <v>1.49</v>
      </c>
    </row>
    <row r="68" spans="1:2" x14ac:dyDescent="0.2">
      <c r="A68" s="17">
        <v>44743</v>
      </c>
      <c r="B68" s="16">
        <v>2.23</v>
      </c>
    </row>
    <row r="69" spans="1:2" x14ac:dyDescent="0.2">
      <c r="A69" s="17">
        <v>44774</v>
      </c>
      <c r="B69" s="16">
        <v>2.63</v>
      </c>
    </row>
    <row r="70" spans="1:2" x14ac:dyDescent="0.2">
      <c r="A70" s="17">
        <v>44805</v>
      </c>
      <c r="B70" s="16">
        <v>3.13</v>
      </c>
    </row>
    <row r="71" spans="1:2" x14ac:dyDescent="0.2">
      <c r="A71" s="17">
        <v>44835</v>
      </c>
      <c r="B71" s="16">
        <v>3.72</v>
      </c>
    </row>
    <row r="72" spans="1:2" x14ac:dyDescent="0.2">
      <c r="A72" s="17">
        <v>44866</v>
      </c>
      <c r="B72" s="16">
        <v>4.1500000000000004</v>
      </c>
    </row>
    <row r="73" spans="1:2" x14ac:dyDescent="0.2">
      <c r="A73" s="17">
        <v>44896</v>
      </c>
      <c r="B73" s="16">
        <v>4.25</v>
      </c>
    </row>
    <row r="74" spans="1:2" x14ac:dyDescent="0.2">
      <c r="A74" s="17">
        <v>44927</v>
      </c>
      <c r="B74" s="16">
        <v>4.54</v>
      </c>
    </row>
    <row r="75" spans="1:2" x14ac:dyDescent="0.2">
      <c r="A75" s="17">
        <v>44958</v>
      </c>
      <c r="B75" s="16">
        <v>4.6500000000000004</v>
      </c>
    </row>
    <row r="76" spans="1:2" x14ac:dyDescent="0.2">
      <c r="A76" s="17">
        <v>44986</v>
      </c>
      <c r="B76" s="16">
        <v>4.6900000000000004</v>
      </c>
    </row>
    <row r="77" spans="1:2" x14ac:dyDescent="0.2">
      <c r="A77" s="17">
        <v>45017</v>
      </c>
      <c r="B77" s="16">
        <v>4.92</v>
      </c>
    </row>
    <row r="78" spans="1:2" x14ac:dyDescent="0.2">
      <c r="A78" s="17">
        <v>45047</v>
      </c>
      <c r="B78" s="16">
        <v>5.14</v>
      </c>
    </row>
    <row r="79" spans="1:2" x14ac:dyDescent="0.2">
      <c r="A79" s="17">
        <v>45078</v>
      </c>
      <c r="B79" s="16">
        <v>5.16</v>
      </c>
    </row>
    <row r="80" spans="1:2" x14ac:dyDescent="0.2">
      <c r="A80" s="17">
        <v>45108</v>
      </c>
      <c r="B80" s="16">
        <v>5.25</v>
      </c>
    </row>
    <row r="81" spans="1:2" x14ac:dyDescent="0.2">
      <c r="A81" s="17">
        <v>45139</v>
      </c>
      <c r="B81" s="16">
        <v>5.3</v>
      </c>
    </row>
    <row r="82" spans="1:2" x14ac:dyDescent="0.2">
      <c r="A82" s="17">
        <v>45170</v>
      </c>
      <c r="B82" s="16">
        <v>5.32</v>
      </c>
    </row>
    <row r="83" spans="1:2" x14ac:dyDescent="0.2">
      <c r="A83" s="17">
        <v>45200</v>
      </c>
      <c r="B83" s="16">
        <v>5.34</v>
      </c>
    </row>
    <row r="84" spans="1:2" x14ac:dyDescent="0.2">
      <c r="A84" s="17">
        <v>45231</v>
      </c>
      <c r="B84" s="16">
        <v>5.27</v>
      </c>
    </row>
    <row r="85" spans="1:2" x14ac:dyDescent="0.2">
      <c r="A85" s="17">
        <v>45261</v>
      </c>
      <c r="B85" s="16">
        <v>5.24</v>
      </c>
    </row>
    <row r="86" spans="1:2" x14ac:dyDescent="0.2">
      <c r="A86" s="17">
        <v>45292</v>
      </c>
      <c r="B86" s="16">
        <v>5.22</v>
      </c>
    </row>
    <row r="87" spans="1:2" x14ac:dyDescent="0.2">
      <c r="A87" s="17">
        <v>45323</v>
      </c>
      <c r="B87" s="16">
        <v>5.24</v>
      </c>
    </row>
    <row r="88" spans="1:2" x14ac:dyDescent="0.2">
      <c r="A88" s="17">
        <v>45352</v>
      </c>
      <c r="B88" s="16">
        <v>5.24</v>
      </c>
    </row>
    <row r="89" spans="1:2" x14ac:dyDescent="0.2">
      <c r="A89" s="17">
        <v>45383</v>
      </c>
      <c r="B89" s="16">
        <v>5.24</v>
      </c>
    </row>
    <row r="90" spans="1:2" x14ac:dyDescent="0.2">
      <c r="A90" s="17">
        <v>45413</v>
      </c>
      <c r="B90" s="16">
        <v>5.25</v>
      </c>
    </row>
    <row r="91" spans="1:2" x14ac:dyDescent="0.2">
      <c r="A91" s="17">
        <v>45444</v>
      </c>
      <c r="B91" s="16">
        <v>5.24</v>
      </c>
    </row>
    <row r="92" spans="1:2" x14ac:dyDescent="0.2">
      <c r="A92" s="17">
        <v>45474</v>
      </c>
      <c r="B92" s="16">
        <v>5.2</v>
      </c>
    </row>
    <row r="93" spans="1:2" x14ac:dyDescent="0.2">
      <c r="A93" s="17">
        <v>45505</v>
      </c>
      <c r="B93" s="16">
        <v>5.05</v>
      </c>
    </row>
    <row r="94" spans="1:2" x14ac:dyDescent="0.2">
      <c r="A94" s="17">
        <v>45536</v>
      </c>
      <c r="B94" s="16">
        <v>4.72</v>
      </c>
    </row>
    <row r="95" spans="1:2" x14ac:dyDescent="0.2">
      <c r="A95" s="17">
        <v>45566</v>
      </c>
      <c r="B95" s="16">
        <v>4.51</v>
      </c>
    </row>
    <row r="96" spans="1:2" x14ac:dyDescent="0.2">
      <c r="A96" s="17">
        <v>45597</v>
      </c>
      <c r="B96" s="16">
        <v>4.42</v>
      </c>
    </row>
    <row r="97" spans="1:2" x14ac:dyDescent="0.2">
      <c r="A97" s="17">
        <v>45627</v>
      </c>
      <c r="B97" s="16">
        <v>4.2699999999999996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AEEA-0679-45F9-A59C-4715AA9B62A2}">
  <dimension ref="A1:C97"/>
  <sheetViews>
    <sheetView topLeftCell="A13" workbookViewId="0">
      <selection activeCell="B25" sqref="B25"/>
    </sheetView>
  </sheetViews>
  <sheetFormatPr baseColWidth="10" defaultRowHeight="16" x14ac:dyDescent="0.2"/>
  <cols>
    <col min="2" max="2" width="11.5" customWidth="1"/>
  </cols>
  <sheetData>
    <row r="1" spans="1:3" x14ac:dyDescent="0.2">
      <c r="A1" s="14" t="s">
        <v>1</v>
      </c>
      <c r="B1" s="14" t="s">
        <v>95</v>
      </c>
    </row>
    <row r="2" spans="1:3" x14ac:dyDescent="0.2">
      <c r="A2" s="15" t="s">
        <v>98</v>
      </c>
      <c r="B2" s="15">
        <v>16.3</v>
      </c>
      <c r="C2" t="b">
        <f>A2='MSCI ACWI Index_monthly'!A2</f>
        <v>1</v>
      </c>
    </row>
    <row r="3" spans="1:3" x14ac:dyDescent="0.2">
      <c r="A3" s="15" t="s">
        <v>99</v>
      </c>
      <c r="B3" s="15">
        <v>17</v>
      </c>
      <c r="C3" t="b">
        <f>A3='MSCI ACWI Index_monthly'!A3</f>
        <v>1</v>
      </c>
    </row>
    <row r="4" spans="1:3" x14ac:dyDescent="0.2">
      <c r="A4" s="15" t="s">
        <v>100</v>
      </c>
      <c r="B4" s="15">
        <v>17.86</v>
      </c>
      <c r="C4" t="b">
        <f>A4='MSCI ACWI Index_monthly'!A4</f>
        <v>1</v>
      </c>
    </row>
    <row r="5" spans="1:3" x14ac:dyDescent="0.2">
      <c r="A5" s="15" t="s">
        <v>101</v>
      </c>
      <c r="B5" s="15">
        <v>18.61</v>
      </c>
      <c r="C5" t="b">
        <f>A5='MSCI ACWI Index_monthly'!A5</f>
        <v>1</v>
      </c>
    </row>
    <row r="6" spans="1:3" x14ac:dyDescent="0.2">
      <c r="A6" s="15" t="s">
        <v>102</v>
      </c>
      <c r="B6" s="15">
        <v>19.59</v>
      </c>
      <c r="C6" t="b">
        <f>A6='MSCI ACWI Index_monthly'!A6</f>
        <v>1</v>
      </c>
    </row>
    <row r="7" spans="1:3" x14ac:dyDescent="0.2">
      <c r="A7" s="15" t="s">
        <v>103</v>
      </c>
      <c r="B7" s="15">
        <v>19.52</v>
      </c>
      <c r="C7" t="b">
        <f>A7='MSCI ACWI Index_monthly'!A7</f>
        <v>1</v>
      </c>
    </row>
    <row r="8" spans="1:3" x14ac:dyDescent="0.2">
      <c r="A8" s="15" t="s">
        <v>104</v>
      </c>
      <c r="B8" s="15">
        <v>20.85</v>
      </c>
      <c r="C8" t="b">
        <f>A8='MSCI ACWI Index_monthly'!A8</f>
        <v>1</v>
      </c>
    </row>
    <row r="9" spans="1:3" x14ac:dyDescent="0.2">
      <c r="A9" s="15" t="s">
        <v>105</v>
      </c>
      <c r="B9" s="15">
        <v>21.23</v>
      </c>
      <c r="C9" t="b">
        <f>A9='MSCI ACWI Index_monthly'!A9</f>
        <v>1</v>
      </c>
    </row>
    <row r="10" spans="1:3" x14ac:dyDescent="0.2">
      <c r="A10" s="15" t="s">
        <v>106</v>
      </c>
      <c r="B10" s="15">
        <v>21.6</v>
      </c>
      <c r="C10" t="b">
        <f>A10='MSCI ACWI Index_monthly'!A10</f>
        <v>1</v>
      </c>
    </row>
    <row r="11" spans="1:3" x14ac:dyDescent="0.2">
      <c r="A11" s="15" t="s">
        <v>107</v>
      </c>
      <c r="B11" s="15">
        <v>22.19</v>
      </c>
      <c r="C11" t="b">
        <f>A11='MSCI ACWI Index_monthly'!A11</f>
        <v>1</v>
      </c>
    </row>
    <row r="12" spans="1:3" x14ac:dyDescent="0.2">
      <c r="A12" s="15" t="s">
        <v>108</v>
      </c>
      <c r="B12" s="15">
        <v>22.48</v>
      </c>
      <c r="C12" t="b">
        <f>A12='MSCI ACWI Index_monthly'!A12</f>
        <v>1</v>
      </c>
    </row>
    <row r="13" spans="1:3" x14ac:dyDescent="0.2">
      <c r="A13" s="15" t="s">
        <v>109</v>
      </c>
      <c r="B13" s="15">
        <v>22.94</v>
      </c>
      <c r="C13" t="b">
        <f>A13='MSCI ACWI Index_monthly'!A13</f>
        <v>1</v>
      </c>
    </row>
    <row r="14" spans="1:3" x14ac:dyDescent="0.2">
      <c r="A14" s="15" t="s">
        <v>110</v>
      </c>
      <c r="B14" s="15">
        <v>24.86</v>
      </c>
      <c r="C14" t="b">
        <f>A14='MSCI ACWI Index_monthly'!A14</f>
        <v>1</v>
      </c>
    </row>
    <row r="15" spans="1:3" x14ac:dyDescent="0.2">
      <c r="A15" s="15" t="s">
        <v>111</v>
      </c>
      <c r="B15" s="15">
        <v>24.37</v>
      </c>
      <c r="C15" t="b">
        <f>A15='MSCI ACWI Index_monthly'!A15</f>
        <v>1</v>
      </c>
    </row>
    <row r="16" spans="1:3" x14ac:dyDescent="0.2">
      <c r="A16" s="15" t="s">
        <v>112</v>
      </c>
      <c r="B16" s="15">
        <v>24.22</v>
      </c>
      <c r="C16" t="b">
        <f>A16='MSCI ACWI Index_monthly'!A16</f>
        <v>1</v>
      </c>
    </row>
    <row r="17" spans="1:3" x14ac:dyDescent="0.2">
      <c r="A17" s="15" t="s">
        <v>113</v>
      </c>
      <c r="B17" s="15">
        <v>24.62</v>
      </c>
      <c r="C17" t="b">
        <f>A17='MSCI ACWI Index_monthly'!A17</f>
        <v>1</v>
      </c>
    </row>
    <row r="18" spans="1:3" x14ac:dyDescent="0.2">
      <c r="A18" s="15" t="s">
        <v>114</v>
      </c>
      <c r="B18" s="15">
        <v>26.11</v>
      </c>
      <c r="C18" t="b">
        <f>A18='MSCI ACWI Index_monthly'!A18</f>
        <v>1</v>
      </c>
    </row>
    <row r="19" spans="1:3" x14ac:dyDescent="0.2">
      <c r="A19" s="15" t="s">
        <v>115</v>
      </c>
      <c r="B19" s="15">
        <v>25.82</v>
      </c>
      <c r="C19" t="b">
        <f>A19='MSCI ACWI Index_monthly'!A19</f>
        <v>1</v>
      </c>
    </row>
    <row r="20" spans="1:3" x14ac:dyDescent="0.2">
      <c r="A20" s="15" t="s">
        <v>116</v>
      </c>
      <c r="B20" s="15">
        <v>25.35</v>
      </c>
      <c r="C20" t="b">
        <f>A20='MSCI ACWI Index_monthly'!A20</f>
        <v>1</v>
      </c>
    </row>
    <row r="21" spans="1:3" x14ac:dyDescent="0.2">
      <c r="A21" s="15" t="s">
        <v>117</v>
      </c>
      <c r="B21" s="15">
        <v>25.72</v>
      </c>
      <c r="C21" t="b">
        <f>A21='MSCI ACWI Index_monthly'!A21</f>
        <v>1</v>
      </c>
    </row>
    <row r="22" spans="1:3" x14ac:dyDescent="0.2">
      <c r="A22" s="15" t="s">
        <v>118</v>
      </c>
      <c r="B22" s="15">
        <v>25.39</v>
      </c>
      <c r="C22" t="b">
        <f>A22='MSCI ACWI Index_monthly'!A22</f>
        <v>1</v>
      </c>
    </row>
    <row r="23" spans="1:3" x14ac:dyDescent="0.2">
      <c r="A23" s="15" t="s">
        <v>119</v>
      </c>
      <c r="B23" s="15">
        <v>22.58</v>
      </c>
      <c r="C23" t="b">
        <f>A23='MSCI ACWI Index_monthly'!A23</f>
        <v>1</v>
      </c>
    </row>
    <row r="24" spans="1:3" x14ac:dyDescent="0.2">
      <c r="A24" s="15" t="s">
        <v>120</v>
      </c>
      <c r="B24" s="15">
        <v>22.94</v>
      </c>
      <c r="C24" t="b">
        <f>A24='MSCI ACWI Index_monthly'!A24</f>
        <v>1</v>
      </c>
    </row>
    <row r="25" spans="1:3" x14ac:dyDescent="0.2">
      <c r="A25" s="15" t="s">
        <v>22</v>
      </c>
      <c r="B25" s="15">
        <v>21.5</v>
      </c>
      <c r="C25" t="b">
        <f>A25='MSCI ACWI Index_monthly'!A25</f>
        <v>1</v>
      </c>
    </row>
    <row r="26" spans="1:3" x14ac:dyDescent="0.2">
      <c r="A26" t="s">
        <v>23</v>
      </c>
      <c r="B26" s="13">
        <v>23.7600002288818</v>
      </c>
      <c r="C26" t="b">
        <f>A26='MSCI ACWI Index_monthly'!A26</f>
        <v>1</v>
      </c>
    </row>
    <row r="27" spans="1:3" x14ac:dyDescent="0.2">
      <c r="A27" t="s">
        <v>24</v>
      </c>
      <c r="B27" s="13">
        <v>24.4799995422363</v>
      </c>
      <c r="C27" t="b">
        <f>A27='MSCI ACWI Index_monthly'!A27</f>
        <v>1</v>
      </c>
    </row>
    <row r="28" spans="1:3" x14ac:dyDescent="0.2">
      <c r="A28" t="s">
        <v>25</v>
      </c>
      <c r="B28" s="13">
        <v>25.4699993133544</v>
      </c>
      <c r="C28" t="b">
        <f>A28='MSCI ACWI Index_monthly'!A28</f>
        <v>1</v>
      </c>
    </row>
    <row r="29" spans="1:3" x14ac:dyDescent="0.2">
      <c r="A29" t="s">
        <v>26</v>
      </c>
      <c r="B29" s="13">
        <v>26.75</v>
      </c>
      <c r="C29" t="b">
        <f>A29='MSCI ACWI Index_monthly'!A29</f>
        <v>1</v>
      </c>
    </row>
    <row r="30" spans="1:3" x14ac:dyDescent="0.2">
      <c r="A30" t="s">
        <v>27</v>
      </c>
      <c r="B30" s="13">
        <v>25.5100002288818</v>
      </c>
      <c r="C30" t="b">
        <f>A30='MSCI ACWI Index_monthly'!A30</f>
        <v>1</v>
      </c>
    </row>
    <row r="31" spans="1:3" x14ac:dyDescent="0.2">
      <c r="A31" t="s">
        <v>28</v>
      </c>
      <c r="B31" s="13">
        <v>27.079999923706001</v>
      </c>
      <c r="C31" t="b">
        <f>A31='MSCI ACWI Index_monthly'!A31</f>
        <v>1</v>
      </c>
    </row>
    <row r="32" spans="1:3" x14ac:dyDescent="0.2">
      <c r="A32" t="s">
        <v>29</v>
      </c>
      <c r="B32" s="13">
        <v>26.870000839233398</v>
      </c>
      <c r="C32" t="b">
        <f>A32='MSCI ACWI Index_monthly'!A32</f>
        <v>1</v>
      </c>
    </row>
    <row r="33" spans="1:3" x14ac:dyDescent="0.2">
      <c r="A33" t="s">
        <v>30</v>
      </c>
      <c r="B33" s="13">
        <v>26.549999237060501</v>
      </c>
      <c r="C33" t="b">
        <f>A33='MSCI ACWI Index_monthly'!A33</f>
        <v>1</v>
      </c>
    </row>
    <row r="34" spans="1:3" x14ac:dyDescent="0.2">
      <c r="A34" t="s">
        <v>31</v>
      </c>
      <c r="B34" s="13">
        <v>26.129999160766602</v>
      </c>
      <c r="C34" t="b">
        <f>A34='MSCI ACWI Index_monthly'!A34</f>
        <v>1</v>
      </c>
    </row>
    <row r="35" spans="1:3" x14ac:dyDescent="0.2">
      <c r="A35" t="s">
        <v>32</v>
      </c>
      <c r="B35" s="13">
        <v>27.059999465942301</v>
      </c>
      <c r="C35" t="b">
        <f>A35='MSCI ACWI Index_monthly'!A35</f>
        <v>1</v>
      </c>
    </row>
    <row r="36" spans="1:3" x14ac:dyDescent="0.2">
      <c r="A36" t="s">
        <v>33</v>
      </c>
      <c r="B36" s="13">
        <v>28.420000076293899</v>
      </c>
      <c r="C36" t="b">
        <f>A36='MSCI ACWI Index_monthly'!A36</f>
        <v>1</v>
      </c>
    </row>
    <row r="37" spans="1:3" x14ac:dyDescent="0.2">
      <c r="A37" t="s">
        <v>34</v>
      </c>
      <c r="B37" s="13">
        <v>29.120000839233398</v>
      </c>
      <c r="C37" t="b">
        <f>A37='MSCI ACWI Index_monthly'!A37</f>
        <v>1</v>
      </c>
    </row>
    <row r="38" spans="1:3" x14ac:dyDescent="0.2">
      <c r="A38" t="s">
        <v>35</v>
      </c>
      <c r="B38" s="13">
        <v>29.7000007629394</v>
      </c>
      <c r="C38" t="b">
        <f>A38='MSCI ACWI Index_monthly'!A38</f>
        <v>1</v>
      </c>
    </row>
    <row r="39" spans="1:3" x14ac:dyDescent="0.2">
      <c r="A39" t="s">
        <v>36</v>
      </c>
      <c r="B39" s="13">
        <v>28.389999389648398</v>
      </c>
      <c r="C39" t="b">
        <f>A39='MSCI ACWI Index_monthly'!A39</f>
        <v>1</v>
      </c>
    </row>
    <row r="40" spans="1:3" x14ac:dyDescent="0.2">
      <c r="A40" t="s">
        <v>37</v>
      </c>
      <c r="B40" s="13">
        <v>25.709999084472599</v>
      </c>
      <c r="C40" t="b">
        <f>A40='MSCI ACWI Index_monthly'!A40</f>
        <v>1</v>
      </c>
    </row>
    <row r="41" spans="1:3" x14ac:dyDescent="0.2">
      <c r="A41" t="s">
        <v>38</v>
      </c>
      <c r="B41" s="13">
        <v>29</v>
      </c>
      <c r="C41" t="b">
        <f>A41='MSCI ACWI Index_monthly'!A41</f>
        <v>1</v>
      </c>
    </row>
    <row r="42" spans="1:3" x14ac:dyDescent="0.2">
      <c r="A42" t="s">
        <v>39</v>
      </c>
      <c r="B42" s="13">
        <v>31.520000457763601</v>
      </c>
      <c r="C42" t="b">
        <f>A42='MSCI ACWI Index_monthly'!A42</f>
        <v>1</v>
      </c>
    </row>
    <row r="43" spans="1:3" x14ac:dyDescent="0.2">
      <c r="A43" t="s">
        <v>40</v>
      </c>
      <c r="B43" s="13">
        <v>33.849998474121001</v>
      </c>
      <c r="C43" t="b">
        <f>A43='MSCI ACWI Index_monthly'!A43</f>
        <v>1</v>
      </c>
    </row>
    <row r="44" spans="1:3" x14ac:dyDescent="0.2">
      <c r="A44" t="s">
        <v>41</v>
      </c>
      <c r="B44" s="13">
        <v>36.159999847412102</v>
      </c>
      <c r="C44" t="b">
        <f>A44='MSCI ACWI Index_monthly'!A44</f>
        <v>1</v>
      </c>
    </row>
    <row r="45" spans="1:3" x14ac:dyDescent="0.2">
      <c r="A45" t="s">
        <v>42</v>
      </c>
      <c r="B45" s="13">
        <v>40.349998474121001</v>
      </c>
      <c r="C45" t="b">
        <f>A45='MSCI ACWI Index_monthly'!A45</f>
        <v>1</v>
      </c>
    </row>
    <row r="46" spans="1:3" x14ac:dyDescent="0.2">
      <c r="A46" t="s">
        <v>43</v>
      </c>
      <c r="B46" s="13">
        <v>40.189998626708899</v>
      </c>
      <c r="C46" t="b">
        <f>A46='MSCI ACWI Index_monthly'!A46</f>
        <v>1</v>
      </c>
    </row>
    <row r="47" spans="1:3" x14ac:dyDescent="0.2">
      <c r="A47" t="s">
        <v>44</v>
      </c>
      <c r="B47" s="13">
        <v>39.409999847412102</v>
      </c>
      <c r="C47" t="b">
        <f>A47='MSCI ACWI Index_monthly'!A47</f>
        <v>1</v>
      </c>
    </row>
    <row r="48" spans="1:3" x14ac:dyDescent="0.2">
      <c r="A48" t="s">
        <v>45</v>
      </c>
      <c r="B48" s="13">
        <v>43.75</v>
      </c>
      <c r="C48" t="b">
        <f>A48='MSCI ACWI Index_monthly'!A48</f>
        <v>1</v>
      </c>
    </row>
    <row r="49" spans="1:3" x14ac:dyDescent="0.2">
      <c r="A49" t="s">
        <v>46</v>
      </c>
      <c r="B49" s="13">
        <v>44.75</v>
      </c>
      <c r="C49" t="b">
        <f>A49='MSCI ACWI Index_monthly'!A49</f>
        <v>1</v>
      </c>
    </row>
    <row r="50" spans="1:3" x14ac:dyDescent="0.2">
      <c r="A50" t="s">
        <v>47</v>
      </c>
      <c r="B50" s="13">
        <v>44.209999084472599</v>
      </c>
      <c r="C50" t="b">
        <f>A50='MSCI ACWI Index_monthly'!A50</f>
        <v>1</v>
      </c>
    </row>
    <row r="51" spans="1:3" x14ac:dyDescent="0.2">
      <c r="A51" t="s">
        <v>48</v>
      </c>
      <c r="B51" s="13">
        <v>45.840000152587798</v>
      </c>
      <c r="C51" t="b">
        <f>A51='MSCI ACWI Index_monthly'!A51</f>
        <v>1</v>
      </c>
    </row>
    <row r="52" spans="1:3" x14ac:dyDescent="0.2">
      <c r="A52" t="s">
        <v>49</v>
      </c>
      <c r="B52" s="13">
        <v>44.209999084472599</v>
      </c>
      <c r="C52" t="b">
        <f>A52='MSCI ACWI Index_monthly'!A52</f>
        <v>1</v>
      </c>
    </row>
    <row r="53" spans="1:3" x14ac:dyDescent="0.2">
      <c r="A53" t="s">
        <v>50</v>
      </c>
      <c r="B53" s="13">
        <v>46.849998474121001</v>
      </c>
      <c r="C53" t="b">
        <f>A53='MSCI ACWI Index_monthly'!A53</f>
        <v>1</v>
      </c>
    </row>
    <row r="54" spans="1:3" x14ac:dyDescent="0.2">
      <c r="A54" t="s">
        <v>92</v>
      </c>
      <c r="B54" s="13">
        <v>46.080001831054602</v>
      </c>
      <c r="C54" t="b">
        <f>A54='MSCI ACWI Index_monthly'!A54</f>
        <v>1</v>
      </c>
    </row>
    <row r="55" spans="1:3" x14ac:dyDescent="0.2">
      <c r="A55" t="s">
        <v>51</v>
      </c>
      <c r="B55" s="13">
        <v>47.659999847412102</v>
      </c>
      <c r="C55" t="b">
        <f>A55='MSCI ACWI Index_monthly'!A55</f>
        <v>1</v>
      </c>
    </row>
    <row r="56" spans="1:3" x14ac:dyDescent="0.2">
      <c r="A56" t="s">
        <v>52</v>
      </c>
      <c r="B56" s="13">
        <v>46.380001068115199</v>
      </c>
      <c r="C56" t="b">
        <f>A56='MSCI ACWI Index_monthly'!A56</f>
        <v>1</v>
      </c>
    </row>
    <row r="57" spans="1:3" x14ac:dyDescent="0.2">
      <c r="A57" t="s">
        <v>53</v>
      </c>
      <c r="B57" s="13">
        <v>47.380001068115199</v>
      </c>
      <c r="C57" t="b">
        <f>A57='MSCI ACWI Index_monthly'!A57</f>
        <v>1</v>
      </c>
    </row>
    <row r="58" spans="1:3" x14ac:dyDescent="0.2">
      <c r="A58" t="s">
        <v>54</v>
      </c>
      <c r="B58" s="13">
        <v>45.209999084472599</v>
      </c>
      <c r="C58" t="b">
        <f>A58='MSCI ACWI Index_monthly'!A58</f>
        <v>1</v>
      </c>
    </row>
    <row r="59" spans="1:3" x14ac:dyDescent="0.2">
      <c r="A59" t="s">
        <v>55</v>
      </c>
      <c r="B59" s="13">
        <v>47.560001373291001</v>
      </c>
      <c r="C59" t="b">
        <f>A59='MSCI ACWI Index_monthly'!A59</f>
        <v>1</v>
      </c>
    </row>
    <row r="60" spans="1:3" x14ac:dyDescent="0.2">
      <c r="A60" t="s">
        <v>56</v>
      </c>
      <c r="B60" s="13">
        <v>44.830001831054602</v>
      </c>
      <c r="C60" t="b">
        <f>A60='MSCI ACWI Index_monthly'!A60</f>
        <v>1</v>
      </c>
    </row>
    <row r="61" spans="1:3" x14ac:dyDescent="0.2">
      <c r="A61" t="s">
        <v>57</v>
      </c>
      <c r="B61" s="13">
        <v>42.689998626708899</v>
      </c>
      <c r="C61" t="b">
        <f>A61='MSCI ACWI Index_monthly'!A61</f>
        <v>1</v>
      </c>
    </row>
    <row r="62" spans="1:3" x14ac:dyDescent="0.2">
      <c r="A62" t="s">
        <v>58</v>
      </c>
      <c r="B62" s="13">
        <v>38.029998779296797</v>
      </c>
      <c r="C62" t="b">
        <f>A62='MSCI ACWI Index_monthly'!A62</f>
        <v>1</v>
      </c>
    </row>
    <row r="63" spans="1:3" x14ac:dyDescent="0.2">
      <c r="A63" t="s">
        <v>59</v>
      </c>
      <c r="B63" s="13">
        <v>35.099998474121001</v>
      </c>
      <c r="C63" t="b">
        <f>A63='MSCI ACWI Index_monthly'!A63</f>
        <v>1</v>
      </c>
    </row>
    <row r="64" spans="1:3" x14ac:dyDescent="0.2">
      <c r="A64" t="s">
        <v>60</v>
      </c>
      <c r="B64" s="13">
        <v>34.029998779296797</v>
      </c>
      <c r="C64" t="b">
        <f>A64='MSCI ACWI Index_monthly'!A64</f>
        <v>1</v>
      </c>
    </row>
    <row r="65" spans="1:3" x14ac:dyDescent="0.2">
      <c r="A65" t="s">
        <v>61</v>
      </c>
      <c r="B65" s="13">
        <v>28.940000534057599</v>
      </c>
      <c r="C65" t="b">
        <f>A65='MSCI ACWI Index_monthly'!A65</f>
        <v>1</v>
      </c>
    </row>
    <row r="66" spans="1:3" x14ac:dyDescent="0.2">
      <c r="A66" t="s">
        <v>62</v>
      </c>
      <c r="B66" s="13">
        <v>27.4799995422363</v>
      </c>
      <c r="C66" t="b">
        <f>A66='MSCI ACWI Index_monthly'!A66</f>
        <v>1</v>
      </c>
    </row>
    <row r="67" spans="1:3" x14ac:dyDescent="0.2">
      <c r="A67" t="s">
        <v>63</v>
      </c>
      <c r="B67" s="13">
        <v>24.7299995422363</v>
      </c>
      <c r="C67" t="b">
        <f>A67='MSCI ACWI Index_monthly'!A67</f>
        <v>1</v>
      </c>
    </row>
    <row r="68" spans="1:3" x14ac:dyDescent="0.2">
      <c r="A68" t="s">
        <v>64</v>
      </c>
      <c r="B68" s="13">
        <v>27.600000381469702</v>
      </c>
      <c r="C68" t="b">
        <f>A68='MSCI ACWI Index_monthly'!A68</f>
        <v>1</v>
      </c>
    </row>
    <row r="69" spans="1:3" x14ac:dyDescent="0.2">
      <c r="A69" t="s">
        <v>65</v>
      </c>
      <c r="B69" s="13">
        <v>26.920000076293899</v>
      </c>
      <c r="C69" t="b">
        <f>A69='MSCI ACWI Index_monthly'!A69</f>
        <v>1</v>
      </c>
    </row>
    <row r="70" spans="1:3" x14ac:dyDescent="0.2">
      <c r="A70" t="s">
        <v>66</v>
      </c>
      <c r="B70" s="13">
        <v>23.7399997711181</v>
      </c>
      <c r="C70" t="b">
        <f>A70='MSCI ACWI Index_monthly'!A70</f>
        <v>1</v>
      </c>
    </row>
    <row r="71" spans="1:3" x14ac:dyDescent="0.2">
      <c r="A71" t="s">
        <v>67</v>
      </c>
      <c r="B71" s="13">
        <v>24.579999923706001</v>
      </c>
      <c r="C71" t="b">
        <f>A71='MSCI ACWI Index_monthly'!A71</f>
        <v>1</v>
      </c>
    </row>
    <row r="72" spans="1:3" x14ac:dyDescent="0.2">
      <c r="A72" t="s">
        <v>68</v>
      </c>
      <c r="B72" s="13">
        <v>26.889999389648398</v>
      </c>
      <c r="C72" t="b">
        <f>A72='MSCI ACWI Index_monthly'!A72</f>
        <v>1</v>
      </c>
    </row>
    <row r="73" spans="1:3" x14ac:dyDescent="0.2">
      <c r="A73" t="s">
        <v>69</v>
      </c>
      <c r="B73" s="13">
        <v>20.340000152587798</v>
      </c>
      <c r="C73" t="b">
        <f>A73='MSCI ACWI Index_monthly'!A73</f>
        <v>1</v>
      </c>
    </row>
    <row r="74" spans="1:3" x14ac:dyDescent="0.2">
      <c r="A74" t="s">
        <v>70</v>
      </c>
      <c r="B74" s="13">
        <v>23.659999847412099</v>
      </c>
      <c r="C74" t="b">
        <f>A74='MSCI ACWI Index_monthly'!A74</f>
        <v>1</v>
      </c>
    </row>
    <row r="75" spans="1:3" x14ac:dyDescent="0.2">
      <c r="A75" t="s">
        <v>71</v>
      </c>
      <c r="B75" s="13">
        <v>23.0100002288818</v>
      </c>
      <c r="C75" t="b">
        <f>A75='MSCI ACWI Index_monthly'!A75</f>
        <v>1</v>
      </c>
    </row>
    <row r="76" spans="1:3" x14ac:dyDescent="0.2">
      <c r="A76" t="s">
        <v>72</v>
      </c>
      <c r="B76" s="13">
        <v>24.520000457763601</v>
      </c>
      <c r="C76" t="b">
        <f>A76='MSCI ACWI Index_monthly'!A76</f>
        <v>1</v>
      </c>
    </row>
    <row r="77" spans="1:3" x14ac:dyDescent="0.2">
      <c r="A77" t="s">
        <v>73</v>
      </c>
      <c r="B77" s="13">
        <v>24.659999847412099</v>
      </c>
      <c r="C77" t="b">
        <f>A77='MSCI ACWI Index_monthly'!A77</f>
        <v>1</v>
      </c>
    </row>
    <row r="78" spans="1:3" x14ac:dyDescent="0.2">
      <c r="A78" t="s">
        <v>74</v>
      </c>
      <c r="B78" s="13">
        <v>25.590000152587798</v>
      </c>
      <c r="C78" t="b">
        <f>A78='MSCI ACWI Index_monthly'!A78</f>
        <v>1</v>
      </c>
    </row>
    <row r="79" spans="1:3" x14ac:dyDescent="0.2">
      <c r="A79" t="s">
        <v>75</v>
      </c>
      <c r="B79" s="13">
        <v>27.329999923706001</v>
      </c>
      <c r="C79" t="b">
        <f>A79='MSCI ACWI Index_monthly'!A79</f>
        <v>1</v>
      </c>
    </row>
    <row r="80" spans="1:3" x14ac:dyDescent="0.2">
      <c r="A80" t="s">
        <v>76</v>
      </c>
      <c r="B80" s="13">
        <v>28.75</v>
      </c>
      <c r="C80" t="b">
        <f>A80='MSCI ACWI Index_monthly'!A80</f>
        <v>1</v>
      </c>
    </row>
    <row r="81" spans="1:3" x14ac:dyDescent="0.2">
      <c r="A81" t="s">
        <v>77</v>
      </c>
      <c r="B81" s="13">
        <v>27.7600002288818</v>
      </c>
      <c r="C81" t="b">
        <f>A81='MSCI ACWI Index_monthly'!A81</f>
        <v>1</v>
      </c>
    </row>
    <row r="82" spans="1:3" x14ac:dyDescent="0.2">
      <c r="A82" t="s">
        <v>78</v>
      </c>
      <c r="B82" s="13">
        <v>25.9899997711181</v>
      </c>
      <c r="C82" t="b">
        <f>A82='MSCI ACWI Index_monthly'!A82</f>
        <v>1</v>
      </c>
    </row>
    <row r="83" spans="1:3" x14ac:dyDescent="0.2">
      <c r="A83" t="s">
        <v>79</v>
      </c>
      <c r="B83" s="13">
        <v>25.309999465942301</v>
      </c>
      <c r="C83" t="b">
        <f>A83='MSCI ACWI Index_monthly'!A83</f>
        <v>1</v>
      </c>
    </row>
    <row r="84" spans="1:3" x14ac:dyDescent="0.2">
      <c r="A84" t="s">
        <v>80</v>
      </c>
      <c r="B84" s="13">
        <v>29.059999465942301</v>
      </c>
      <c r="C84" t="b">
        <f>A84='MSCI ACWI Index_monthly'!A84</f>
        <v>1</v>
      </c>
    </row>
    <row r="85" spans="1:3" x14ac:dyDescent="0.2">
      <c r="A85" t="s">
        <v>81</v>
      </c>
      <c r="B85" s="13">
        <v>29.809999465942301</v>
      </c>
      <c r="C85" t="b">
        <f>A85='MSCI ACWI Index_monthly'!A85</f>
        <v>1</v>
      </c>
    </row>
    <row r="86" spans="1:3" x14ac:dyDescent="0.2">
      <c r="A86" t="s">
        <v>82</v>
      </c>
      <c r="B86" s="13">
        <v>30.399999618530199</v>
      </c>
      <c r="C86" t="b">
        <f>A86='MSCI ACWI Index_monthly'!A86</f>
        <v>1</v>
      </c>
    </row>
    <row r="87" spans="1:3" x14ac:dyDescent="0.2">
      <c r="A87" t="s">
        <v>83</v>
      </c>
      <c r="B87" s="13">
        <v>33.220001220703097</v>
      </c>
      <c r="C87" t="b">
        <f>A87='MSCI ACWI Index_monthly'!A87</f>
        <v>1</v>
      </c>
    </row>
    <row r="88" spans="1:3" x14ac:dyDescent="0.2">
      <c r="A88" t="s">
        <v>93</v>
      </c>
      <c r="B88" s="13">
        <v>33.569999694824197</v>
      </c>
      <c r="C88" t="b">
        <f>A88='MSCI ACWI Index_monthly'!A88</f>
        <v>1</v>
      </c>
    </row>
    <row r="89" spans="1:3" x14ac:dyDescent="0.2">
      <c r="A89" t="s">
        <v>84</v>
      </c>
      <c r="B89" s="13">
        <v>31.870000839233398</v>
      </c>
      <c r="C89" t="b">
        <f>A89='MSCI ACWI Index_monthly'!A89</f>
        <v>1</v>
      </c>
    </row>
    <row r="90" spans="1:3" x14ac:dyDescent="0.2">
      <c r="A90" t="s">
        <v>85</v>
      </c>
      <c r="B90" s="13">
        <v>32.049999237060497</v>
      </c>
      <c r="C90" t="b">
        <f>A90='MSCI ACWI Index_monthly'!A90</f>
        <v>1</v>
      </c>
    </row>
    <row r="91" spans="1:3" x14ac:dyDescent="0.2">
      <c r="A91" t="s">
        <v>86</v>
      </c>
      <c r="B91" s="13">
        <v>33.330001831054602</v>
      </c>
      <c r="C91" t="b">
        <f>A91='MSCI ACWI Index_monthly'!A91</f>
        <v>1</v>
      </c>
    </row>
    <row r="92" spans="1:3" x14ac:dyDescent="0.2">
      <c r="A92" t="s">
        <v>87</v>
      </c>
      <c r="B92" s="13">
        <v>32.569999694824197</v>
      </c>
      <c r="C92" t="b">
        <f>A92='MSCI ACWI Index_monthly'!A92</f>
        <v>1</v>
      </c>
    </row>
    <row r="93" spans="1:3" x14ac:dyDescent="0.2">
      <c r="A93" t="s">
        <v>88</v>
      </c>
      <c r="B93" s="13">
        <v>34.639999389648402</v>
      </c>
      <c r="C93" t="b">
        <f>A93='MSCI ACWI Index_monthly'!A93</f>
        <v>1</v>
      </c>
    </row>
    <row r="94" spans="1:3" x14ac:dyDescent="0.2">
      <c r="A94" t="s">
        <v>89</v>
      </c>
      <c r="B94" s="13">
        <v>36.580001831054602</v>
      </c>
      <c r="C94" t="b">
        <f>A94='MSCI ACWI Index_monthly'!A94</f>
        <v>1</v>
      </c>
    </row>
    <row r="95" spans="1:3" x14ac:dyDescent="0.2">
      <c r="A95" t="s">
        <v>90</v>
      </c>
      <c r="B95" s="13">
        <v>36.990001678466797</v>
      </c>
      <c r="C95" t="b">
        <f>A95='MSCI ACWI Index_monthly'!A95</f>
        <v>1</v>
      </c>
    </row>
    <row r="96" spans="1:3" x14ac:dyDescent="0.2">
      <c r="A96" t="s">
        <v>91</v>
      </c>
      <c r="B96" s="13">
        <v>39.200000762939403</v>
      </c>
      <c r="C96" t="b">
        <f>A96='MSCI ACWI Index_monthly'!A96</f>
        <v>1</v>
      </c>
    </row>
    <row r="97" spans="1:3" x14ac:dyDescent="0.2">
      <c r="A97" t="s">
        <v>94</v>
      </c>
      <c r="B97" s="13">
        <v>35.139999389648402</v>
      </c>
      <c r="C97" t="b">
        <f>A97='MSCI ACWI Index_monthly'!A97</f>
        <v>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A781-31F4-4686-854E-806B99157F17}">
  <dimension ref="A1:B97"/>
  <sheetViews>
    <sheetView topLeftCell="A7" workbookViewId="0">
      <selection activeCell="A14" sqref="A14:A25"/>
    </sheetView>
  </sheetViews>
  <sheetFormatPr baseColWidth="10" defaultRowHeight="16" x14ac:dyDescent="0.2"/>
  <cols>
    <col min="1" max="1" width="12.6640625" customWidth="1"/>
    <col min="2" max="2" width="13.5" customWidth="1"/>
  </cols>
  <sheetData>
    <row r="1" spans="1:2" x14ac:dyDescent="0.2">
      <c r="A1" s="19" t="s">
        <v>1</v>
      </c>
      <c r="B1" s="19" t="s">
        <v>21</v>
      </c>
    </row>
    <row r="2" spans="1:2" x14ac:dyDescent="0.2">
      <c r="A2" s="15" t="s">
        <v>98</v>
      </c>
      <c r="B2" s="15">
        <v>204.00495900000001</v>
      </c>
    </row>
    <row r="3" spans="1:2" x14ac:dyDescent="0.2">
      <c r="A3" s="15" t="s">
        <v>99</v>
      </c>
      <c r="B3" s="15">
        <v>209.727563</v>
      </c>
    </row>
    <row r="4" spans="1:2" x14ac:dyDescent="0.2">
      <c r="A4" s="15" t="s">
        <v>100</v>
      </c>
      <c r="B4" s="15">
        <v>212.293274</v>
      </c>
    </row>
    <row r="5" spans="1:2" x14ac:dyDescent="0.2">
      <c r="A5" s="15" t="s">
        <v>101</v>
      </c>
      <c r="B5" s="15">
        <v>215.60179400000001</v>
      </c>
    </row>
    <row r="6" spans="1:2" x14ac:dyDescent="0.2">
      <c r="A6" s="15" t="s">
        <v>102</v>
      </c>
      <c r="B6" s="15">
        <v>220.362897</v>
      </c>
    </row>
    <row r="7" spans="1:2" x14ac:dyDescent="0.2">
      <c r="A7" s="15" t="s">
        <v>103</v>
      </c>
      <c r="B7" s="15">
        <v>221.36498499999999</v>
      </c>
    </row>
    <row r="8" spans="1:2" x14ac:dyDescent="0.2">
      <c r="A8" s="15" t="s">
        <v>104</v>
      </c>
      <c r="B8" s="15">
        <v>227.5514</v>
      </c>
    </row>
    <row r="9" spans="1:2" x14ac:dyDescent="0.2">
      <c r="A9" s="15" t="s">
        <v>105</v>
      </c>
      <c r="B9" s="15">
        <v>228.42317499999999</v>
      </c>
    </row>
    <row r="10" spans="1:2" x14ac:dyDescent="0.2">
      <c r="A10" s="15" t="s">
        <v>106</v>
      </c>
      <c r="B10" s="15">
        <v>232.83631399999999</v>
      </c>
    </row>
    <row r="11" spans="1:2" x14ac:dyDescent="0.2">
      <c r="A11" s="15" t="s">
        <v>107</v>
      </c>
      <c r="B11" s="15">
        <v>237.67123799999999</v>
      </c>
    </row>
    <row r="12" spans="1:2" x14ac:dyDescent="0.2">
      <c r="A12" s="15" t="s">
        <v>108</v>
      </c>
      <c r="B12" s="15">
        <v>242.27213</v>
      </c>
    </row>
    <row r="13" spans="1:2" x14ac:dyDescent="0.2">
      <c r="A13" s="15" t="s">
        <v>109</v>
      </c>
      <c r="B13" s="15">
        <v>246.17797200000001</v>
      </c>
    </row>
    <row r="14" spans="1:2" x14ac:dyDescent="0.2">
      <c r="A14" s="15" t="s">
        <v>110</v>
      </c>
      <c r="B14" s="15">
        <v>260.06649800000002</v>
      </c>
    </row>
    <row r="15" spans="1:2" x14ac:dyDescent="0.2">
      <c r="A15" s="15" t="s">
        <v>111</v>
      </c>
      <c r="B15" s="15">
        <v>249.14415500000001</v>
      </c>
    </row>
    <row r="16" spans="1:2" x14ac:dyDescent="0.2">
      <c r="A16" s="15" t="s">
        <v>112</v>
      </c>
      <c r="B16" s="15">
        <v>243.81079</v>
      </c>
    </row>
    <row r="17" spans="1:2" x14ac:dyDescent="0.2">
      <c r="A17" s="15" t="s">
        <v>113</v>
      </c>
      <c r="B17" s="15">
        <v>246.13907699999999</v>
      </c>
    </row>
    <row r="18" spans="1:2" x14ac:dyDescent="0.2">
      <c r="A18" s="15" t="s">
        <v>114</v>
      </c>
      <c r="B18" s="15">
        <v>246.44637800000001</v>
      </c>
    </row>
    <row r="19" spans="1:2" x14ac:dyDescent="0.2">
      <c r="A19" s="15" t="s">
        <v>115</v>
      </c>
      <c r="B19" s="15">
        <v>245.111774</v>
      </c>
    </row>
    <row r="20" spans="1:2" x14ac:dyDescent="0.2">
      <c r="A20" s="15" t="s">
        <v>116</v>
      </c>
      <c r="B20" s="15">
        <v>252.503546</v>
      </c>
    </row>
    <row r="21" spans="1:2" x14ac:dyDescent="0.2">
      <c r="A21" s="15" t="s">
        <v>117</v>
      </c>
      <c r="B21" s="15">
        <v>254.48731100000001</v>
      </c>
    </row>
    <row r="22" spans="1:2" x14ac:dyDescent="0.2">
      <c r="A22" s="15" t="s">
        <v>118</v>
      </c>
      <c r="B22" s="15">
        <v>255.59489199999999</v>
      </c>
    </row>
    <row r="23" spans="1:2" x14ac:dyDescent="0.2">
      <c r="A23" s="15" t="s">
        <v>119</v>
      </c>
      <c r="B23" s="15">
        <v>236.44088300000001</v>
      </c>
    </row>
    <row r="24" spans="1:2" x14ac:dyDescent="0.2">
      <c r="A24" s="15" t="s">
        <v>120</v>
      </c>
      <c r="B24" s="15">
        <v>239.89893000000001</v>
      </c>
    </row>
    <row r="25" spans="1:2" x14ac:dyDescent="0.2">
      <c r="A25" s="15" t="s">
        <v>22</v>
      </c>
      <c r="B25" s="15">
        <v>223.00177600000001</v>
      </c>
    </row>
    <row r="26" spans="1:2" x14ac:dyDescent="0.2">
      <c r="A26" s="15" t="s">
        <v>23</v>
      </c>
      <c r="B26" s="15">
        <v>240.60990200000001</v>
      </c>
    </row>
    <row r="27" spans="1:2" x14ac:dyDescent="0.2">
      <c r="A27" s="15" t="s">
        <v>24</v>
      </c>
      <c r="B27" s="15">
        <v>247.04553100000001</v>
      </c>
    </row>
    <row r="28" spans="1:2" x14ac:dyDescent="0.2">
      <c r="A28" s="15" t="s">
        <v>25</v>
      </c>
      <c r="B28" s="15">
        <v>250.152376</v>
      </c>
    </row>
    <row r="29" spans="1:2" x14ac:dyDescent="0.2">
      <c r="A29" s="15" t="s">
        <v>26</v>
      </c>
      <c r="B29" s="15">
        <v>258.598928</v>
      </c>
    </row>
    <row r="30" spans="1:2" x14ac:dyDescent="0.2">
      <c r="A30" s="15" t="s">
        <v>27</v>
      </c>
      <c r="B30" s="15">
        <v>243.25909100000001</v>
      </c>
    </row>
    <row r="31" spans="1:2" x14ac:dyDescent="0.2">
      <c r="A31" s="15" t="s">
        <v>28</v>
      </c>
      <c r="B31" s="15">
        <v>259.18760200000003</v>
      </c>
    </row>
    <row r="32" spans="1:2" x14ac:dyDescent="0.2">
      <c r="A32" s="15" t="s">
        <v>29</v>
      </c>
      <c r="B32" s="15">
        <v>259.94706100000002</v>
      </c>
    </row>
    <row r="33" spans="1:2" x14ac:dyDescent="0.2">
      <c r="A33" s="15" t="s">
        <v>30</v>
      </c>
      <c r="B33" s="15">
        <v>253.780519</v>
      </c>
    </row>
    <row r="34" spans="1:2" x14ac:dyDescent="0.2">
      <c r="A34" s="15" t="s">
        <v>31</v>
      </c>
      <c r="B34" s="15">
        <v>259.12045499999999</v>
      </c>
    </row>
    <row r="35" spans="1:2" x14ac:dyDescent="0.2">
      <c r="A35" s="15" t="s">
        <v>32</v>
      </c>
      <c r="B35" s="15">
        <v>266.21224999999998</v>
      </c>
    </row>
    <row r="36" spans="1:2" x14ac:dyDescent="0.2">
      <c r="A36" s="15" t="s">
        <v>33</v>
      </c>
      <c r="B36" s="15">
        <v>272.71087999999997</v>
      </c>
    </row>
    <row r="37" spans="1:2" x14ac:dyDescent="0.2">
      <c r="A37" s="15" t="s">
        <v>34</v>
      </c>
      <c r="B37" s="15">
        <v>282.31445300000001</v>
      </c>
    </row>
    <row r="38" spans="1:2" x14ac:dyDescent="0.2">
      <c r="A38" s="15" t="s">
        <v>35</v>
      </c>
      <c r="B38" s="15">
        <v>279.19602800000001</v>
      </c>
    </row>
    <row r="39" spans="1:2" x14ac:dyDescent="0.2">
      <c r="A39" s="15" t="s">
        <v>36</v>
      </c>
      <c r="B39" s="15">
        <v>256.64542499999999</v>
      </c>
    </row>
    <row r="40" spans="1:2" x14ac:dyDescent="0.2">
      <c r="A40" s="15" t="s">
        <v>37</v>
      </c>
      <c r="B40" s="15">
        <v>221.99744200000001</v>
      </c>
    </row>
    <row r="41" spans="1:2" x14ac:dyDescent="0.2">
      <c r="A41" s="15" t="s">
        <v>38</v>
      </c>
      <c r="B41" s="15">
        <v>245.778931</v>
      </c>
    </row>
    <row r="42" spans="1:2" x14ac:dyDescent="0.2">
      <c r="A42" s="15" t="s">
        <v>39</v>
      </c>
      <c r="B42" s="15">
        <v>256.46810699999997</v>
      </c>
    </row>
    <row r="43" spans="1:2" x14ac:dyDescent="0.2">
      <c r="A43" s="15" t="s">
        <v>40</v>
      </c>
      <c r="B43" s="15">
        <v>264.66290300000003</v>
      </c>
    </row>
    <row r="44" spans="1:2" x14ac:dyDescent="0.2">
      <c r="A44" s="15" t="s">
        <v>41</v>
      </c>
      <c r="B44" s="15">
        <v>278.66013900000002</v>
      </c>
    </row>
    <row r="45" spans="1:2" x14ac:dyDescent="0.2">
      <c r="A45" s="15" t="s">
        <v>42</v>
      </c>
      <c r="B45" s="15">
        <v>295.71556299999997</v>
      </c>
    </row>
    <row r="46" spans="1:2" x14ac:dyDescent="0.2">
      <c r="A46" s="15" t="s">
        <v>43</v>
      </c>
      <c r="B46" s="15">
        <v>286.180744</v>
      </c>
    </row>
    <row r="47" spans="1:2" x14ac:dyDescent="0.2">
      <c r="A47" s="15" t="s">
        <v>44</v>
      </c>
      <c r="B47" s="15">
        <v>279.22409299999998</v>
      </c>
    </row>
    <row r="48" spans="1:2" x14ac:dyDescent="0.2">
      <c r="A48" s="15" t="s">
        <v>45</v>
      </c>
      <c r="B48" s="15">
        <v>313.64207099999999</v>
      </c>
    </row>
    <row r="49" spans="1:2" x14ac:dyDescent="0.2">
      <c r="A49" s="15" t="s">
        <v>46</v>
      </c>
      <c r="B49" s="15">
        <v>328.20430499999998</v>
      </c>
    </row>
    <row r="50" spans="1:2" x14ac:dyDescent="0.2">
      <c r="A50" s="15" t="s">
        <v>47</v>
      </c>
      <c r="B50" s="15">
        <v>326.71161699999999</v>
      </c>
    </row>
    <row r="51" spans="1:2" x14ac:dyDescent="0.2">
      <c r="A51" s="15" t="s">
        <v>48</v>
      </c>
      <c r="B51" s="15">
        <v>334.27938599999999</v>
      </c>
    </row>
    <row r="52" spans="1:2" x14ac:dyDescent="0.2">
      <c r="A52" s="15" t="s">
        <v>49</v>
      </c>
      <c r="B52" s="15">
        <v>343.20776799999999</v>
      </c>
    </row>
    <row r="53" spans="1:2" x14ac:dyDescent="0.2">
      <c r="A53" s="15" t="s">
        <v>50</v>
      </c>
      <c r="B53" s="15">
        <v>358.21367900000001</v>
      </c>
    </row>
    <row r="54" spans="1:2" x14ac:dyDescent="0.2">
      <c r="A54" s="15" t="s">
        <v>92</v>
      </c>
      <c r="B54" s="15">
        <v>363.78834899999998</v>
      </c>
    </row>
    <row r="55" spans="1:2" x14ac:dyDescent="0.2">
      <c r="A55" s="15" t="s">
        <v>51</v>
      </c>
      <c r="B55" s="15">
        <v>368.58210000000003</v>
      </c>
    </row>
    <row r="56" spans="1:2" x14ac:dyDescent="0.2">
      <c r="A56" s="15" t="s">
        <v>52</v>
      </c>
      <c r="B56" s="15">
        <v>371.12192199999998</v>
      </c>
    </row>
    <row r="57" spans="1:2" x14ac:dyDescent="0.2">
      <c r="A57" s="15" t="s">
        <v>53</v>
      </c>
      <c r="B57" s="15">
        <v>380.41085199999998</v>
      </c>
    </row>
    <row r="58" spans="1:2" x14ac:dyDescent="0.2">
      <c r="A58" s="15" t="s">
        <v>54</v>
      </c>
      <c r="B58" s="15">
        <v>364.69617399999998</v>
      </c>
    </row>
    <row r="59" spans="1:2" x14ac:dyDescent="0.2">
      <c r="A59" s="15" t="s">
        <v>55</v>
      </c>
      <c r="B59" s="15">
        <v>383.31155100000001</v>
      </c>
    </row>
    <row r="60" spans="1:2" x14ac:dyDescent="0.2">
      <c r="A60" s="15" t="s">
        <v>56</v>
      </c>
      <c r="B60" s="15">
        <v>374.08123499999999</v>
      </c>
    </row>
    <row r="61" spans="1:2" x14ac:dyDescent="0.2">
      <c r="A61" s="15" t="s">
        <v>57</v>
      </c>
      <c r="B61" s="15">
        <v>389.04467</v>
      </c>
    </row>
    <row r="62" spans="1:2" x14ac:dyDescent="0.2">
      <c r="A62" s="15" t="s">
        <v>58</v>
      </c>
      <c r="B62" s="15">
        <v>369.93775199999999</v>
      </c>
    </row>
    <row r="63" spans="1:2" x14ac:dyDescent="0.2">
      <c r="A63" s="15" t="s">
        <v>59</v>
      </c>
      <c r="B63" s="15">
        <v>360.38328000000001</v>
      </c>
    </row>
    <row r="64" spans="1:2" x14ac:dyDescent="0.2">
      <c r="A64" s="15" t="s">
        <v>60</v>
      </c>
      <c r="B64" s="15">
        <v>368.188827</v>
      </c>
    </row>
    <row r="65" spans="1:2" x14ac:dyDescent="0.2">
      <c r="A65" s="15" t="s">
        <v>61</v>
      </c>
      <c r="B65" s="15">
        <v>338.71831800000001</v>
      </c>
    </row>
    <row r="66" spans="1:2" x14ac:dyDescent="0.2">
      <c r="A66" s="15" t="s">
        <v>62</v>
      </c>
      <c r="B66" s="15">
        <v>339.11470700000001</v>
      </c>
    </row>
    <row r="67" spans="1:2" x14ac:dyDescent="0.2">
      <c r="A67" s="15" t="s">
        <v>63</v>
      </c>
      <c r="B67" s="15">
        <v>310.528572</v>
      </c>
    </row>
    <row r="68" spans="1:2" x14ac:dyDescent="0.2">
      <c r="A68" s="15" t="s">
        <v>64</v>
      </c>
      <c r="B68" s="15">
        <v>332.21356600000001</v>
      </c>
    </row>
    <row r="69" spans="1:2" x14ac:dyDescent="0.2">
      <c r="A69" s="15" t="s">
        <v>65</v>
      </c>
      <c r="B69" s="15">
        <v>319.98315700000001</v>
      </c>
    </row>
    <row r="70" spans="1:2" x14ac:dyDescent="0.2">
      <c r="A70" s="15" t="s">
        <v>66</v>
      </c>
      <c r="B70" s="15">
        <v>289.35139299999997</v>
      </c>
    </row>
    <row r="71" spans="1:2" x14ac:dyDescent="0.2">
      <c r="A71" s="15" t="s">
        <v>67</v>
      </c>
      <c r="B71" s="15">
        <v>306.81289299999997</v>
      </c>
    </row>
    <row r="72" spans="1:2" x14ac:dyDescent="0.2">
      <c r="A72" s="15" t="s">
        <v>68</v>
      </c>
      <c r="B72" s="15">
        <v>330.610342</v>
      </c>
    </row>
    <row r="73" spans="1:2" x14ac:dyDescent="0.2">
      <c r="A73" s="15" t="s">
        <v>69</v>
      </c>
      <c r="B73" s="15">
        <v>317.60050799999999</v>
      </c>
    </row>
    <row r="74" spans="1:2" x14ac:dyDescent="0.2">
      <c r="A74" s="15" t="s">
        <v>70</v>
      </c>
      <c r="B74" s="15">
        <v>340.365115</v>
      </c>
    </row>
    <row r="75" spans="1:2" x14ac:dyDescent="0.2">
      <c r="A75" s="15" t="s">
        <v>71</v>
      </c>
      <c r="B75" s="15">
        <v>330.61025000000001</v>
      </c>
    </row>
    <row r="76" spans="1:2" x14ac:dyDescent="0.2">
      <c r="A76" s="15" t="s">
        <v>72</v>
      </c>
      <c r="B76" s="15">
        <v>340.80381699999998</v>
      </c>
    </row>
    <row r="77" spans="1:2" x14ac:dyDescent="0.2">
      <c r="A77" s="15" t="s">
        <v>73</v>
      </c>
      <c r="B77" s="15">
        <v>345.70204200000001</v>
      </c>
    </row>
    <row r="78" spans="1:2" x14ac:dyDescent="0.2">
      <c r="A78" s="15" t="s">
        <v>74</v>
      </c>
      <c r="B78" s="15">
        <v>341.999393</v>
      </c>
    </row>
    <row r="79" spans="1:2" x14ac:dyDescent="0.2">
      <c r="A79" s="15" t="s">
        <v>75</v>
      </c>
      <c r="B79" s="15">
        <v>361.856199</v>
      </c>
    </row>
    <row r="80" spans="1:2" x14ac:dyDescent="0.2">
      <c r="A80" s="15" t="s">
        <v>76</v>
      </c>
      <c r="B80" s="15">
        <v>375.10301399999997</v>
      </c>
    </row>
    <row r="81" spans="1:2" x14ac:dyDescent="0.2">
      <c r="A81" s="15" t="s">
        <v>77</v>
      </c>
      <c r="B81" s="15">
        <v>364.62116600000002</v>
      </c>
    </row>
    <row r="82" spans="1:2" x14ac:dyDescent="0.2">
      <c r="A82" s="15" t="s">
        <v>78</v>
      </c>
      <c r="B82" s="15">
        <v>349.54377599999998</v>
      </c>
    </row>
    <row r="83" spans="1:2" x14ac:dyDescent="0.2">
      <c r="A83" s="15" t="s">
        <v>79</v>
      </c>
      <c r="B83" s="15">
        <v>339.03409499999998</v>
      </c>
    </row>
    <row r="84" spans="1:2" x14ac:dyDescent="0.2">
      <c r="A84" s="15" t="s">
        <v>80</v>
      </c>
      <c r="B84" s="15">
        <v>370.32553300000001</v>
      </c>
    </row>
    <row r="85" spans="1:2" x14ac:dyDescent="0.2">
      <c r="A85" s="15" t="s">
        <v>81</v>
      </c>
      <c r="B85" s="15">
        <v>388.11373900000001</v>
      </c>
    </row>
    <row r="86" spans="1:2" x14ac:dyDescent="0.2">
      <c r="A86" s="15" t="s">
        <v>82</v>
      </c>
      <c r="B86" s="15">
        <v>390.38896699999998</v>
      </c>
    </row>
    <row r="87" spans="1:2" x14ac:dyDescent="0.2">
      <c r="A87" s="15" t="s">
        <v>83</v>
      </c>
      <c r="B87" s="15">
        <v>407.14185700000002</v>
      </c>
    </row>
    <row r="88" spans="1:2" x14ac:dyDescent="0.2">
      <c r="A88" s="15" t="s">
        <v>93</v>
      </c>
      <c r="B88" s="15">
        <v>419.92483499999997</v>
      </c>
    </row>
    <row r="89" spans="1:2" x14ac:dyDescent="0.2">
      <c r="A89" s="15" t="s">
        <v>84</v>
      </c>
      <c r="B89" s="15">
        <v>406.07026400000001</v>
      </c>
    </row>
    <row r="90" spans="1:2" x14ac:dyDescent="0.2">
      <c r="A90" s="15" t="s">
        <v>85</v>
      </c>
      <c r="B90" s="15">
        <v>422.56224500000002</v>
      </c>
    </row>
    <row r="91" spans="1:2" x14ac:dyDescent="0.2">
      <c r="A91" s="15" t="s">
        <v>86</v>
      </c>
      <c r="B91" s="15">
        <v>431.97360800000001</v>
      </c>
    </row>
    <row r="92" spans="1:2" x14ac:dyDescent="0.2">
      <c r="A92" s="15" t="s">
        <v>87</v>
      </c>
      <c r="B92" s="15">
        <v>438.94025599999998</v>
      </c>
    </row>
    <row r="93" spans="1:2" x14ac:dyDescent="0.2">
      <c r="A93" s="15" t="s">
        <v>88</v>
      </c>
      <c r="B93" s="15">
        <v>450.08780300000001</v>
      </c>
    </row>
    <row r="94" spans="1:2" x14ac:dyDescent="0.2">
      <c r="A94" s="15" t="s">
        <v>89</v>
      </c>
      <c r="B94" s="15">
        <v>460.54383300000001</v>
      </c>
    </row>
    <row r="95" spans="1:2" x14ac:dyDescent="0.2">
      <c r="A95" s="15" t="s">
        <v>90</v>
      </c>
      <c r="B95" s="15">
        <v>450.20609000000002</v>
      </c>
    </row>
    <row r="96" spans="1:2" x14ac:dyDescent="0.2">
      <c r="A96" s="15" t="s">
        <v>91</v>
      </c>
      <c r="B96" s="15">
        <v>467.045456</v>
      </c>
    </row>
    <row r="97" spans="1:2" x14ac:dyDescent="0.2">
      <c r="A97" s="15" t="s">
        <v>94</v>
      </c>
      <c r="B97" s="15">
        <v>455.98973100000001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BE22-2092-40B3-B185-86A4AA7C91FB}">
  <dimension ref="A1:N97"/>
  <sheetViews>
    <sheetView workbookViewId="0">
      <selection activeCell="D1" sqref="D1:E1"/>
    </sheetView>
  </sheetViews>
  <sheetFormatPr baseColWidth="10" defaultRowHeight="16" x14ac:dyDescent="0.2"/>
  <cols>
    <col min="4" max="5" width="11.83203125" bestFit="1" customWidth="1"/>
  </cols>
  <sheetData>
    <row r="1" spans="1:14" ht="32" x14ac:dyDescent="0.2">
      <c r="A1" s="20" t="s">
        <v>1</v>
      </c>
      <c r="B1" s="20" t="s">
        <v>121</v>
      </c>
      <c r="C1" s="20" t="s">
        <v>11</v>
      </c>
      <c r="D1" s="21" t="s">
        <v>122</v>
      </c>
      <c r="E1" s="21" t="s">
        <v>123</v>
      </c>
      <c r="F1" s="21" t="s">
        <v>124</v>
      </c>
      <c r="G1" s="21" t="s">
        <v>125</v>
      </c>
      <c r="H1" s="21" t="s">
        <v>126</v>
      </c>
      <c r="I1" s="21" t="s">
        <v>12</v>
      </c>
      <c r="J1" s="21" t="s">
        <v>7</v>
      </c>
      <c r="K1" s="21"/>
      <c r="L1" s="21"/>
      <c r="M1" s="21"/>
      <c r="N1" s="21"/>
    </row>
    <row r="2" spans="1:14" x14ac:dyDescent="0.2">
      <c r="A2" t="str">
        <f>'MGGIX US_monthly'!A2</f>
        <v>2017-01-31</v>
      </c>
      <c r="B2">
        <f>'MGGIX US_monthly'!B2</f>
        <v>16.3</v>
      </c>
      <c r="C2">
        <f>'MSCI ACWI Index_monthly'!B2</f>
        <v>204.00495900000001</v>
      </c>
      <c r="F2">
        <f>(1+'Risk-free rate'!B2/100)^(1/12)-1</f>
        <v>4.2400978746104379E-4</v>
      </c>
    </row>
    <row r="3" spans="1:14" x14ac:dyDescent="0.2">
      <c r="A3" t="str">
        <f>'MGGIX US_monthly'!A3</f>
        <v>2017-02-28</v>
      </c>
      <c r="B3">
        <f>'MGGIX US_monthly'!B3</f>
        <v>17</v>
      </c>
      <c r="C3">
        <f>'MSCI ACWI Index_monthly'!B3</f>
        <v>209.727563</v>
      </c>
      <c r="D3">
        <f>('MGGIX US_monthly'!B3-'MGGIX US_monthly'!B2)/'MGGIX US_monthly'!B2</f>
        <v>4.2944785276073573E-2</v>
      </c>
      <c r="E3">
        <f>('MSCI ACWI Index_monthly'!B3-'MSCI ACWI Index_monthly'!B2)/'MSCI ACWI Index_monthly'!B2</f>
        <v>2.8051298498091851E-2</v>
      </c>
      <c r="F3">
        <f>(1+'Risk-free rate'!B3/100)^(1/12)-1</f>
        <v>4.3230397371596396E-4</v>
      </c>
      <c r="G3">
        <f>D3-$F3</f>
        <v>4.2512481302357609E-2</v>
      </c>
      <c r="H3">
        <f>E3-$F3</f>
        <v>2.7618994524375887E-2</v>
      </c>
    </row>
    <row r="4" spans="1:14" x14ac:dyDescent="0.2">
      <c r="A4" t="str">
        <f>'MGGIX US_monthly'!A4</f>
        <v>2017-03-31</v>
      </c>
      <c r="B4">
        <f>'MGGIX US_monthly'!B4</f>
        <v>17.86</v>
      </c>
      <c r="C4">
        <f>'MSCI ACWI Index_monthly'!B4</f>
        <v>212.293274</v>
      </c>
      <c r="D4">
        <f>('MGGIX US_monthly'!B4-'MGGIX US_monthly'!B3)/'MGGIX US_monthly'!B3</f>
        <v>5.0588235294117614E-2</v>
      </c>
      <c r="E4">
        <f>('MSCI ACWI Index_monthly'!B4-'MSCI ACWI Index_monthly'!B3)/'MSCI ACWI Index_monthly'!B3</f>
        <v>1.2233542235933925E-2</v>
      </c>
      <c r="F4">
        <f>(1+'Risk-free rate'!B4/100)^(1/12)-1</f>
        <v>6.1458497411925883E-4</v>
      </c>
      <c r="G4">
        <f t="shared" ref="G4:H67" si="0">D4-$F4</f>
        <v>4.9973650319998356E-2</v>
      </c>
      <c r="H4">
        <f t="shared" si="0"/>
        <v>1.1618957261814666E-2</v>
      </c>
    </row>
    <row r="5" spans="1:14" x14ac:dyDescent="0.2">
      <c r="A5" t="str">
        <f>'MGGIX US_monthly'!A5</f>
        <v>2017-04-28</v>
      </c>
      <c r="B5">
        <f>'MGGIX US_monthly'!B5</f>
        <v>18.61</v>
      </c>
      <c r="C5">
        <f>'MSCI ACWI Index_monthly'!B5</f>
        <v>215.60179400000001</v>
      </c>
      <c r="D5">
        <f>('MGGIX US_monthly'!B5-'MGGIX US_monthly'!B4)/'MGGIX US_monthly'!B4</f>
        <v>4.1993281075027998E-2</v>
      </c>
      <c r="E5">
        <f>('MSCI ACWI Index_monthly'!B5-'MSCI ACWI Index_monthly'!B4)/'MSCI ACWI Index_monthly'!B4</f>
        <v>1.5584667086532453E-2</v>
      </c>
      <c r="F5">
        <f>(1+'Risk-free rate'!B5/100)^(1/12)-1</f>
        <v>6.6423464362252993E-4</v>
      </c>
      <c r="G5">
        <f t="shared" si="0"/>
        <v>4.1329046431405468E-2</v>
      </c>
      <c r="H5">
        <f t="shared" si="0"/>
        <v>1.4920432442909923E-2</v>
      </c>
    </row>
    <row r="6" spans="1:14" x14ac:dyDescent="0.2">
      <c r="A6" t="str">
        <f>'MGGIX US_monthly'!A6</f>
        <v>2017-05-31</v>
      </c>
      <c r="B6">
        <f>'MGGIX US_monthly'!B6</f>
        <v>19.59</v>
      </c>
      <c r="C6">
        <f>'MSCI ACWI Index_monthly'!B6</f>
        <v>220.362897</v>
      </c>
      <c r="D6">
        <f>('MGGIX US_monthly'!B6-'MGGIX US_monthly'!B5)/'MGGIX US_monthly'!B5</f>
        <v>5.2659860290166602E-2</v>
      </c>
      <c r="E6">
        <f>('MSCI ACWI Index_monthly'!B6-'MSCI ACWI Index_monthly'!B5)/'MSCI ACWI Index_monthly'!B5</f>
        <v>2.2082854282743078E-2</v>
      </c>
      <c r="F6">
        <f>(1+'Risk-free rate'!B6/100)^(1/12)-1</f>
        <v>7.3865837651476696E-4</v>
      </c>
      <c r="G6">
        <f t="shared" si="0"/>
        <v>5.1921201913651835E-2</v>
      </c>
      <c r="H6">
        <f t="shared" si="0"/>
        <v>2.1344195906228311E-2</v>
      </c>
    </row>
    <row r="7" spans="1:14" x14ac:dyDescent="0.2">
      <c r="A7" t="str">
        <f>'MGGIX US_monthly'!A7</f>
        <v>2017-06-30</v>
      </c>
      <c r="B7">
        <f>'MGGIX US_monthly'!B7</f>
        <v>19.52</v>
      </c>
      <c r="C7">
        <f>'MSCI ACWI Index_monthly'!B7</f>
        <v>221.36498499999999</v>
      </c>
      <c r="D7">
        <f>('MGGIX US_monthly'!B7-'MGGIX US_monthly'!B6)/'MGGIX US_monthly'!B6</f>
        <v>-3.5732516590097135E-3</v>
      </c>
      <c r="E7">
        <f>('MSCI ACWI Index_monthly'!B7-'MSCI ACWI Index_monthly'!B6)/'MSCI ACWI Index_monthly'!B6</f>
        <v>4.5474443004803406E-3</v>
      </c>
      <c r="F7">
        <f>(1+'Risk-free rate'!B7/100)^(1/12)-1</f>
        <v>8.1302127632687515E-4</v>
      </c>
      <c r="G7">
        <f t="shared" si="0"/>
        <v>-4.3862729353365887E-3</v>
      </c>
      <c r="H7">
        <f t="shared" si="0"/>
        <v>3.7344230241534654E-3</v>
      </c>
    </row>
    <row r="8" spans="1:14" x14ac:dyDescent="0.2">
      <c r="A8" t="str">
        <f>'MGGIX US_monthly'!A8</f>
        <v>2017-07-31</v>
      </c>
      <c r="B8">
        <f>'MGGIX US_monthly'!B8</f>
        <v>20.85</v>
      </c>
      <c r="C8">
        <f>'MSCI ACWI Index_monthly'!B8</f>
        <v>227.5514</v>
      </c>
      <c r="D8">
        <f>('MGGIX US_monthly'!B8-'MGGIX US_monthly'!B7)/'MGGIX US_monthly'!B7</f>
        <v>6.8135245901639441E-2</v>
      </c>
      <c r="E8">
        <f>('MSCI ACWI Index_monthly'!B8-'MSCI ACWI Index_monthly'!B7)/'MSCI ACWI Index_monthly'!B7</f>
        <v>2.7946673680121593E-2</v>
      </c>
      <c r="F8">
        <f>(1+'Risk-free rate'!B8/100)^(1/12)-1</f>
        <v>8.8732344693531751E-4</v>
      </c>
      <c r="G8">
        <f t="shared" si="0"/>
        <v>6.7247922454704123E-2</v>
      </c>
      <c r="H8">
        <f t="shared" si="0"/>
        <v>2.7059350233186275E-2</v>
      </c>
    </row>
    <row r="9" spans="1:14" x14ac:dyDescent="0.2">
      <c r="A9" t="str">
        <f>'MGGIX US_monthly'!A9</f>
        <v>2017-08-31</v>
      </c>
      <c r="B9">
        <f>'MGGIX US_monthly'!B9</f>
        <v>21.23</v>
      </c>
      <c r="C9">
        <f>'MSCI ACWI Index_monthly'!B9</f>
        <v>228.42317499999999</v>
      </c>
      <c r="D9">
        <f>('MGGIX US_monthly'!B9-'MGGIX US_monthly'!B8)/'MGGIX US_monthly'!B8</f>
        <v>1.8225419664268536E-2</v>
      </c>
      <c r="E9">
        <f>('MSCI ACWI Index_monthly'!B9-'MSCI ACWI Index_monthly'!B8)/'MSCI ACWI Index_monthly'!B8</f>
        <v>3.8311124431666221E-3</v>
      </c>
      <c r="F9">
        <f>(1+'Risk-free rate'!B9/100)^(1/12)-1</f>
        <v>8.3779540909700856E-4</v>
      </c>
      <c r="G9">
        <f t="shared" si="0"/>
        <v>1.7387624255171527E-2</v>
      </c>
      <c r="H9">
        <f t="shared" si="0"/>
        <v>2.9933170340696136E-3</v>
      </c>
    </row>
    <row r="10" spans="1:14" x14ac:dyDescent="0.2">
      <c r="A10" t="str">
        <f>'MGGIX US_monthly'!A10</f>
        <v>2017-09-29</v>
      </c>
      <c r="B10">
        <f>'MGGIX US_monthly'!B10</f>
        <v>21.6</v>
      </c>
      <c r="C10">
        <f>'MSCI ACWI Index_monthly'!B10</f>
        <v>232.83631399999999</v>
      </c>
      <c r="D10">
        <f>('MGGIX US_monthly'!B10-'MGGIX US_monthly'!B9)/'MGGIX US_monthly'!B9</f>
        <v>1.742816768723509E-2</v>
      </c>
      <c r="E10">
        <f>('MSCI ACWI Index_monthly'!B10-'MSCI ACWI Index_monthly'!B9)/'MSCI ACWI Index_monthly'!B9</f>
        <v>1.9320014267378963E-2</v>
      </c>
      <c r="F10">
        <f>(1+'Risk-free rate'!B10/100)^(1/12)-1</f>
        <v>8.543077507923158E-4</v>
      </c>
      <c r="G10">
        <f t="shared" si="0"/>
        <v>1.6573859936442774E-2</v>
      </c>
      <c r="H10">
        <f t="shared" si="0"/>
        <v>1.8465706516586647E-2</v>
      </c>
    </row>
    <row r="11" spans="1:14" x14ac:dyDescent="0.2">
      <c r="A11" t="str">
        <f>'MGGIX US_monthly'!A11</f>
        <v>2017-10-31</v>
      </c>
      <c r="B11">
        <f>'MGGIX US_monthly'!B11</f>
        <v>22.19</v>
      </c>
      <c r="C11">
        <f>'MSCI ACWI Index_monthly'!B11</f>
        <v>237.67123799999999</v>
      </c>
      <c r="D11">
        <f>('MGGIX US_monthly'!B11-'MGGIX US_monthly'!B10)/'MGGIX US_monthly'!B10</f>
        <v>2.7314814814814806E-2</v>
      </c>
      <c r="E11">
        <f>('MSCI ACWI Index_monthly'!B11-'MSCI ACWI Index_monthly'!B10)/'MSCI ACWI Index_monthly'!B10</f>
        <v>2.0765334740696854E-2</v>
      </c>
      <c r="F11">
        <f>(1+'Risk-free rate'!B11/100)^(1/12)-1</f>
        <v>8.8732344693531751E-4</v>
      </c>
      <c r="G11">
        <f t="shared" si="0"/>
        <v>2.6427491367879488E-2</v>
      </c>
      <c r="H11">
        <f t="shared" si="0"/>
        <v>1.9878011293761537E-2</v>
      </c>
    </row>
    <row r="12" spans="1:14" x14ac:dyDescent="0.2">
      <c r="A12" t="str">
        <f>'MGGIX US_monthly'!A12</f>
        <v>2017-11-30</v>
      </c>
      <c r="B12">
        <f>'MGGIX US_monthly'!B12</f>
        <v>22.48</v>
      </c>
      <c r="C12">
        <f>'MSCI ACWI Index_monthly'!B12</f>
        <v>242.27213</v>
      </c>
      <c r="D12">
        <f>('MGGIX US_monthly'!B12-'MGGIX US_monthly'!B11)/'MGGIX US_monthly'!B11</f>
        <v>1.3068949977467289E-2</v>
      </c>
      <c r="E12">
        <f>('MSCI ACWI Index_monthly'!B12-'MSCI ACWI Index_monthly'!B11)/'MSCI ACWI Index_monthly'!B11</f>
        <v>1.9358219525073606E-2</v>
      </c>
      <c r="F12">
        <f>(1+'Risk-free rate'!B12/100)^(1/12)-1</f>
        <v>1.0192665680117674E-3</v>
      </c>
      <c r="G12">
        <f t="shared" si="0"/>
        <v>1.2049683409455522E-2</v>
      </c>
      <c r="H12">
        <f t="shared" si="0"/>
        <v>1.8338952957061838E-2</v>
      </c>
    </row>
    <row r="13" spans="1:14" x14ac:dyDescent="0.2">
      <c r="A13" t="str">
        <f>'MGGIX US_monthly'!A13</f>
        <v>2017-12-29</v>
      </c>
      <c r="B13">
        <f>'MGGIX US_monthly'!B13</f>
        <v>22.94</v>
      </c>
      <c r="C13">
        <f>'MSCI ACWI Index_monthly'!B13</f>
        <v>246.17797200000001</v>
      </c>
      <c r="D13">
        <f>('MGGIX US_monthly'!B13-'MGGIX US_monthly'!B12)/'MGGIX US_monthly'!B12</f>
        <v>2.0462633451957334E-2</v>
      </c>
      <c r="E13">
        <f>('MSCI ACWI Index_monthly'!B13-'MSCI ACWI Index_monthly'!B12)/'MSCI ACWI Index_monthly'!B12</f>
        <v>1.6121714041148715E-2</v>
      </c>
      <c r="F13">
        <f>(1+'Risk-free rate'!B13/100)^(1/12)-1</f>
        <v>1.0934005891671816E-3</v>
      </c>
      <c r="G13">
        <f t="shared" si="0"/>
        <v>1.9369232862790152E-2</v>
      </c>
      <c r="H13">
        <f t="shared" si="0"/>
        <v>1.5028313451981534E-2</v>
      </c>
    </row>
    <row r="14" spans="1:14" x14ac:dyDescent="0.2">
      <c r="A14" t="str">
        <f>'MGGIX US_monthly'!A14</f>
        <v>2018-01-31</v>
      </c>
      <c r="B14">
        <f>'MGGIX US_monthly'!B14</f>
        <v>24.86</v>
      </c>
      <c r="C14">
        <f>'MSCI ACWI Index_monthly'!B14</f>
        <v>260.06649800000002</v>
      </c>
      <c r="D14">
        <f>('MGGIX US_monthly'!B14-'MGGIX US_monthly'!B13)/'MGGIX US_monthly'!B13</f>
        <v>8.3696599825632004E-2</v>
      </c>
      <c r="E14">
        <f>('MSCI ACWI Index_monthly'!B14-'MSCI ACWI Index_monthly'!B13)/'MSCI ACWI Index_monthly'!B13</f>
        <v>5.6416607412786764E-2</v>
      </c>
      <c r="F14">
        <f>(1+'Risk-free rate'!B14/100)^(1/12)-1</f>
        <v>1.1674742711142994E-3</v>
      </c>
      <c r="G14">
        <f t="shared" si="0"/>
        <v>8.2529125554517704E-2</v>
      </c>
      <c r="H14">
        <f t="shared" si="0"/>
        <v>5.5249133141672464E-2</v>
      </c>
    </row>
    <row r="15" spans="1:14" x14ac:dyDescent="0.2">
      <c r="A15" t="str">
        <f>'MGGIX US_monthly'!A15</f>
        <v>2018-02-28</v>
      </c>
      <c r="B15">
        <f>'MGGIX US_monthly'!B15</f>
        <v>24.37</v>
      </c>
      <c r="C15">
        <f>'MSCI ACWI Index_monthly'!B15</f>
        <v>249.14415500000001</v>
      </c>
      <c r="D15">
        <f>('MGGIX US_monthly'!B15-'MGGIX US_monthly'!B14)/'MGGIX US_monthly'!B14</f>
        <v>-1.97103781174577E-2</v>
      </c>
      <c r="E15">
        <f>('MSCI ACWI Index_monthly'!B15-'MSCI ACWI Index_monthly'!B14)/'MSCI ACWI Index_monthly'!B14</f>
        <v>-4.1998269996314598E-2</v>
      </c>
      <c r="F15">
        <f>(1+'Risk-free rate'!B15/100)^(1/12)-1</f>
        <v>1.2990121499387719E-3</v>
      </c>
      <c r="G15">
        <f t="shared" si="0"/>
        <v>-2.1009390267396472E-2</v>
      </c>
      <c r="H15">
        <f t="shared" si="0"/>
        <v>-4.329728214625337E-2</v>
      </c>
    </row>
    <row r="16" spans="1:14" x14ac:dyDescent="0.2">
      <c r="A16" t="str">
        <f>'MGGIX US_monthly'!A16</f>
        <v>2018-03-30</v>
      </c>
      <c r="B16">
        <f>'MGGIX US_monthly'!B16</f>
        <v>24.22</v>
      </c>
      <c r="C16">
        <f>'MSCI ACWI Index_monthly'!B16</f>
        <v>243.81079</v>
      </c>
      <c r="D16">
        <f>('MGGIX US_monthly'!B16-'MGGIX US_monthly'!B15)/'MGGIX US_monthly'!B15</f>
        <v>-6.1551087402544986E-3</v>
      </c>
      <c r="E16">
        <f>('MSCI ACWI Index_monthly'!B16-'MSCI ACWI Index_monthly'!B15)/'MSCI ACWI Index_monthly'!B15</f>
        <v>-2.1406743417279907E-2</v>
      </c>
      <c r="F16">
        <f>(1+'Risk-free rate'!B16/100)^(1/12)-1</f>
        <v>1.4057468926966799E-3</v>
      </c>
      <c r="G16">
        <f t="shared" si="0"/>
        <v>-7.5608556329511785E-3</v>
      </c>
      <c r="H16">
        <f t="shared" si="0"/>
        <v>-2.2812490309976587E-2</v>
      </c>
    </row>
    <row r="17" spans="1:8" x14ac:dyDescent="0.2">
      <c r="A17" t="str">
        <f>'MGGIX US_monthly'!A17</f>
        <v>2018-04-30</v>
      </c>
      <c r="B17">
        <f>'MGGIX US_monthly'!B17</f>
        <v>24.62</v>
      </c>
      <c r="C17">
        <f>'MSCI ACWI Index_monthly'!B17</f>
        <v>246.13907699999999</v>
      </c>
      <c r="D17">
        <f>('MGGIX US_monthly'!B17-'MGGIX US_monthly'!B16)/'MGGIX US_monthly'!B16</f>
        <v>1.6515276630883657E-2</v>
      </c>
      <c r="E17">
        <f>('MSCI ACWI Index_monthly'!B17-'MSCI ACWI Index_monthly'!B16)/'MSCI ACWI Index_monthly'!B16</f>
        <v>9.5495650541142542E-3</v>
      </c>
      <c r="F17">
        <f>(1+'Risk-free rate'!B17/100)^(1/12)-1</f>
        <v>1.4549669057570824E-3</v>
      </c>
      <c r="G17">
        <f t="shared" si="0"/>
        <v>1.5060309725126574E-2</v>
      </c>
      <c r="H17">
        <f t="shared" si="0"/>
        <v>8.0945981483571718E-3</v>
      </c>
    </row>
    <row r="18" spans="1:8" x14ac:dyDescent="0.2">
      <c r="A18" t="str">
        <f>'MGGIX US_monthly'!A18</f>
        <v>2018-05-31</v>
      </c>
      <c r="B18">
        <f>'MGGIX US_monthly'!B18</f>
        <v>26.11</v>
      </c>
      <c r="C18">
        <f>'MSCI ACWI Index_monthly'!B18</f>
        <v>246.44637800000001</v>
      </c>
      <c r="D18">
        <f>('MGGIX US_monthly'!B18-'MGGIX US_monthly'!B17)/'MGGIX US_monthly'!B17</f>
        <v>6.0519902518277754E-2</v>
      </c>
      <c r="E18">
        <f>('MSCI ACWI Index_monthly'!B18-'MSCI ACWI Index_monthly'!B17)/'MSCI ACWI Index_monthly'!B17</f>
        <v>1.2484852212232185E-3</v>
      </c>
      <c r="F18">
        <f>(1+'Risk-free rate'!B18/100)^(1/12)-1</f>
        <v>1.5369411743291206E-3</v>
      </c>
      <c r="G18">
        <f t="shared" si="0"/>
        <v>5.8982961343948634E-2</v>
      </c>
      <c r="H18">
        <f t="shared" si="0"/>
        <v>-2.8845595310590211E-4</v>
      </c>
    </row>
    <row r="19" spans="1:8" x14ac:dyDescent="0.2">
      <c r="A19" t="str">
        <f>'MGGIX US_monthly'!A19</f>
        <v>2018-06-29</v>
      </c>
      <c r="B19">
        <f>'MGGIX US_monthly'!B19</f>
        <v>25.82</v>
      </c>
      <c r="C19">
        <f>'MSCI ACWI Index_monthly'!B19</f>
        <v>245.111774</v>
      </c>
      <c r="D19">
        <f>('MGGIX US_monthly'!B19-'MGGIX US_monthly'!B18)/'MGGIX US_monthly'!B18</f>
        <v>-1.1106855610877027E-2</v>
      </c>
      <c r="E19">
        <f>('MSCI ACWI Index_monthly'!B19-'MSCI ACWI Index_monthly'!B18)/'MSCI ACWI Index_monthly'!B18</f>
        <v>-5.4153930393735098E-3</v>
      </c>
      <c r="F19">
        <f>(1+'Risk-free rate'!B19/100)^(1/12)-1</f>
        <v>1.5697102274137009E-3</v>
      </c>
      <c r="G19">
        <f t="shared" si="0"/>
        <v>-1.2676565838290728E-2</v>
      </c>
      <c r="H19">
        <f t="shared" si="0"/>
        <v>-6.9851032667872107E-3</v>
      </c>
    </row>
    <row r="20" spans="1:8" x14ac:dyDescent="0.2">
      <c r="A20" t="str">
        <f>'MGGIX US_monthly'!A20</f>
        <v>2018-07-31</v>
      </c>
      <c r="B20">
        <f>'MGGIX US_monthly'!B20</f>
        <v>25.35</v>
      </c>
      <c r="C20">
        <f>'MSCI ACWI Index_monthly'!B20</f>
        <v>252.503546</v>
      </c>
      <c r="D20">
        <f>('MGGIX US_monthly'!B20-'MGGIX US_monthly'!B19)/'MGGIX US_monthly'!B19</f>
        <v>-1.8202943454686246E-2</v>
      </c>
      <c r="E20">
        <f>('MSCI ACWI Index_monthly'!B20-'MSCI ACWI Index_monthly'!B19)/'MSCI ACWI Index_monthly'!B19</f>
        <v>3.0156739839025452E-2</v>
      </c>
      <c r="F20">
        <f>(1+'Risk-free rate'!B20/100)^(1/12)-1</f>
        <v>1.6188417051281601E-3</v>
      </c>
      <c r="G20">
        <f t="shared" si="0"/>
        <v>-1.9821785159814406E-2</v>
      </c>
      <c r="H20">
        <f t="shared" si="0"/>
        <v>2.8537898133897292E-2</v>
      </c>
    </row>
    <row r="21" spans="1:8" x14ac:dyDescent="0.2">
      <c r="A21" t="str">
        <f>'MGGIX US_monthly'!A21</f>
        <v>2018-08-31</v>
      </c>
      <c r="B21">
        <f>'MGGIX US_monthly'!B21</f>
        <v>25.72</v>
      </c>
      <c r="C21">
        <f>'MSCI ACWI Index_monthly'!B21</f>
        <v>254.48731100000001</v>
      </c>
      <c r="D21">
        <f>('MGGIX US_monthly'!B21-'MGGIX US_monthly'!B20)/'MGGIX US_monthly'!B20</f>
        <v>1.4595660749506802E-2</v>
      </c>
      <c r="E21">
        <f>('MSCI ACWI Index_monthly'!B21-'MSCI ACWI Index_monthly'!B20)/'MSCI ACWI Index_monthly'!B20</f>
        <v>7.8563847178605775E-3</v>
      </c>
      <c r="F21">
        <f>(1+'Risk-free rate'!B21/100)^(1/12)-1</f>
        <v>1.6761282769228725E-3</v>
      </c>
      <c r="G21">
        <f t="shared" si="0"/>
        <v>1.291953247258393E-2</v>
      </c>
      <c r="H21">
        <f t="shared" si="0"/>
        <v>6.180256440937705E-3</v>
      </c>
    </row>
    <row r="22" spans="1:8" x14ac:dyDescent="0.2">
      <c r="A22" t="str">
        <f>'MGGIX US_monthly'!A22</f>
        <v>2018-09-28</v>
      </c>
      <c r="B22">
        <f>'MGGIX US_monthly'!B22</f>
        <v>25.39</v>
      </c>
      <c r="C22">
        <f>'MSCI ACWI Index_monthly'!B22</f>
        <v>255.59489199999999</v>
      </c>
      <c r="D22">
        <f>('MGGIX US_monthly'!B22-'MGGIX US_monthly'!B21)/'MGGIX US_monthly'!B21</f>
        <v>-1.2830482115085471E-2</v>
      </c>
      <c r="E22">
        <f>('MSCI ACWI Index_monthly'!B22-'MSCI ACWI Index_monthly'!B21)/'MSCI ACWI Index_monthly'!B21</f>
        <v>4.3522052068049157E-3</v>
      </c>
      <c r="F22">
        <f>(1+'Risk-free rate'!B22/100)^(1/12)-1</f>
        <v>1.7579037712718293E-3</v>
      </c>
      <c r="G22">
        <f t="shared" si="0"/>
        <v>-1.4588385886357301E-2</v>
      </c>
      <c r="H22">
        <f t="shared" si="0"/>
        <v>2.5943014355330864E-3</v>
      </c>
    </row>
    <row r="23" spans="1:8" x14ac:dyDescent="0.2">
      <c r="A23" t="str">
        <f>'MGGIX US_monthly'!A23</f>
        <v>2018-10-31</v>
      </c>
      <c r="B23">
        <f>'MGGIX US_monthly'!B23</f>
        <v>22.58</v>
      </c>
      <c r="C23">
        <f>'MSCI ACWI Index_monthly'!B23</f>
        <v>236.44088300000001</v>
      </c>
      <c r="D23">
        <f>('MGGIX US_monthly'!B23-'MGGIX US_monthly'!B22)/'MGGIX US_monthly'!B22</f>
        <v>-0.11067349350137859</v>
      </c>
      <c r="E23">
        <f>('MSCI ACWI Index_monthly'!B23-'MSCI ACWI Index_monthly'!B22)/'MSCI ACWI Index_monthly'!B22</f>
        <v>-7.4938935008137697E-2</v>
      </c>
      <c r="F23">
        <f>(1+'Risk-free rate'!B23/100)^(1/12)-1</f>
        <v>1.855937535336194E-3</v>
      </c>
      <c r="G23">
        <f t="shared" si="0"/>
        <v>-0.11252943103671478</v>
      </c>
      <c r="H23">
        <f t="shared" si="0"/>
        <v>-7.6794872543473891E-2</v>
      </c>
    </row>
    <row r="24" spans="1:8" x14ac:dyDescent="0.2">
      <c r="A24" t="str">
        <f>'MGGIX US_monthly'!A24</f>
        <v>2018-11-30</v>
      </c>
      <c r="B24">
        <f>'MGGIX US_monthly'!B24</f>
        <v>22.94</v>
      </c>
      <c r="C24">
        <f>'MSCI ACWI Index_monthly'!B24</f>
        <v>239.89893000000001</v>
      </c>
      <c r="D24">
        <f>('MGGIX US_monthly'!B24-'MGGIX US_monthly'!B23)/'MGGIX US_monthly'!B23</f>
        <v>1.5943312666076306E-2</v>
      </c>
      <c r="E24">
        <f>('MSCI ACWI Index_monthly'!B24-'MSCI ACWI Index_monthly'!B23)/'MSCI ACWI Index_monthly'!B23</f>
        <v>1.4625419073570256E-2</v>
      </c>
      <c r="F24">
        <f>(1+'Risk-free rate'!B24/100)^(1/12)-1</f>
        <v>1.921234803683225E-3</v>
      </c>
      <c r="G24">
        <f t="shared" si="0"/>
        <v>1.4022077862393081E-2</v>
      </c>
      <c r="H24">
        <f t="shared" si="0"/>
        <v>1.2704184269887031E-2</v>
      </c>
    </row>
    <row r="25" spans="1:8" x14ac:dyDescent="0.2">
      <c r="A25" t="str">
        <f>'MGGIX US_monthly'!A25</f>
        <v>2018-12-31</v>
      </c>
      <c r="B25">
        <f>'MGGIX US_monthly'!B25</f>
        <v>21.5</v>
      </c>
      <c r="C25">
        <f>'MSCI ACWI Index_monthly'!B25</f>
        <v>223.00177600000001</v>
      </c>
      <c r="D25">
        <f>('MGGIX US_monthly'!B25-'MGGIX US_monthly'!B24)/'MGGIX US_monthly'!B24</f>
        <v>-6.2772449869224117E-2</v>
      </c>
      <c r="E25">
        <f>('MSCI ACWI Index_monthly'!B25-'MSCI ACWI Index_monthly'!B24)/'MSCI ACWI Index_monthly'!B24</f>
        <v>-7.0434470049532946E-2</v>
      </c>
      <c r="F25">
        <f>(1+'Risk-free rate'!B25/100)^(1/12)-1</f>
        <v>1.9538658918776264E-3</v>
      </c>
      <c r="G25">
        <f t="shared" si="0"/>
        <v>-6.4726315761101744E-2</v>
      </c>
      <c r="H25">
        <f t="shared" si="0"/>
        <v>-7.2388335941410573E-2</v>
      </c>
    </row>
    <row r="26" spans="1:8" x14ac:dyDescent="0.2">
      <c r="A26" t="str">
        <f>'MGGIX US_monthly'!A26</f>
        <v>2019-01-31</v>
      </c>
      <c r="B26">
        <f>'MGGIX US_monthly'!B26</f>
        <v>23.7600002288818</v>
      </c>
      <c r="C26">
        <f>'MSCI ACWI Index_monthly'!B26</f>
        <v>240.60990200000001</v>
      </c>
      <c r="D26">
        <f>('MGGIX US_monthly'!B26-'MGGIX US_monthly'!B25)/'MGGIX US_monthly'!B25</f>
        <v>0.10511628971543258</v>
      </c>
      <c r="E26">
        <f>('MSCI ACWI Index_monthly'!B26-'MSCI ACWI Index_monthly'!B25)/'MSCI ACWI Index_monthly'!B25</f>
        <v>7.8959577434038003E-2</v>
      </c>
      <c r="F26">
        <f>(1+'Risk-free rate'!B26/100)^(1/12)-1</f>
        <v>1.9538658918776264E-3</v>
      </c>
      <c r="G26">
        <f t="shared" si="0"/>
        <v>0.10316242382355495</v>
      </c>
      <c r="H26">
        <f t="shared" si="0"/>
        <v>7.7005711542160377E-2</v>
      </c>
    </row>
    <row r="27" spans="1:8" x14ac:dyDescent="0.2">
      <c r="A27" t="str">
        <f>'MGGIX US_monthly'!A27</f>
        <v>2019-02-28</v>
      </c>
      <c r="B27">
        <f>'MGGIX US_monthly'!B27</f>
        <v>24.4799995422363</v>
      </c>
      <c r="C27">
        <f>'MSCI ACWI Index_monthly'!B27</f>
        <v>247.04553100000001</v>
      </c>
      <c r="D27">
        <f>('MGGIX US_monthly'!B27-'MGGIX US_monthly'!B26)/'MGGIX US_monthly'!B26</f>
        <v>3.030300111189789E-2</v>
      </c>
      <c r="E27">
        <f>('MSCI ACWI Index_monthly'!B27-'MSCI ACWI Index_monthly'!B26)/'MSCI ACWI Index_monthly'!B26</f>
        <v>2.6747149416984532E-2</v>
      </c>
      <c r="F27">
        <f>(1+'Risk-free rate'!B27/100)^(1/12)-1</f>
        <v>1.970177053312705E-3</v>
      </c>
      <c r="G27">
        <f t="shared" si="0"/>
        <v>2.8332824058585185E-2</v>
      </c>
      <c r="H27">
        <f t="shared" si="0"/>
        <v>2.4776972363671827E-2</v>
      </c>
    </row>
    <row r="28" spans="1:8" x14ac:dyDescent="0.2">
      <c r="A28" t="str">
        <f>'MGGIX US_monthly'!A28</f>
        <v>2019-03-29</v>
      </c>
      <c r="B28">
        <f>'MGGIX US_monthly'!B28</f>
        <v>25.4699993133544</v>
      </c>
      <c r="C28">
        <f>'MSCI ACWI Index_monthly'!B28</f>
        <v>250.152376</v>
      </c>
      <c r="D28">
        <f>('MGGIX US_monthly'!B28-'MGGIX US_monthly'!B27)/'MGGIX US_monthly'!B27</f>
        <v>4.044116787706694E-2</v>
      </c>
      <c r="E28">
        <f>('MSCI ACWI Index_monthly'!B28-'MSCI ACWI Index_monthly'!B27)/'MSCI ACWI Index_monthly'!B27</f>
        <v>1.2576001627813266E-2</v>
      </c>
      <c r="F28">
        <f>(1+'Risk-free rate'!B28/100)^(1/12)-1</f>
        <v>1.9783315388433032E-3</v>
      </c>
      <c r="G28">
        <f t="shared" si="0"/>
        <v>3.8462836338223637E-2</v>
      </c>
      <c r="H28">
        <f t="shared" si="0"/>
        <v>1.0597670088969963E-2</v>
      </c>
    </row>
    <row r="29" spans="1:8" x14ac:dyDescent="0.2">
      <c r="A29" t="str">
        <f>'MGGIX US_monthly'!A29</f>
        <v>2019-04-30</v>
      </c>
      <c r="B29">
        <f>'MGGIX US_monthly'!B29</f>
        <v>26.75</v>
      </c>
      <c r="C29">
        <f>'MSCI ACWI Index_monthly'!B29</f>
        <v>258.598928</v>
      </c>
      <c r="D29">
        <f>('MGGIX US_monthly'!B29-'MGGIX US_monthly'!B28)/'MGGIX US_monthly'!B28</f>
        <v>5.0255230512490499E-2</v>
      </c>
      <c r="E29">
        <f>('MSCI ACWI Index_monthly'!B29-'MSCI ACWI Index_monthly'!B28)/'MSCI ACWI Index_monthly'!B28</f>
        <v>3.376562771484528E-2</v>
      </c>
      <c r="F29">
        <f>(1+'Risk-free rate'!B29/100)^(1/12)-1</f>
        <v>1.9620218377029985E-3</v>
      </c>
      <c r="G29">
        <f t="shared" si="0"/>
        <v>4.8293208674787501E-2</v>
      </c>
      <c r="H29">
        <f t="shared" si="0"/>
        <v>3.1803605877142281E-2</v>
      </c>
    </row>
    <row r="30" spans="1:8" x14ac:dyDescent="0.2">
      <c r="A30" t="str">
        <f>'MGGIX US_monthly'!A30</f>
        <v>2019-05-31</v>
      </c>
      <c r="B30">
        <f>'MGGIX US_monthly'!B30</f>
        <v>25.5100002288818</v>
      </c>
      <c r="C30">
        <f>'MSCI ACWI Index_monthly'!B30</f>
        <v>243.25909100000001</v>
      </c>
      <c r="D30">
        <f>('MGGIX US_monthly'!B30-'MGGIX US_monthly'!B29)/'MGGIX US_monthly'!B29</f>
        <v>-4.6355131630586903E-2</v>
      </c>
      <c r="E30">
        <f>('MSCI ACWI Index_monthly'!B30-'MSCI ACWI Index_monthly'!B29)/'MSCI ACWI Index_monthly'!B29</f>
        <v>-5.9319027803549085E-2</v>
      </c>
      <c r="F30">
        <f>(1+'Risk-free rate'!B30/100)^(1/12)-1</f>
        <v>1.937551809032545E-3</v>
      </c>
      <c r="G30">
        <f t="shared" si="0"/>
        <v>-4.8292683439619448E-2</v>
      </c>
      <c r="H30">
        <f t="shared" si="0"/>
        <v>-6.125657961258163E-2</v>
      </c>
    </row>
    <row r="31" spans="1:8" x14ac:dyDescent="0.2">
      <c r="A31" t="str">
        <f>'MGGIX US_monthly'!A31</f>
        <v>2019-06-28</v>
      </c>
      <c r="B31">
        <f>'MGGIX US_monthly'!B31</f>
        <v>27.079999923706001</v>
      </c>
      <c r="C31">
        <f>'MSCI ACWI Index_monthly'!B31</f>
        <v>259.18760200000003</v>
      </c>
      <c r="D31">
        <f>('MGGIX US_monthly'!B31-'MGGIX US_monthly'!B30)/'MGGIX US_monthly'!B30</f>
        <v>6.1544479840760079E-2</v>
      </c>
      <c r="E31">
        <f>('MSCI ACWI Index_monthly'!B31-'MSCI ACWI Index_monthly'!B30)/'MSCI ACWI Index_monthly'!B30</f>
        <v>6.5479612435121751E-2</v>
      </c>
      <c r="F31">
        <f>(1+'Risk-free rate'!B31/100)^(1/12)-1</f>
        <v>1.7905934192179451E-3</v>
      </c>
      <c r="G31">
        <f t="shared" si="0"/>
        <v>5.9753886421542134E-2</v>
      </c>
      <c r="H31">
        <f t="shared" si="0"/>
        <v>6.3689019015903806E-2</v>
      </c>
    </row>
    <row r="32" spans="1:8" x14ac:dyDescent="0.2">
      <c r="A32" t="str">
        <f>'MGGIX US_monthly'!A32</f>
        <v>2019-07-31</v>
      </c>
      <c r="B32">
        <f>'MGGIX US_monthly'!B32</f>
        <v>26.870000839233398</v>
      </c>
      <c r="C32">
        <f>'MSCI ACWI Index_monthly'!B32</f>
        <v>259.94706100000002</v>
      </c>
      <c r="D32">
        <f>('MGGIX US_monthly'!B32-'MGGIX US_monthly'!B31)/'MGGIX US_monthly'!B31</f>
        <v>-7.7547668044403665E-3</v>
      </c>
      <c r="E32">
        <f>('MSCI ACWI Index_monthly'!B32-'MSCI ACWI Index_monthly'!B31)/'MSCI ACWI Index_monthly'!B31</f>
        <v>2.9301517284765514E-3</v>
      </c>
      <c r="F32">
        <f>(1+'Risk-free rate'!B32/100)^(1/12)-1</f>
        <v>1.73337883251512E-3</v>
      </c>
      <c r="G32">
        <f t="shared" si="0"/>
        <v>-9.4881456369554865E-3</v>
      </c>
      <c r="H32">
        <f t="shared" si="0"/>
        <v>1.1967728959614314E-3</v>
      </c>
    </row>
    <row r="33" spans="1:10" x14ac:dyDescent="0.2">
      <c r="A33" t="str">
        <f>'MGGIX US_monthly'!A33</f>
        <v>2019-08-30</v>
      </c>
      <c r="B33">
        <f>'MGGIX US_monthly'!B33</f>
        <v>26.549999237060501</v>
      </c>
      <c r="C33">
        <f>'MSCI ACWI Index_monthly'!B33</f>
        <v>253.780519</v>
      </c>
      <c r="D33">
        <f>('MGGIX US_monthly'!B33-'MGGIX US_monthly'!B32)/'MGGIX US_monthly'!B32</f>
        <v>-1.1909251662756085E-2</v>
      </c>
      <c r="E33">
        <f>('MSCI ACWI Index_monthly'!B33-'MSCI ACWI Index_monthly'!B32)/'MSCI ACWI Index_monthly'!B32</f>
        <v>-2.372229936463879E-2</v>
      </c>
      <c r="F33">
        <f>(1+'Risk-free rate'!B33/100)^(1/12)-1</f>
        <v>1.6106549662961989E-3</v>
      </c>
      <c r="G33">
        <f t="shared" si="0"/>
        <v>-1.3519906629052284E-2</v>
      </c>
      <c r="H33">
        <f t="shared" si="0"/>
        <v>-2.5332954330934989E-2</v>
      </c>
    </row>
    <row r="34" spans="1:10" x14ac:dyDescent="0.2">
      <c r="A34" t="str">
        <f>'MGGIX US_monthly'!A34</f>
        <v>2019-09-30</v>
      </c>
      <c r="B34">
        <f>'MGGIX US_monthly'!B34</f>
        <v>26.129999160766602</v>
      </c>
      <c r="C34">
        <f>'MSCI ACWI Index_monthly'!B34</f>
        <v>259.12045499999999</v>
      </c>
      <c r="D34">
        <f>('MGGIX US_monthly'!B34-'MGGIX US_monthly'!B33)/'MGGIX US_monthly'!B33</f>
        <v>-1.5819212367721321E-2</v>
      </c>
      <c r="E34">
        <f>('MSCI ACWI Index_monthly'!B34-'MSCI ACWI Index_monthly'!B33)/'MSCI ACWI Index_monthly'!B33</f>
        <v>2.1041552050730869E-2</v>
      </c>
      <c r="F34">
        <f>(1+'Risk-free rate'!B34/100)^(1/12)-1</f>
        <v>1.5615190697231274E-3</v>
      </c>
      <c r="G34">
        <f t="shared" si="0"/>
        <v>-1.7380731437444449E-2</v>
      </c>
      <c r="H34">
        <f t="shared" si="0"/>
        <v>1.9480032981007742E-2</v>
      </c>
    </row>
    <row r="35" spans="1:10" x14ac:dyDescent="0.2">
      <c r="A35" t="str">
        <f>'MGGIX US_monthly'!A35</f>
        <v>2019-10-31</v>
      </c>
      <c r="B35">
        <f>'MGGIX US_monthly'!B35</f>
        <v>27.059999465942301</v>
      </c>
      <c r="C35">
        <f>'MSCI ACWI Index_monthly'!B35</f>
        <v>266.21224999999998</v>
      </c>
      <c r="D35">
        <f>('MGGIX US_monthly'!B35-'MGGIX US_monthly'!B34)/'MGGIX US_monthly'!B34</f>
        <v>3.5591287219483216E-2</v>
      </c>
      <c r="E35">
        <f>('MSCI ACWI Index_monthly'!B35-'MSCI ACWI Index_monthly'!B34)/'MSCI ACWI Index_monthly'!B34</f>
        <v>2.7368719308554744E-2</v>
      </c>
      <c r="F35">
        <f>(1+'Risk-free rate'!B35/100)^(1/12)-1</f>
        <v>1.364709877352599E-3</v>
      </c>
      <c r="G35">
        <f t="shared" si="0"/>
        <v>3.4226577342130617E-2</v>
      </c>
      <c r="H35">
        <f t="shared" si="0"/>
        <v>2.6004009431202145E-2</v>
      </c>
    </row>
    <row r="36" spans="1:10" x14ac:dyDescent="0.2">
      <c r="A36" t="str">
        <f>'MGGIX US_monthly'!A36</f>
        <v>2019-11-29</v>
      </c>
      <c r="B36">
        <f>'MGGIX US_monthly'!B36</f>
        <v>28.420000076293899</v>
      </c>
      <c r="C36">
        <f>'MSCI ACWI Index_monthly'!B36</f>
        <v>272.71087999999997</v>
      </c>
      <c r="D36">
        <f>('MGGIX US_monthly'!B36-'MGGIX US_monthly'!B35)/'MGGIX US_monthly'!B35</f>
        <v>5.0258707952426013E-2</v>
      </c>
      <c r="E36">
        <f>('MSCI ACWI Index_monthly'!B36-'MSCI ACWI Index_monthly'!B35)/'MSCI ACWI Index_monthly'!B35</f>
        <v>2.4411461155525307E-2</v>
      </c>
      <c r="F36">
        <f>(1+'Risk-free rate'!B36/100)^(1/12)-1</f>
        <v>1.2743632726075482E-3</v>
      </c>
      <c r="G36">
        <f t="shared" si="0"/>
        <v>4.8984344679818465E-2</v>
      </c>
      <c r="H36">
        <f t="shared" si="0"/>
        <v>2.3137097882917759E-2</v>
      </c>
    </row>
    <row r="37" spans="1:10" x14ac:dyDescent="0.2">
      <c r="A37" t="str">
        <f>'MGGIX US_monthly'!A37</f>
        <v>2019-12-31</v>
      </c>
      <c r="B37">
        <f>'MGGIX US_monthly'!B37</f>
        <v>29.120000839233398</v>
      </c>
      <c r="C37">
        <f>'MSCI ACWI Index_monthly'!B37</f>
        <v>282.31445300000001</v>
      </c>
      <c r="D37">
        <f>('MGGIX US_monthly'!B37-'MGGIX US_monthly'!B36)/'MGGIX US_monthly'!B36</f>
        <v>2.4630568650961901E-2</v>
      </c>
      <c r="E37">
        <f>('MSCI ACWI Index_monthly'!B37-'MSCI ACWI Index_monthly'!B36)/'MSCI ACWI Index_monthly'!B36</f>
        <v>3.5215217669350193E-2</v>
      </c>
      <c r="F37">
        <f>(1+'Risk-free rate'!B37/100)^(1/12)-1</f>
        <v>1.2743632726075482E-3</v>
      </c>
      <c r="G37">
        <f t="shared" si="0"/>
        <v>2.3356205378354353E-2</v>
      </c>
      <c r="H37">
        <f t="shared" si="0"/>
        <v>3.3940854396742645E-2</v>
      </c>
    </row>
    <row r="38" spans="1:10" x14ac:dyDescent="0.2">
      <c r="A38" t="str">
        <f>'MGGIX US_monthly'!A38</f>
        <v>2020-01-31</v>
      </c>
      <c r="B38">
        <f>'MGGIX US_monthly'!B38</f>
        <v>29.7000007629394</v>
      </c>
      <c r="C38">
        <f>'MSCI ACWI Index_monthly'!B38</f>
        <v>279.19602800000001</v>
      </c>
      <c r="D38">
        <f>('MGGIX US_monthly'!B38-'MGGIX US_monthly'!B37)/'MGGIX US_monthly'!B37</f>
        <v>1.991757922357499E-2</v>
      </c>
      <c r="E38">
        <f>('MSCI ACWI Index_monthly'!B38-'MSCI ACWI Index_monthly'!B37)/'MSCI ACWI Index_monthly'!B37</f>
        <v>-1.1045927570700753E-2</v>
      </c>
      <c r="F38">
        <f>(1+'Risk-free rate'!B38/100)^(1/12)-1</f>
        <v>1.2579269787644787E-3</v>
      </c>
      <c r="G38">
        <f t="shared" si="0"/>
        <v>1.8659652244810511E-2</v>
      </c>
      <c r="H38">
        <f t="shared" si="0"/>
        <v>-1.2303854549465231E-2</v>
      </c>
      <c r="I38">
        <f>((1+INDEX(LINEST(G3:G38,H3:H38,TRUE,TRUE),1,2))^12)-1</f>
        <v>9.7786501416333493E-2</v>
      </c>
      <c r="J38">
        <f>INDEX(LINEST(G3:G38, H3:H38, TRUE, TRUE), 1, 1)</f>
        <v>1.0704535996529976</v>
      </c>
    </row>
    <row r="39" spans="1:10" x14ac:dyDescent="0.2">
      <c r="A39" t="str">
        <f>'MGGIX US_monthly'!A39</f>
        <v>2020-02-28</v>
      </c>
      <c r="B39">
        <f>'MGGIX US_monthly'!B39</f>
        <v>28.389999389648398</v>
      </c>
      <c r="C39">
        <f>'MSCI ACWI Index_monthly'!B39</f>
        <v>256.64542499999999</v>
      </c>
      <c r="D39">
        <f>('MGGIX US_monthly'!B39-'MGGIX US_monthly'!B38)/'MGGIX US_monthly'!B38</f>
        <v>-4.4107789213448864E-2</v>
      </c>
      <c r="E39">
        <f>('MSCI ACWI Index_monthly'!B39-'MSCI ACWI Index_monthly'!B38)/'MSCI ACWI Index_monthly'!B38</f>
        <v>-8.0769784446933543E-2</v>
      </c>
      <c r="F39">
        <f>(1+'Risk-free rate'!B39/100)^(1/12)-1</f>
        <v>1.2579269787644787E-3</v>
      </c>
      <c r="G39">
        <f t="shared" si="0"/>
        <v>-4.5365716192213343E-2</v>
      </c>
      <c r="H39">
        <f t="shared" si="0"/>
        <v>-8.2027711425698022E-2</v>
      </c>
      <c r="I39">
        <f t="shared" ref="I39:I97" si="1">((1+INDEX(LINEST(G4:G39,H4:H39,TRUE,TRUE),1,2))^12)-1</f>
        <v>0.11295593620424338</v>
      </c>
      <c r="J39">
        <f t="shared" ref="J39:J97" si="2">INDEX(LINEST(G4:G39, H4:H39, TRUE, TRUE), 1, 1)</f>
        <v>1.0017096787529014</v>
      </c>
    </row>
    <row r="40" spans="1:10" x14ac:dyDescent="0.2">
      <c r="A40" t="str">
        <f>'MGGIX US_monthly'!A40</f>
        <v>2020-03-31</v>
      </c>
      <c r="B40">
        <f>'MGGIX US_monthly'!B40</f>
        <v>25.709999084472599</v>
      </c>
      <c r="C40">
        <f>'MSCI ACWI Index_monthly'!B40</f>
        <v>221.99744200000001</v>
      </c>
      <c r="D40">
        <f>('MGGIX US_monthly'!B40-'MGGIX US_monthly'!B39)/'MGGIX US_monthly'!B39</f>
        <v>-9.4399449200163937E-2</v>
      </c>
      <c r="E40">
        <f>('MSCI ACWI Index_monthly'!B40-'MSCI ACWI Index_monthly'!B39)/'MSCI ACWI Index_monthly'!B39</f>
        <v>-0.13500331439767524</v>
      </c>
      <c r="F40">
        <f>(1+'Risk-free rate'!B40/100)^(1/12)-1</f>
        <v>2.4134604527370485E-4</v>
      </c>
      <c r="G40">
        <f t="shared" si="0"/>
        <v>-9.4640795245437642E-2</v>
      </c>
      <c r="H40">
        <f t="shared" si="0"/>
        <v>-0.13524466044294894</v>
      </c>
      <c r="I40">
        <f t="shared" si="1"/>
        <v>0.11462035519074032</v>
      </c>
      <c r="J40">
        <f t="shared" si="2"/>
        <v>0.92950663227386832</v>
      </c>
    </row>
    <row r="41" spans="1:10" x14ac:dyDescent="0.2">
      <c r="A41" t="str">
        <f>'MGGIX US_monthly'!A41</f>
        <v>2020-04-30</v>
      </c>
      <c r="B41">
        <f>'MGGIX US_monthly'!B41</f>
        <v>29</v>
      </c>
      <c r="C41">
        <f>'MSCI ACWI Index_monthly'!B41</f>
        <v>245.778931</v>
      </c>
      <c r="D41">
        <f>('MGGIX US_monthly'!B41-'MGGIX US_monthly'!B40)/'MGGIX US_monthly'!B40</f>
        <v>0.12796581223973583</v>
      </c>
      <c r="E41">
        <f>('MSCI ACWI Index_monthly'!B41-'MSCI ACWI Index_monthly'!B40)/'MSCI ACWI Index_monthly'!B40</f>
        <v>0.10712505867522561</v>
      </c>
      <c r="F41">
        <f>(1+'Risk-free rate'!B41/100)^(1/12)-1</f>
        <v>1.1659187244639213E-4</v>
      </c>
      <c r="G41">
        <f t="shared" si="0"/>
        <v>0.12784922036728943</v>
      </c>
      <c r="H41">
        <f t="shared" si="0"/>
        <v>0.10700846680277921</v>
      </c>
      <c r="I41">
        <f t="shared" si="1"/>
        <v>0.11391073408096153</v>
      </c>
      <c r="J41">
        <f t="shared" si="2"/>
        <v>0.95324802832140054</v>
      </c>
    </row>
    <row r="42" spans="1:10" x14ac:dyDescent="0.2">
      <c r="A42" t="str">
        <f>'MGGIX US_monthly'!A42</f>
        <v>2020-05-29</v>
      </c>
      <c r="B42">
        <f>'MGGIX US_monthly'!B42</f>
        <v>31.520000457763601</v>
      </c>
      <c r="C42">
        <f>'MSCI ACWI Index_monthly'!B42</f>
        <v>256.46810699999997</v>
      </c>
      <c r="D42">
        <f>('MGGIX US_monthly'!B42-'MGGIX US_monthly'!B41)/'MGGIX US_monthly'!B41</f>
        <v>8.6896567509089681E-2</v>
      </c>
      <c r="E42">
        <f>('MSCI ACWI Index_monthly'!B42-'MSCI ACWI Index_monthly'!B41)/'MSCI ACWI Index_monthly'!B41</f>
        <v>4.3491018357468464E-2</v>
      </c>
      <c r="F42">
        <f>(1+'Risk-free rate'!B42/100)^(1/12)-1</f>
        <v>1.0826883828274347E-4</v>
      </c>
      <c r="G42">
        <f t="shared" si="0"/>
        <v>8.6788298670806938E-2</v>
      </c>
      <c r="H42">
        <f t="shared" si="0"/>
        <v>4.338274951918572E-2</v>
      </c>
      <c r="I42">
        <f t="shared" si="1"/>
        <v>0.11830577968205969</v>
      </c>
      <c r="J42">
        <f t="shared" si="2"/>
        <v>0.96687277535043037</v>
      </c>
    </row>
    <row r="43" spans="1:10" x14ac:dyDescent="0.2">
      <c r="A43" t="str">
        <f>'MGGIX US_monthly'!A43</f>
        <v>2020-06-30</v>
      </c>
      <c r="B43">
        <f>'MGGIX US_monthly'!B43</f>
        <v>33.849998474121001</v>
      </c>
      <c r="C43">
        <f>'MSCI ACWI Index_monthly'!B43</f>
        <v>264.66290300000003</v>
      </c>
      <c r="D43">
        <f>('MGGIX US_monthly'!B43-'MGGIX US_monthly'!B42)/'MGGIX US_monthly'!B42</f>
        <v>7.3921255790575513E-2</v>
      </c>
      <c r="E43">
        <f>('MSCI ACWI Index_monthly'!B43-'MSCI ACWI Index_monthly'!B42)/'MSCI ACWI Index_monthly'!B42</f>
        <v>3.1952495364267863E-2</v>
      </c>
      <c r="F43">
        <f>(1+'Risk-free rate'!B43/100)^(1/12)-1</f>
        <v>1.3323565538980731E-4</v>
      </c>
      <c r="G43">
        <f t="shared" si="0"/>
        <v>7.3788020135185706E-2</v>
      </c>
      <c r="H43">
        <f t="shared" si="0"/>
        <v>3.1819259708878056E-2</v>
      </c>
      <c r="I43">
        <f t="shared" si="1"/>
        <v>0.13655576177768047</v>
      </c>
      <c r="J43">
        <f t="shared" si="2"/>
        <v>0.97844145649028846</v>
      </c>
    </row>
    <row r="44" spans="1:10" x14ac:dyDescent="0.2">
      <c r="A44" t="str">
        <f>'MGGIX US_monthly'!A44</f>
        <v>2020-07-31</v>
      </c>
      <c r="B44">
        <f>'MGGIX US_monthly'!B44</f>
        <v>36.159999847412102</v>
      </c>
      <c r="C44">
        <f>'MSCI ACWI Index_monthly'!B44</f>
        <v>278.66013900000002</v>
      </c>
      <c r="D44">
        <f>('MGGIX US_monthly'!B44-'MGGIX US_monthly'!B43)/'MGGIX US_monthly'!B43</f>
        <v>6.8242288845511853E-2</v>
      </c>
      <c r="E44">
        <f>('MSCI ACWI Index_monthly'!B44-'MSCI ACWI Index_monthly'!B43)/'MSCI ACWI Index_monthly'!B43</f>
        <v>5.2887034190809826E-2</v>
      </c>
      <c r="F44">
        <f>(1+'Risk-free rate'!B44/100)^(1/12)-1</f>
        <v>1.0826883828274347E-4</v>
      </c>
      <c r="G44">
        <f t="shared" si="0"/>
        <v>6.813402000722911E-2</v>
      </c>
      <c r="H44">
        <f t="shared" si="0"/>
        <v>5.2778765352527082E-2</v>
      </c>
      <c r="I44">
        <f t="shared" si="1"/>
        <v>0.12783552112444285</v>
      </c>
      <c r="J44">
        <f t="shared" si="2"/>
        <v>0.97368396054419781</v>
      </c>
    </row>
    <row r="45" spans="1:10" x14ac:dyDescent="0.2">
      <c r="A45" t="str">
        <f>'MGGIX US_monthly'!A45</f>
        <v>2020-08-31</v>
      </c>
      <c r="B45">
        <f>'MGGIX US_monthly'!B45</f>
        <v>40.349998474121001</v>
      </c>
      <c r="C45">
        <f>'MSCI ACWI Index_monthly'!B45</f>
        <v>295.71556299999997</v>
      </c>
      <c r="D45">
        <f>('MGGIX US_monthly'!B45-'MGGIX US_monthly'!B44)/'MGGIX US_monthly'!B44</f>
        <v>0.11587385631609091</v>
      </c>
      <c r="E45">
        <f>('MSCI ACWI Index_monthly'!B45-'MSCI ACWI Index_monthly'!B44)/'MSCI ACWI Index_monthly'!B44</f>
        <v>6.1205108348847695E-2</v>
      </c>
      <c r="F45">
        <f>(1+'Risk-free rate'!B45/100)^(1/12)-1</f>
        <v>8.3295163273211514E-5</v>
      </c>
      <c r="G45">
        <f t="shared" si="0"/>
        <v>0.1157905611528177</v>
      </c>
      <c r="H45">
        <f t="shared" si="0"/>
        <v>6.1121813185574483E-2</v>
      </c>
      <c r="I45">
        <f t="shared" si="1"/>
        <v>0.14056330883791324</v>
      </c>
      <c r="J45">
        <f t="shared" si="2"/>
        <v>1.0043166868863345</v>
      </c>
    </row>
    <row r="46" spans="1:10" x14ac:dyDescent="0.2">
      <c r="A46" t="str">
        <f>'MGGIX US_monthly'!A46</f>
        <v>2020-09-30</v>
      </c>
      <c r="B46">
        <f>'MGGIX US_monthly'!B46</f>
        <v>40.189998626708899</v>
      </c>
      <c r="C46">
        <f>'MSCI ACWI Index_monthly'!B46</f>
        <v>286.180744</v>
      </c>
      <c r="D46">
        <f>('MGGIX US_monthly'!B46-'MGGIX US_monthly'!B45)/'MGGIX US_monthly'!B45</f>
        <v>-3.9652999619001292E-3</v>
      </c>
      <c r="E46">
        <f>('MSCI ACWI Index_monthly'!B46-'MSCI ACWI Index_monthly'!B45)/'MSCI ACWI Index_monthly'!B45</f>
        <v>-3.2243210006501995E-2</v>
      </c>
      <c r="F46">
        <f>(1+'Risk-free rate'!B46/100)^(1/12)-1</f>
        <v>9.1620483841925449E-5</v>
      </c>
      <c r="G46">
        <f t="shared" si="0"/>
        <v>-4.0569204457420547E-3</v>
      </c>
      <c r="H46">
        <f t="shared" si="0"/>
        <v>-3.233483049034392E-2</v>
      </c>
      <c r="I46">
        <f t="shared" si="1"/>
        <v>0.15250037849925979</v>
      </c>
      <c r="J46">
        <f t="shared" si="2"/>
        <v>0.99839613521695547</v>
      </c>
    </row>
    <row r="47" spans="1:10" x14ac:dyDescent="0.2">
      <c r="A47" t="str">
        <f>'MGGIX US_monthly'!A47</f>
        <v>2020-10-30</v>
      </c>
      <c r="B47">
        <f>'MGGIX US_monthly'!B47</f>
        <v>39.409999847412102</v>
      </c>
      <c r="C47">
        <f>'MSCI ACWI Index_monthly'!B47</f>
        <v>279.22409299999998</v>
      </c>
      <c r="D47">
        <f>('MGGIX US_monthly'!B47-'MGGIX US_monthly'!B46)/'MGGIX US_monthly'!B46</f>
        <v>-1.9407783178634803E-2</v>
      </c>
      <c r="E47">
        <f>('MSCI ACWI Index_monthly'!B47-'MSCI ACWI Index_monthly'!B46)/'MSCI ACWI Index_monthly'!B46</f>
        <v>-2.4308592195147909E-2</v>
      </c>
      <c r="F47">
        <f>(1+'Risk-free rate'!B47/100)^(1/12)-1</f>
        <v>8.3295163273211514E-5</v>
      </c>
      <c r="G47">
        <f t="shared" si="0"/>
        <v>-1.9491078341908014E-2</v>
      </c>
      <c r="H47">
        <f t="shared" si="0"/>
        <v>-2.439188735842112E-2</v>
      </c>
      <c r="I47">
        <f t="shared" si="1"/>
        <v>0.15164333288806464</v>
      </c>
      <c r="J47">
        <f t="shared" si="2"/>
        <v>1.0017830616832553</v>
      </c>
    </row>
    <row r="48" spans="1:10" x14ac:dyDescent="0.2">
      <c r="A48" t="str">
        <f>'MGGIX US_monthly'!A48</f>
        <v>2020-11-30</v>
      </c>
      <c r="B48">
        <f>'MGGIX US_monthly'!B48</f>
        <v>43.75</v>
      </c>
      <c r="C48">
        <f>'MSCI ACWI Index_monthly'!B48</f>
        <v>313.64207099999999</v>
      </c>
      <c r="D48">
        <f>('MGGIX US_monthly'!B48-'MGGIX US_monthly'!B47)/'MGGIX US_monthly'!B47</f>
        <v>0.11012433822358637</v>
      </c>
      <c r="E48">
        <f>('MSCI ACWI Index_monthly'!B48-'MSCI ACWI Index_monthly'!B47)/'MSCI ACWI Index_monthly'!B47</f>
        <v>0.12326292344693911</v>
      </c>
      <c r="F48">
        <f>(1+'Risk-free rate'!B48/100)^(1/12)-1</f>
        <v>7.4969080277487166E-5</v>
      </c>
      <c r="G48">
        <f t="shared" si="0"/>
        <v>0.11004936914330889</v>
      </c>
      <c r="H48">
        <f t="shared" si="0"/>
        <v>0.12318795436666162</v>
      </c>
      <c r="I48">
        <f t="shared" si="1"/>
        <v>0.15175899075141541</v>
      </c>
      <c r="J48">
        <f t="shared" si="2"/>
        <v>0.97396113497294989</v>
      </c>
    </row>
    <row r="49" spans="1:10" x14ac:dyDescent="0.2">
      <c r="A49" t="str">
        <f>'MGGIX US_monthly'!A49</f>
        <v>2020-12-31</v>
      </c>
      <c r="B49">
        <f>'MGGIX US_monthly'!B49</f>
        <v>44.75</v>
      </c>
      <c r="C49">
        <f>'MSCI ACWI Index_monthly'!B49</f>
        <v>328.20430499999998</v>
      </c>
      <c r="D49">
        <f>('MGGIX US_monthly'!B49-'MGGIX US_monthly'!B48)/'MGGIX US_monthly'!B48</f>
        <v>2.2857142857142857E-2</v>
      </c>
      <c r="E49">
        <f>('MSCI ACWI Index_monthly'!B49-'MSCI ACWI Index_monthly'!B48)/'MSCI ACWI Index_monthly'!B48</f>
        <v>4.6429466409179491E-2</v>
      </c>
      <c r="F49">
        <f>(1+'Risk-free rate'!B49/100)^(1/12)-1</f>
        <v>7.4969080277487166E-5</v>
      </c>
      <c r="G49">
        <f t="shared" si="0"/>
        <v>2.278217377686537E-2</v>
      </c>
      <c r="H49">
        <f t="shared" si="0"/>
        <v>4.6354497328902004E-2</v>
      </c>
      <c r="I49">
        <f t="shared" si="1"/>
        <v>0.14292802772643731</v>
      </c>
      <c r="J49">
        <f t="shared" si="2"/>
        <v>0.96128845198516244</v>
      </c>
    </row>
    <row r="50" spans="1:10" x14ac:dyDescent="0.2">
      <c r="A50" t="str">
        <f>'MGGIX US_monthly'!A50</f>
        <v>2021-01-29</v>
      </c>
      <c r="B50">
        <f>'MGGIX US_monthly'!B50</f>
        <v>44.209999084472599</v>
      </c>
      <c r="C50">
        <f>'MSCI ACWI Index_monthly'!B50</f>
        <v>326.71161699999999</v>
      </c>
      <c r="D50">
        <f>('MGGIX US_monthly'!B50-'MGGIX US_monthly'!B49)/'MGGIX US_monthly'!B49</f>
        <v>-1.2067059564858113E-2</v>
      </c>
      <c r="E50">
        <f>('MSCI ACWI Index_monthly'!B50-'MSCI ACWI Index_monthly'!B49)/'MSCI ACWI Index_monthly'!B49</f>
        <v>-4.5480451574210368E-3</v>
      </c>
      <c r="F50">
        <f>(1+'Risk-free rate'!B50/100)^(1/12)-1</f>
        <v>6.6642234708869097E-5</v>
      </c>
      <c r="G50">
        <f t="shared" si="0"/>
        <v>-1.2133701799566982E-2</v>
      </c>
      <c r="H50">
        <f t="shared" si="0"/>
        <v>-4.6146873921299059E-3</v>
      </c>
      <c r="I50">
        <f t="shared" si="1"/>
        <v>0.12963424138240787</v>
      </c>
      <c r="J50">
        <f t="shared" si="2"/>
        <v>0.95430973298491395</v>
      </c>
    </row>
    <row r="51" spans="1:10" x14ac:dyDescent="0.2">
      <c r="A51" t="str">
        <f>'MGGIX US_monthly'!A51</f>
        <v>2021-02-26</v>
      </c>
      <c r="B51">
        <f>'MGGIX US_monthly'!B51</f>
        <v>45.840000152587798</v>
      </c>
      <c r="C51">
        <f>'MSCI ACWI Index_monthly'!B51</f>
        <v>334.27938599999999</v>
      </c>
      <c r="D51">
        <f>('MGGIX US_monthly'!B51-'MGGIX US_monthly'!B50)/'MGGIX US_monthly'!B50</f>
        <v>3.6869511465058742E-2</v>
      </c>
      <c r="E51">
        <f>('MSCI ACWI Index_monthly'!B51-'MSCI ACWI Index_monthly'!B50)/'MSCI ACWI Index_monthly'!B50</f>
        <v>2.3163452433954922E-2</v>
      </c>
      <c r="F51">
        <f>(1+'Risk-free rate'!B51/100)^(1/12)-1</f>
        <v>3.3327223783574667E-5</v>
      </c>
      <c r="G51">
        <f t="shared" si="0"/>
        <v>3.6836184241275167E-2</v>
      </c>
      <c r="H51">
        <f t="shared" si="0"/>
        <v>2.3130125210171347E-2</v>
      </c>
      <c r="I51">
        <f t="shared" si="1"/>
        <v>0.12687005931972095</v>
      </c>
      <c r="J51">
        <f t="shared" si="2"/>
        <v>0.96053157996525684</v>
      </c>
    </row>
    <row r="52" spans="1:10" x14ac:dyDescent="0.2">
      <c r="A52" t="str">
        <f>'MGGIX US_monthly'!A52</f>
        <v>2021-03-31</v>
      </c>
      <c r="B52">
        <f>'MGGIX US_monthly'!B52</f>
        <v>44.209999084472599</v>
      </c>
      <c r="C52">
        <f>'MSCI ACWI Index_monthly'!B52</f>
        <v>343.20776799999999</v>
      </c>
      <c r="D52">
        <f>('MGGIX US_monthly'!B52-'MGGIX US_monthly'!B51)/'MGGIX US_monthly'!B51</f>
        <v>-3.5558487405964387E-2</v>
      </c>
      <c r="E52">
        <f>('MSCI ACWI Index_monthly'!B52-'MSCI ACWI Index_monthly'!B51)/'MSCI ACWI Index_monthly'!B51</f>
        <v>2.6709340671099591E-2</v>
      </c>
      <c r="F52">
        <f>(1+'Risk-free rate'!B52/100)^(1/12)-1</f>
        <v>2.4996563158685703E-5</v>
      </c>
      <c r="G52">
        <f t="shared" si="0"/>
        <v>-3.5583483969123073E-2</v>
      </c>
      <c r="H52">
        <f t="shared" si="0"/>
        <v>2.6684344107940905E-2</v>
      </c>
      <c r="I52">
        <f t="shared" si="1"/>
        <v>0.10053215913940705</v>
      </c>
      <c r="J52">
        <f t="shared" si="2"/>
        <v>0.94921057761894878</v>
      </c>
    </row>
    <row r="53" spans="1:10" x14ac:dyDescent="0.2">
      <c r="A53" t="str">
        <f>'MGGIX US_monthly'!A53</f>
        <v>2021-04-30</v>
      </c>
      <c r="B53">
        <f>'MGGIX US_monthly'!B53</f>
        <v>46.849998474121001</v>
      </c>
      <c r="C53">
        <f>'MSCI ACWI Index_monthly'!B53</f>
        <v>358.21367900000001</v>
      </c>
      <c r="D53">
        <f>('MGGIX US_monthly'!B53-'MGGIX US_monthly'!B52)/'MGGIX US_monthly'!B52</f>
        <v>5.9714984037980236E-2</v>
      </c>
      <c r="E53">
        <f>('MSCI ACWI Index_monthly'!B53-'MSCI ACWI Index_monthly'!B52)/'MSCI ACWI Index_monthly'!B52</f>
        <v>4.3722527282657617E-2</v>
      </c>
      <c r="F53">
        <f>(1+'Risk-free rate'!B53/100)^(1/12)-1</f>
        <v>1.6665139084048874E-5</v>
      </c>
      <c r="G53">
        <f t="shared" si="0"/>
        <v>5.9698318898896187E-2</v>
      </c>
      <c r="H53">
        <f t="shared" si="0"/>
        <v>4.3705862143573568E-2</v>
      </c>
      <c r="I53">
        <f t="shared" si="1"/>
        <v>0.10398530844913556</v>
      </c>
      <c r="J53">
        <f t="shared" si="2"/>
        <v>0.95272728916371852</v>
      </c>
    </row>
    <row r="54" spans="1:10" x14ac:dyDescent="0.2">
      <c r="A54" t="str">
        <f>'MGGIX US_monthly'!A54</f>
        <v>2021-05-31</v>
      </c>
      <c r="B54">
        <f>'MGGIX US_monthly'!B54</f>
        <v>46.080001831054602</v>
      </c>
      <c r="C54">
        <f>'MSCI ACWI Index_monthly'!B54</f>
        <v>363.78834899999998</v>
      </c>
      <c r="D54">
        <f>('MGGIX US_monthly'!B54-'MGGIX US_monthly'!B53)/'MGGIX US_monthly'!B53</f>
        <v>-1.6435361113015402E-2</v>
      </c>
      <c r="E54">
        <f>('MSCI ACWI Index_monthly'!B54-'MSCI ACWI Index_monthly'!B53)/'MSCI ACWI Index_monthly'!B53</f>
        <v>1.5562415191855274E-2</v>
      </c>
      <c r="F54">
        <f>(1+'Risk-free rate'!B54/100)^(1/12)-1</f>
        <v>1.6665139084048874E-5</v>
      </c>
      <c r="G54">
        <f t="shared" si="0"/>
        <v>-1.645202625209945E-2</v>
      </c>
      <c r="H54">
        <f t="shared" si="0"/>
        <v>1.5545750052771225E-2</v>
      </c>
      <c r="I54">
        <f t="shared" si="1"/>
        <v>7.077613080632017E-2</v>
      </c>
      <c r="J54">
        <f t="shared" si="2"/>
        <v>0.95707068565709297</v>
      </c>
    </row>
    <row r="55" spans="1:10" x14ac:dyDescent="0.2">
      <c r="A55" t="str">
        <f>'MGGIX US_monthly'!A55</f>
        <v>2021-06-30</v>
      </c>
      <c r="B55">
        <f>'MGGIX US_monthly'!B55</f>
        <v>47.659999847412102</v>
      </c>
      <c r="C55">
        <f>'MSCI ACWI Index_monthly'!B55</f>
        <v>368.58210000000003</v>
      </c>
      <c r="D55">
        <f>('MGGIX US_monthly'!B55-'MGGIX US_monthly'!B54)/'MGGIX US_monthly'!B54</f>
        <v>3.4288150034158534E-2</v>
      </c>
      <c r="E55">
        <f>('MSCI ACWI Index_monthly'!B55-'MSCI ACWI Index_monthly'!B54)/'MSCI ACWI Index_monthly'!B54</f>
        <v>1.3177307665782454E-2</v>
      </c>
      <c r="F55">
        <f>(1+'Risk-free rate'!B55/100)^(1/12)-1</f>
        <v>3.3327223783574667E-5</v>
      </c>
      <c r="G55">
        <f t="shared" si="0"/>
        <v>3.4254822810374959E-2</v>
      </c>
      <c r="H55">
        <f t="shared" si="0"/>
        <v>1.314398044199888E-2</v>
      </c>
      <c r="I55">
        <f t="shared" si="1"/>
        <v>8.0951134205458297E-2</v>
      </c>
      <c r="J55">
        <f t="shared" si="2"/>
        <v>0.9549900474353632</v>
      </c>
    </row>
    <row r="56" spans="1:10" x14ac:dyDescent="0.2">
      <c r="A56" t="str">
        <f>'MGGIX US_monthly'!A56</f>
        <v>2021-07-30</v>
      </c>
      <c r="B56">
        <f>'MGGIX US_monthly'!B56</f>
        <v>46.380001068115199</v>
      </c>
      <c r="C56">
        <f>'MSCI ACWI Index_monthly'!B56</f>
        <v>371.12192199999998</v>
      </c>
      <c r="D56">
        <f>('MGGIX US_monthly'!B56-'MGGIX US_monthly'!B55)/'MGGIX US_monthly'!B55</f>
        <v>-2.6856877536612211E-2</v>
      </c>
      <c r="E56">
        <f>('MSCI ACWI Index_monthly'!B56-'MSCI ACWI Index_monthly'!B55)/'MSCI ACWI Index_monthly'!B55</f>
        <v>6.8907904100604942E-3</v>
      </c>
      <c r="F56">
        <f>(1+'Risk-free rate'!B56/100)^(1/12)-1</f>
        <v>4.1657121104599071E-5</v>
      </c>
      <c r="G56">
        <f t="shared" si="0"/>
        <v>-2.689853465771681E-2</v>
      </c>
      <c r="H56">
        <f t="shared" si="0"/>
        <v>6.8491332889558951E-3</v>
      </c>
      <c r="I56">
        <f t="shared" si="1"/>
        <v>8.4157759681982913E-2</v>
      </c>
      <c r="J56">
        <f t="shared" si="2"/>
        <v>0.9666834038278419</v>
      </c>
    </row>
    <row r="57" spans="1:10" x14ac:dyDescent="0.2">
      <c r="A57" t="str">
        <f>'MGGIX US_monthly'!A57</f>
        <v>2021-08-31</v>
      </c>
      <c r="B57">
        <f>'MGGIX US_monthly'!B57</f>
        <v>47.380001068115199</v>
      </c>
      <c r="C57">
        <f>'MSCI ACWI Index_monthly'!B57</f>
        <v>380.41085199999998</v>
      </c>
      <c r="D57">
        <f>('MGGIX US_monthly'!B57-'MGGIX US_monthly'!B56)/'MGGIX US_monthly'!B56</f>
        <v>2.1561017183491803E-2</v>
      </c>
      <c r="E57">
        <f>('MSCI ACWI Index_monthly'!B57-'MSCI ACWI Index_monthly'!B56)/'MSCI ACWI Index_monthly'!B56</f>
        <v>2.5029321765584072E-2</v>
      </c>
      <c r="F57">
        <f>(1+'Risk-free rate'!B57/100)^(1/12)-1</f>
        <v>4.1657121104599071E-5</v>
      </c>
      <c r="G57">
        <f t="shared" si="0"/>
        <v>2.1519360062387204E-2</v>
      </c>
      <c r="H57">
        <f t="shared" si="0"/>
        <v>2.4987664644479473E-2</v>
      </c>
      <c r="I57">
        <f t="shared" si="1"/>
        <v>8.092087308453122E-2</v>
      </c>
      <c r="J57">
        <f t="shared" si="2"/>
        <v>0.96537075665776306</v>
      </c>
    </row>
    <row r="58" spans="1:10" x14ac:dyDescent="0.2">
      <c r="A58" t="str">
        <f>'MGGIX US_monthly'!A58</f>
        <v>2021-09-30</v>
      </c>
      <c r="B58">
        <f>'MGGIX US_monthly'!B58</f>
        <v>45.209999084472599</v>
      </c>
      <c r="C58">
        <f>'MSCI ACWI Index_monthly'!B58</f>
        <v>364.69617399999998</v>
      </c>
      <c r="D58">
        <f>('MGGIX US_monthly'!B58-'MGGIX US_monthly'!B57)/'MGGIX US_monthly'!B57</f>
        <v>-4.5799956410362386E-2</v>
      </c>
      <c r="E58">
        <f>('MSCI ACWI Index_monthly'!B58-'MSCI ACWI Index_monthly'!B57)/'MSCI ACWI Index_monthly'!B57</f>
        <v>-4.1309752120320668E-2</v>
      </c>
      <c r="F58">
        <f>(1+'Risk-free rate'!B58/100)^(1/12)-1</f>
        <v>3.3327223783574667E-5</v>
      </c>
      <c r="G58">
        <f t="shared" si="0"/>
        <v>-4.583328363414596E-2</v>
      </c>
      <c r="H58">
        <f t="shared" si="0"/>
        <v>-4.1343079344104243E-2</v>
      </c>
      <c r="I58">
        <f t="shared" si="1"/>
        <v>8.4290012440276785E-2</v>
      </c>
      <c r="J58">
        <f t="shared" si="2"/>
        <v>0.97008562652693464</v>
      </c>
    </row>
    <row r="59" spans="1:10" x14ac:dyDescent="0.2">
      <c r="A59" t="str">
        <f>'MGGIX US_monthly'!A59</f>
        <v>2021-10-29</v>
      </c>
      <c r="B59">
        <f>'MGGIX US_monthly'!B59</f>
        <v>47.560001373291001</v>
      </c>
      <c r="C59">
        <f>'MSCI ACWI Index_monthly'!B59</f>
        <v>383.31155100000001</v>
      </c>
      <c r="D59">
        <f>('MGGIX US_monthly'!B59-'MGGIX US_monthly'!B58)/'MGGIX US_monthly'!B58</f>
        <v>5.1979702198788842E-2</v>
      </c>
      <c r="E59">
        <f>('MSCI ACWI Index_monthly'!B59-'MSCI ACWI Index_monthly'!B58)/'MSCI ACWI Index_monthly'!B58</f>
        <v>5.1043521504012333E-2</v>
      </c>
      <c r="F59">
        <f>(1+'Risk-free rate'!B59/100)^(1/12)-1</f>
        <v>4.1657121104599071E-5</v>
      </c>
      <c r="G59">
        <f t="shared" si="0"/>
        <v>5.1938045077684243E-2</v>
      </c>
      <c r="H59">
        <f t="shared" si="0"/>
        <v>5.1001864382907734E-2</v>
      </c>
      <c r="I59">
        <f t="shared" si="1"/>
        <v>0.1074710516100823</v>
      </c>
      <c r="J59">
        <f t="shared" si="2"/>
        <v>0.92353319638879527</v>
      </c>
    </row>
    <row r="60" spans="1:10" x14ac:dyDescent="0.2">
      <c r="A60" t="str">
        <f>'MGGIX US_monthly'!A60</f>
        <v>2021-11-30</v>
      </c>
      <c r="B60">
        <f>'MGGIX US_monthly'!B60</f>
        <v>44.830001831054602</v>
      </c>
      <c r="C60">
        <f>'MSCI ACWI Index_monthly'!B60</f>
        <v>374.08123499999999</v>
      </c>
      <c r="D60">
        <f>('MGGIX US_monthly'!B60-'MGGIX US_monthly'!B59)/'MGGIX US_monthly'!B59</f>
        <v>-5.7401166177626035E-2</v>
      </c>
      <c r="E60">
        <f>('MSCI ACWI Index_monthly'!B60-'MSCI ACWI Index_monthly'!B59)/'MSCI ACWI Index_monthly'!B59</f>
        <v>-2.4080453552520299E-2</v>
      </c>
      <c r="F60">
        <f>(1+'Risk-free rate'!B60/100)^(1/12)-1</f>
        <v>4.1657121104599071E-5</v>
      </c>
      <c r="G60">
        <f t="shared" si="0"/>
        <v>-5.7442823298730634E-2</v>
      </c>
      <c r="H60">
        <f t="shared" si="0"/>
        <v>-2.4122110673624898E-2</v>
      </c>
      <c r="I60">
        <f t="shared" si="1"/>
        <v>9.0874224506929613E-2</v>
      </c>
      <c r="J60">
        <f t="shared" si="2"/>
        <v>0.9410987889268253</v>
      </c>
    </row>
    <row r="61" spans="1:10" x14ac:dyDescent="0.2">
      <c r="A61" t="str">
        <f>'MGGIX US_monthly'!A61</f>
        <v>2021-12-31</v>
      </c>
      <c r="B61">
        <f>'MGGIX US_monthly'!B61</f>
        <v>42.689998626708899</v>
      </c>
      <c r="C61">
        <f>'MSCI ACWI Index_monthly'!B61</f>
        <v>389.04467</v>
      </c>
      <c r="D61">
        <f>('MGGIX US_monthly'!B61-'MGGIX US_monthly'!B60)/'MGGIX US_monthly'!B60</f>
        <v>-4.773596067228536E-2</v>
      </c>
      <c r="E61">
        <f>('MSCI ACWI Index_monthly'!B61-'MSCI ACWI Index_monthly'!B60)/'MSCI ACWI Index_monthly'!B60</f>
        <v>4.0000496148918041E-2</v>
      </c>
      <c r="F61">
        <f>(1+'Risk-free rate'!B61/100)^(1/12)-1</f>
        <v>4.99862552685304E-5</v>
      </c>
      <c r="G61">
        <f t="shared" si="0"/>
        <v>-4.7785946927553891E-2</v>
      </c>
      <c r="H61">
        <f t="shared" si="0"/>
        <v>3.9950509893649511E-2</v>
      </c>
      <c r="I61">
        <f t="shared" si="1"/>
        <v>6.5362992948656773E-2</v>
      </c>
      <c r="J61">
        <f t="shared" si="2"/>
        <v>0.91115966325259978</v>
      </c>
    </row>
    <row r="62" spans="1:10" x14ac:dyDescent="0.2">
      <c r="A62" t="str">
        <f>'MGGIX US_monthly'!A62</f>
        <v>2022-01-31</v>
      </c>
      <c r="B62">
        <f>'MGGIX US_monthly'!B62</f>
        <v>38.029998779296797</v>
      </c>
      <c r="C62">
        <f>'MSCI ACWI Index_monthly'!B62</f>
        <v>369.93775199999999</v>
      </c>
      <c r="D62">
        <f>('MGGIX US_monthly'!B62-'MGGIX US_monthly'!B61)/'MGGIX US_monthly'!B61</f>
        <v>-0.10915905357974372</v>
      </c>
      <c r="E62">
        <f>('MSCI ACWI Index_monthly'!B62-'MSCI ACWI Index_monthly'!B61)/'MSCI ACWI Index_monthly'!B61</f>
        <v>-4.9112401411385502E-2</v>
      </c>
      <c r="F62">
        <f>(1+'Risk-free rate'!B62/100)^(1/12)-1</f>
        <v>1.2491414476678564E-4</v>
      </c>
      <c r="G62">
        <f t="shared" si="0"/>
        <v>-0.1092839677245105</v>
      </c>
      <c r="H62">
        <f t="shared" si="0"/>
        <v>-4.9237315556152288E-2</v>
      </c>
      <c r="I62">
        <f t="shared" si="1"/>
        <v>2.6870974091391497E-2</v>
      </c>
      <c r="J62">
        <f t="shared" si="2"/>
        <v>0.94072042910524345</v>
      </c>
    </row>
    <row r="63" spans="1:10" x14ac:dyDescent="0.2">
      <c r="A63" t="str">
        <f>'MGGIX US_monthly'!A63</f>
        <v>2022-02-28</v>
      </c>
      <c r="B63">
        <f>'MGGIX US_monthly'!B63</f>
        <v>35.099998474121001</v>
      </c>
      <c r="C63">
        <f>'MSCI ACWI Index_monthly'!B63</f>
        <v>360.38328000000001</v>
      </c>
      <c r="D63">
        <f>('MGGIX US_monthly'!B63-'MGGIX US_monthly'!B62)/'MGGIX US_monthly'!B62</f>
        <v>-7.7044449098716841E-2</v>
      </c>
      <c r="E63">
        <f>('MSCI ACWI Index_monthly'!B63-'MSCI ACWI Index_monthly'!B62)/'MSCI ACWI Index_monthly'!B62</f>
        <v>-2.5827242416718736E-2</v>
      </c>
      <c r="F63">
        <f>(1+'Risk-free rate'!B63/100)^(1/12)-1</f>
        <v>2.7458493733023559E-4</v>
      </c>
      <c r="G63">
        <f t="shared" si="0"/>
        <v>-7.7319034036047077E-2</v>
      </c>
      <c r="H63">
        <f t="shared" si="0"/>
        <v>-2.6101827354048972E-2</v>
      </c>
      <c r="I63">
        <f t="shared" si="1"/>
        <v>4.1805774727436962E-3</v>
      </c>
      <c r="J63">
        <f t="shared" si="2"/>
        <v>0.96391821539872091</v>
      </c>
    </row>
    <row r="64" spans="1:10" x14ac:dyDescent="0.2">
      <c r="A64" t="str">
        <f>'MGGIX US_monthly'!A64</f>
        <v>2022-03-31</v>
      </c>
      <c r="B64">
        <f>'MGGIX US_monthly'!B64</f>
        <v>34.029998779296797</v>
      </c>
      <c r="C64">
        <f>'MSCI ACWI Index_monthly'!B64</f>
        <v>368.188827</v>
      </c>
      <c r="D64">
        <f>('MGGIX US_monthly'!B64-'MGGIX US_monthly'!B63)/'MGGIX US_monthly'!B63</f>
        <v>-3.048432311508812E-2</v>
      </c>
      <c r="E64">
        <f>('MSCI ACWI Index_monthly'!B64-'MSCI ACWI Index_monthly'!B63)/'MSCI ACWI Index_monthly'!B63</f>
        <v>2.1659015368304516E-2</v>
      </c>
      <c r="F64">
        <f>(1+'Risk-free rate'!B64/100)^(1/12)-1</f>
        <v>3.6592929423662213E-4</v>
      </c>
      <c r="G64">
        <f t="shared" si="0"/>
        <v>-3.0850252409324742E-2</v>
      </c>
      <c r="H64">
        <f t="shared" si="0"/>
        <v>2.1293086074067893E-2</v>
      </c>
      <c r="I64">
        <f t="shared" si="1"/>
        <v>-2.1388432591082585E-2</v>
      </c>
      <c r="J64">
        <f t="shared" si="2"/>
        <v>0.95834334135110388</v>
      </c>
    </row>
    <row r="65" spans="1:10" x14ac:dyDescent="0.2">
      <c r="A65" t="str">
        <f>'MGGIX US_monthly'!A65</f>
        <v>2022-04-29</v>
      </c>
      <c r="B65">
        <f>'MGGIX US_monthly'!B65</f>
        <v>28.940000534057599</v>
      </c>
      <c r="C65">
        <f>'MSCI ACWI Index_monthly'!B65</f>
        <v>338.71831800000001</v>
      </c>
      <c r="D65">
        <f>('MGGIX US_monthly'!B65-'MGGIX US_monthly'!B64)/'MGGIX US_monthly'!B64</f>
        <v>-0.14957385917791616</v>
      </c>
      <c r="E65">
        <f>('MSCI ACWI Index_monthly'!B65-'MSCI ACWI Index_monthly'!B64)/'MSCI ACWI Index_monthly'!B64</f>
        <v>-8.0041834077708152E-2</v>
      </c>
      <c r="F65">
        <f>(1+'Risk-free rate'!B65/100)^(1/12)-1</f>
        <v>6.3113787510671315E-4</v>
      </c>
      <c r="G65">
        <f t="shared" si="0"/>
        <v>-0.15020499705302287</v>
      </c>
      <c r="H65">
        <f t="shared" si="0"/>
        <v>-8.0672971952814865E-2</v>
      </c>
      <c r="I65">
        <f t="shared" si="1"/>
        <v>-5.6534303227316673E-2</v>
      </c>
      <c r="J65">
        <f t="shared" si="2"/>
        <v>1.0204356387582405</v>
      </c>
    </row>
    <row r="66" spans="1:10" x14ac:dyDescent="0.2">
      <c r="A66" t="str">
        <f>'MGGIX US_monthly'!A66</f>
        <v>2022-05-31</v>
      </c>
      <c r="B66">
        <f>'MGGIX US_monthly'!B66</f>
        <v>27.4799995422363</v>
      </c>
      <c r="C66">
        <f>'MSCI ACWI Index_monthly'!B66</f>
        <v>339.11470700000001</v>
      </c>
      <c r="D66">
        <f>('MGGIX US_monthly'!B66-'MGGIX US_monthly'!B65)/'MGGIX US_monthly'!B65</f>
        <v>-5.0449238592899119E-2</v>
      </c>
      <c r="E66">
        <f>('MSCI ACWI Index_monthly'!B66-'MSCI ACWI Index_monthly'!B65)/'MSCI ACWI Index_monthly'!B65</f>
        <v>1.1702614796286251E-3</v>
      </c>
      <c r="F66">
        <f>(1+'Risk-free rate'!B66/100)^(1/12)-1</f>
        <v>8.1302127632687515E-4</v>
      </c>
      <c r="G66">
        <f t="shared" si="0"/>
        <v>-5.1262259869225994E-2</v>
      </c>
      <c r="H66">
        <f t="shared" si="0"/>
        <v>3.5724020330174999E-4</v>
      </c>
      <c r="I66">
        <f t="shared" si="1"/>
        <v>-7.939749108317673E-2</v>
      </c>
      <c r="J66">
        <f t="shared" si="2"/>
        <v>1.0406597241714148</v>
      </c>
    </row>
    <row r="67" spans="1:10" x14ac:dyDescent="0.2">
      <c r="A67" t="str">
        <f>'MGGIX US_monthly'!A67</f>
        <v>2022-06-30</v>
      </c>
      <c r="B67">
        <f>'MGGIX US_monthly'!B67</f>
        <v>24.7299995422363</v>
      </c>
      <c r="C67">
        <f>'MSCI ACWI Index_monthly'!B67</f>
        <v>310.528572</v>
      </c>
      <c r="D67">
        <f>('MGGIX US_monthly'!B67-'MGGIX US_monthly'!B66)/'MGGIX US_monthly'!B66</f>
        <v>-0.10007278187080375</v>
      </c>
      <c r="E67">
        <f>('MSCI ACWI Index_monthly'!B67-'MSCI ACWI Index_monthly'!B66)/'MSCI ACWI Index_monthly'!B66</f>
        <v>-8.4296358753912767E-2</v>
      </c>
      <c r="F67">
        <f>(1+'Risk-free rate'!B67/100)^(1/12)-1</f>
        <v>1.2332669717645128E-3</v>
      </c>
      <c r="G67">
        <f t="shared" si="0"/>
        <v>-0.10130604884256826</v>
      </c>
      <c r="H67">
        <f t="shared" si="0"/>
        <v>-8.552962572567728E-2</v>
      </c>
      <c r="I67">
        <f t="shared" si="1"/>
        <v>-8.1508256648398225E-2</v>
      </c>
      <c r="J67">
        <f t="shared" si="2"/>
        <v>1.045660834866089</v>
      </c>
    </row>
    <row r="68" spans="1:10" x14ac:dyDescent="0.2">
      <c r="A68" t="str">
        <f>'MGGIX US_monthly'!A68</f>
        <v>2022-07-29</v>
      </c>
      <c r="B68">
        <f>'MGGIX US_monthly'!B68</f>
        <v>27.600000381469702</v>
      </c>
      <c r="C68">
        <f>'MSCI ACWI Index_monthly'!B68</f>
        <v>332.21356600000001</v>
      </c>
      <c r="D68">
        <f>('MGGIX US_monthly'!B68-'MGGIX US_monthly'!B67)/'MGGIX US_monthly'!B67</f>
        <v>0.11605341254987632</v>
      </c>
      <c r="E68">
        <f>('MSCI ACWI Index_monthly'!B68-'MSCI ACWI Index_monthly'!B67)/'MSCI ACWI Index_monthly'!B67</f>
        <v>6.9832524138873822E-2</v>
      </c>
      <c r="F68">
        <f>(1+'Risk-free rate'!B68/100)^(1/12)-1</f>
        <v>1.8396059010297172E-3</v>
      </c>
      <c r="G68">
        <f t="shared" ref="G68:H97" si="3">D68-$F68</f>
        <v>0.1142138066488466</v>
      </c>
      <c r="H68">
        <f t="shared" si="3"/>
        <v>6.7992918237844105E-2</v>
      </c>
      <c r="I68">
        <f t="shared" si="1"/>
        <v>-6.7415390910545825E-2</v>
      </c>
      <c r="J68">
        <f t="shared" si="2"/>
        <v>1.0759492908710397</v>
      </c>
    </row>
    <row r="69" spans="1:10" x14ac:dyDescent="0.2">
      <c r="A69" t="str">
        <f>'MGGIX US_monthly'!A69</f>
        <v>2022-08-31</v>
      </c>
      <c r="B69">
        <f>'MGGIX US_monthly'!B69</f>
        <v>26.920000076293899</v>
      </c>
      <c r="C69">
        <f>'MSCI ACWI Index_monthly'!B69</f>
        <v>319.98315700000001</v>
      </c>
      <c r="D69">
        <f>('MGGIX US_monthly'!B69-'MGGIX US_monthly'!B68)/'MGGIX US_monthly'!B68</f>
        <v>-2.4637691875988028E-2</v>
      </c>
      <c r="E69">
        <f>('MSCI ACWI Index_monthly'!B69-'MSCI ACWI Index_monthly'!B68)/'MSCI ACWI Index_monthly'!B68</f>
        <v>-3.6814899365066892E-2</v>
      </c>
      <c r="F69">
        <f>(1+'Risk-free rate'!B69/100)^(1/12)-1</f>
        <v>2.1656835180154932E-3</v>
      </c>
      <c r="G69">
        <f t="shared" si="3"/>
        <v>-2.6803375394003522E-2</v>
      </c>
      <c r="H69">
        <f t="shared" si="3"/>
        <v>-3.8980582883082385E-2</v>
      </c>
      <c r="I69">
        <f t="shared" si="1"/>
        <v>-6.6701615695391014E-2</v>
      </c>
      <c r="J69">
        <f t="shared" si="2"/>
        <v>1.0726354874534474</v>
      </c>
    </row>
    <row r="70" spans="1:10" x14ac:dyDescent="0.2">
      <c r="A70" t="str">
        <f>'MGGIX US_monthly'!A70</f>
        <v>2022-09-30</v>
      </c>
      <c r="B70">
        <f>'MGGIX US_monthly'!B70</f>
        <v>23.7399997711181</v>
      </c>
      <c r="C70">
        <f>'MSCI ACWI Index_monthly'!B70</f>
        <v>289.35139299999997</v>
      </c>
      <c r="D70">
        <f>('MGGIX US_monthly'!B70-'MGGIX US_monthly'!B69)/'MGGIX US_monthly'!B69</f>
        <v>-0.11812779703430047</v>
      </c>
      <c r="E70">
        <f>('MSCI ACWI Index_monthly'!B70-'MSCI ACWI Index_monthly'!B69)/'MSCI ACWI Index_monthly'!B69</f>
        <v>-9.5729301151935425E-2</v>
      </c>
      <c r="F70">
        <f>(1+'Risk-free rate'!B70/100)^(1/12)-1</f>
        <v>2.5716462189622202E-3</v>
      </c>
      <c r="G70">
        <f t="shared" si="3"/>
        <v>-0.12069944325326269</v>
      </c>
      <c r="H70">
        <f t="shared" si="3"/>
        <v>-9.8300947370897646E-2</v>
      </c>
      <c r="I70">
        <f t="shared" si="1"/>
        <v>-6.0096130687934735E-2</v>
      </c>
      <c r="J70">
        <f t="shared" si="2"/>
        <v>1.0859619100576496</v>
      </c>
    </row>
    <row r="71" spans="1:10" x14ac:dyDescent="0.2">
      <c r="A71" t="str">
        <f>'MGGIX US_monthly'!A71</f>
        <v>2022-10-31</v>
      </c>
      <c r="B71">
        <f>'MGGIX US_monthly'!B71</f>
        <v>24.579999923706001</v>
      </c>
      <c r="C71">
        <f>'MSCI ACWI Index_monthly'!B71</f>
        <v>306.81289299999997</v>
      </c>
      <c r="D71">
        <f>('MGGIX US_monthly'!B71-'MGGIX US_monthly'!B70)/'MGGIX US_monthly'!B70</f>
        <v>3.5383326060931093E-2</v>
      </c>
      <c r="E71">
        <f>('MSCI ACWI Index_monthly'!B71-'MSCI ACWI Index_monthly'!B70)/'MSCI ACWI Index_monthly'!B70</f>
        <v>6.0347039697852788E-2</v>
      </c>
      <c r="F71">
        <f>(1+'Risk-free rate'!B71/100)^(1/12)-1</f>
        <v>3.0483680766628662E-3</v>
      </c>
      <c r="G71">
        <f t="shared" si="3"/>
        <v>3.2334957984268227E-2</v>
      </c>
      <c r="H71">
        <f t="shared" si="3"/>
        <v>5.7298671621189921E-2</v>
      </c>
      <c r="I71">
        <f t="shared" si="1"/>
        <v>-7.0576284118004873E-2</v>
      </c>
      <c r="J71">
        <f t="shared" si="2"/>
        <v>1.0724399398011761</v>
      </c>
    </row>
    <row r="72" spans="1:10" x14ac:dyDescent="0.2">
      <c r="A72" t="str">
        <f>'MGGIX US_monthly'!A72</f>
        <v>2022-11-30</v>
      </c>
      <c r="B72">
        <f>'MGGIX US_monthly'!B72</f>
        <v>26.889999389648398</v>
      </c>
      <c r="C72">
        <f>'MSCI ACWI Index_monthly'!B72</f>
        <v>330.610342</v>
      </c>
      <c r="D72">
        <f>('MGGIX US_monthly'!B72-'MGGIX US_monthly'!B71)/'MGGIX US_monthly'!B71</f>
        <v>9.3978823153475069E-2</v>
      </c>
      <c r="E72">
        <f>('MSCI ACWI Index_monthly'!B72-'MSCI ACWI Index_monthly'!B71)/'MSCI ACWI Index_monthly'!B71</f>
        <v>7.7563393009041609E-2</v>
      </c>
      <c r="F72">
        <f>(1+'Risk-free rate'!B72/100)^(1/12)-1</f>
        <v>3.3942459274463044E-3</v>
      </c>
      <c r="G72">
        <f t="shared" si="3"/>
        <v>9.0584577226028765E-2</v>
      </c>
      <c r="H72">
        <f t="shared" si="3"/>
        <v>7.4169147081595305E-2</v>
      </c>
      <c r="I72">
        <f t="shared" si="1"/>
        <v>-7.5058875016436377E-2</v>
      </c>
      <c r="J72">
        <f t="shared" si="2"/>
        <v>1.0780116385595189</v>
      </c>
    </row>
    <row r="73" spans="1:10" x14ac:dyDescent="0.2">
      <c r="A73" t="str">
        <f>'MGGIX US_monthly'!A73</f>
        <v>2022-12-30</v>
      </c>
      <c r="B73">
        <f>'MGGIX US_monthly'!B73</f>
        <v>20.340000152587798</v>
      </c>
      <c r="C73">
        <f>'MSCI ACWI Index_monthly'!B73</f>
        <v>317.60050799999999</v>
      </c>
      <c r="D73">
        <f>('MGGIX US_monthly'!B73-'MGGIX US_monthly'!B72)/'MGGIX US_monthly'!B72</f>
        <v>-0.24358495298375107</v>
      </c>
      <c r="E73">
        <f>('MSCI ACWI Index_monthly'!B73-'MSCI ACWI Index_monthly'!B72)/'MSCI ACWI Index_monthly'!B72</f>
        <v>-3.9350958960624446E-2</v>
      </c>
      <c r="F73">
        <f>(1+'Risk-free rate'!B73/100)^(1/12)-1</f>
        <v>3.474495003497502E-3</v>
      </c>
      <c r="G73">
        <f t="shared" si="3"/>
        <v>-0.24705944798724858</v>
      </c>
      <c r="H73">
        <f t="shared" si="3"/>
        <v>-4.2825453964121948E-2</v>
      </c>
      <c r="I73">
        <f t="shared" si="1"/>
        <v>-0.13517942727919208</v>
      </c>
      <c r="J73">
        <f t="shared" si="2"/>
        <v>1.1566989558806449</v>
      </c>
    </row>
    <row r="74" spans="1:10" x14ac:dyDescent="0.2">
      <c r="A74" t="str">
        <f>'MGGIX US_monthly'!A74</f>
        <v>2023-01-31</v>
      </c>
      <c r="B74">
        <f>'MGGIX US_monthly'!B74</f>
        <v>23.659999847412099</v>
      </c>
      <c r="C74">
        <f>'MSCI ACWI Index_monthly'!B74</f>
        <v>340.365115</v>
      </c>
      <c r="D74">
        <f>('MGGIX US_monthly'!B74-'MGGIX US_monthly'!B73)/'MGGIX US_monthly'!B73</f>
        <v>0.1632251558465159</v>
      </c>
      <c r="E74">
        <f>('MSCI ACWI Index_monthly'!B74-'MSCI ACWI Index_monthly'!B73)/'MSCI ACWI Index_monthly'!B73</f>
        <v>7.1676859534494236E-2</v>
      </c>
      <c r="F74">
        <f>(1+'Risk-free rate'!B74/100)^(1/12)-1</f>
        <v>3.7068189305531352E-3</v>
      </c>
      <c r="G74">
        <f t="shared" si="3"/>
        <v>0.15951833691596276</v>
      </c>
      <c r="H74">
        <f t="shared" si="3"/>
        <v>6.7970040603941101E-2</v>
      </c>
      <c r="I74">
        <f t="shared" si="1"/>
        <v>-0.12476952488862914</v>
      </c>
      <c r="J74">
        <f t="shared" si="2"/>
        <v>1.2102210315268489</v>
      </c>
    </row>
    <row r="75" spans="1:10" x14ac:dyDescent="0.2">
      <c r="A75" t="str">
        <f>'MGGIX US_monthly'!A75</f>
        <v>2023-02-28</v>
      </c>
      <c r="B75">
        <f>'MGGIX US_monthly'!B75</f>
        <v>23.0100002288818</v>
      </c>
      <c r="C75">
        <f>'MSCI ACWI Index_monthly'!B75</f>
        <v>330.61025000000001</v>
      </c>
      <c r="D75">
        <f>('MGGIX US_monthly'!B75-'MGGIX US_monthly'!B74)/'MGGIX US_monthly'!B74</f>
        <v>-2.7472511526723212E-2</v>
      </c>
      <c r="E75">
        <f>('MSCI ACWI Index_monthly'!B75-'MSCI ACWI Index_monthly'!B74)/'MSCI ACWI Index_monthly'!B74</f>
        <v>-2.8660002362463015E-2</v>
      </c>
      <c r="F75">
        <f>(1+'Risk-free rate'!B75/100)^(1/12)-1</f>
        <v>3.7947872834442897E-3</v>
      </c>
      <c r="G75">
        <f t="shared" si="3"/>
        <v>-3.1267298810167501E-2</v>
      </c>
      <c r="H75">
        <f t="shared" si="3"/>
        <v>-3.2454789645907305E-2</v>
      </c>
      <c r="I75">
        <f t="shared" si="1"/>
        <v>-0.14180805552922604</v>
      </c>
      <c r="J75">
        <f t="shared" si="2"/>
        <v>1.2538896248137825</v>
      </c>
    </row>
    <row r="76" spans="1:10" x14ac:dyDescent="0.2">
      <c r="A76" t="str">
        <f>'MGGIX US_monthly'!A76</f>
        <v>2023-03-31</v>
      </c>
      <c r="B76">
        <f>'MGGIX US_monthly'!B76</f>
        <v>24.520000457763601</v>
      </c>
      <c r="C76">
        <f>'MSCI ACWI Index_monthly'!B76</f>
        <v>340.80381699999998</v>
      </c>
      <c r="D76">
        <f>('MGGIX US_monthly'!B76-'MGGIX US_monthly'!B75)/'MGGIX US_monthly'!B75</f>
        <v>6.5623651189123902E-2</v>
      </c>
      <c r="E76">
        <f>('MSCI ACWI Index_monthly'!B76-'MSCI ACWI Index_monthly'!B75)/'MSCI ACWI Index_monthly'!B75</f>
        <v>3.083258005461105E-2</v>
      </c>
      <c r="F76">
        <f>(1+'Risk-free rate'!B76/100)^(1/12)-1</f>
        <v>3.8267547616503972E-3</v>
      </c>
      <c r="G76">
        <f t="shared" si="3"/>
        <v>6.1796896427473505E-2</v>
      </c>
      <c r="H76">
        <f t="shared" si="3"/>
        <v>2.7005825292960653E-2</v>
      </c>
      <c r="I76">
        <f t="shared" si="1"/>
        <v>-0.17322704630914798</v>
      </c>
      <c r="J76">
        <f t="shared" si="2"/>
        <v>1.3958678312157946</v>
      </c>
    </row>
    <row r="77" spans="1:10" x14ac:dyDescent="0.2">
      <c r="A77" t="str">
        <f>'MGGIX US_monthly'!A77</f>
        <v>2023-04-28</v>
      </c>
      <c r="B77">
        <f>'MGGIX US_monthly'!B77</f>
        <v>24.659999847412099</v>
      </c>
      <c r="C77">
        <f>'MSCI ACWI Index_monthly'!B77</f>
        <v>345.70204200000001</v>
      </c>
      <c r="D77">
        <f>('MGGIX US_monthly'!B77-'MGGIX US_monthly'!B76)/'MGGIX US_monthly'!B76</f>
        <v>5.7095997975061558E-3</v>
      </c>
      <c r="E77">
        <f>('MSCI ACWI Index_monthly'!B77-'MSCI ACWI Index_monthly'!B76)/'MSCI ACWI Index_monthly'!B76</f>
        <v>1.4372564964552687E-2</v>
      </c>
      <c r="F77">
        <f>(1+'Risk-free rate'!B77/100)^(1/12)-1</f>
        <v>4.0103507726252374E-3</v>
      </c>
      <c r="G77">
        <f t="shared" si="3"/>
        <v>1.6992490248809184E-3</v>
      </c>
      <c r="H77">
        <f t="shared" si="3"/>
        <v>1.0362214191927449E-2</v>
      </c>
      <c r="I77">
        <f t="shared" si="1"/>
        <v>-0.17141641921120154</v>
      </c>
      <c r="J77">
        <f t="shared" si="2"/>
        <v>1.402441034579873</v>
      </c>
    </row>
    <row r="78" spans="1:10" x14ac:dyDescent="0.2">
      <c r="A78" t="str">
        <f>'MGGIX US_monthly'!A78</f>
        <v>2023-05-31</v>
      </c>
      <c r="B78">
        <f>'MGGIX US_monthly'!B78</f>
        <v>25.590000152587798</v>
      </c>
      <c r="C78">
        <f>'MSCI ACWI Index_monthly'!B78</f>
        <v>341.999393</v>
      </c>
      <c r="D78">
        <f>('MGGIX US_monthly'!B78-'MGGIX US_monthly'!B77)/'MGGIX US_monthly'!B77</f>
        <v>3.7712907985816425E-2</v>
      </c>
      <c r="E78">
        <f>('MSCI ACWI Index_monthly'!B78-'MSCI ACWI Index_monthly'!B77)/'MSCI ACWI Index_monthly'!B77</f>
        <v>-1.0710521056164338E-2</v>
      </c>
      <c r="F78">
        <f>(1+'Risk-free rate'!B78/100)^(1/12)-1</f>
        <v>4.1856194553282489E-3</v>
      </c>
      <c r="G78">
        <f t="shared" si="3"/>
        <v>3.3527288530488177E-2</v>
      </c>
      <c r="H78">
        <f t="shared" si="3"/>
        <v>-1.4896140511492587E-2</v>
      </c>
      <c r="I78">
        <f t="shared" si="1"/>
        <v>-0.16042733005442489</v>
      </c>
      <c r="J78">
        <f t="shared" si="2"/>
        <v>1.3664804158941772</v>
      </c>
    </row>
    <row r="79" spans="1:10" x14ac:dyDescent="0.2">
      <c r="A79" t="str">
        <f>'MGGIX US_monthly'!A79</f>
        <v>2023-06-30</v>
      </c>
      <c r="B79">
        <f>'MGGIX US_monthly'!B79</f>
        <v>27.329999923706001</v>
      </c>
      <c r="C79">
        <f>'MSCI ACWI Index_monthly'!B79</f>
        <v>361.856199</v>
      </c>
      <c r="D79">
        <f>('MGGIX US_monthly'!B79-'MGGIX US_monthly'!B78)/'MGGIX US_monthly'!B78</f>
        <v>6.7995301318599058E-2</v>
      </c>
      <c r="E79">
        <f>('MSCI ACWI Index_monthly'!B79-'MSCI ACWI Index_monthly'!B78)/'MSCI ACWI Index_monthly'!B78</f>
        <v>5.8060939306988787E-2</v>
      </c>
      <c r="F79">
        <f>(1+'Risk-free rate'!B79/100)^(1/12)-1</f>
        <v>4.2015362976310922E-3</v>
      </c>
      <c r="G79">
        <f t="shared" si="3"/>
        <v>6.3793765020967966E-2</v>
      </c>
      <c r="H79">
        <f t="shared" si="3"/>
        <v>5.3859403009357695E-2</v>
      </c>
      <c r="I79">
        <f t="shared" si="1"/>
        <v>-0.17091415854205894</v>
      </c>
      <c r="J79">
        <f t="shared" si="2"/>
        <v>1.3569943508207838</v>
      </c>
    </row>
    <row r="80" spans="1:10" x14ac:dyDescent="0.2">
      <c r="A80" t="str">
        <f>'MGGIX US_monthly'!A80</f>
        <v>2023-07-31</v>
      </c>
      <c r="B80">
        <f>'MGGIX US_monthly'!B80</f>
        <v>28.75</v>
      </c>
      <c r="C80">
        <f>'MSCI ACWI Index_monthly'!B80</f>
        <v>375.10301399999997</v>
      </c>
      <c r="D80">
        <f>('MGGIX US_monthly'!B80-'MGGIX US_monthly'!B79)/'MGGIX US_monthly'!B79</f>
        <v>5.1957558736115933E-2</v>
      </c>
      <c r="E80">
        <f>('MSCI ACWI Index_monthly'!B80-'MSCI ACWI Index_monthly'!B79)/'MSCI ACWI Index_monthly'!B79</f>
        <v>3.6607953757895884E-2</v>
      </c>
      <c r="F80">
        <f>(1+'Risk-free rate'!B80/100)^(1/12)-1</f>
        <v>4.2731277661580691E-3</v>
      </c>
      <c r="G80">
        <f t="shared" si="3"/>
        <v>4.7684430969957864E-2</v>
      </c>
      <c r="H80">
        <f t="shared" si="3"/>
        <v>3.2334825991737814E-2</v>
      </c>
      <c r="I80">
        <f t="shared" si="1"/>
        <v>-0.16879830820155128</v>
      </c>
      <c r="J80">
        <f t="shared" si="2"/>
        <v>1.3561878315432723</v>
      </c>
    </row>
    <row r="81" spans="1:10" x14ac:dyDescent="0.2">
      <c r="A81" t="str">
        <f>'MGGIX US_monthly'!A81</f>
        <v>2023-08-31</v>
      </c>
      <c r="B81">
        <f>'MGGIX US_monthly'!B81</f>
        <v>27.7600002288818</v>
      </c>
      <c r="C81">
        <f>'MSCI ACWI Index_monthly'!B81</f>
        <v>364.62116600000002</v>
      </c>
      <c r="D81">
        <f>('MGGIX US_monthly'!B81-'MGGIX US_monthly'!B80)/'MGGIX US_monthly'!B80</f>
        <v>-3.4434774647589553E-2</v>
      </c>
      <c r="E81">
        <f>('MSCI ACWI Index_monthly'!B81-'MSCI ACWI Index_monthly'!B80)/'MSCI ACWI Index_monthly'!B80</f>
        <v>-2.7943918360517246E-2</v>
      </c>
      <c r="F81">
        <f>(1+'Risk-free rate'!B81/100)^(1/12)-1</f>
        <v>4.3128765598297036E-3</v>
      </c>
      <c r="G81">
        <f t="shared" si="3"/>
        <v>-3.8747651207419256E-2</v>
      </c>
      <c r="H81">
        <f t="shared" si="3"/>
        <v>-3.225679492034695E-2</v>
      </c>
      <c r="I81">
        <f t="shared" si="1"/>
        <v>-0.17433716118164766</v>
      </c>
      <c r="J81">
        <f t="shared" si="2"/>
        <v>1.3152404139000777</v>
      </c>
    </row>
    <row r="82" spans="1:10" x14ac:dyDescent="0.2">
      <c r="A82" t="str">
        <f>'MGGIX US_monthly'!A82</f>
        <v>2023-09-29</v>
      </c>
      <c r="B82">
        <f>'MGGIX US_monthly'!B82</f>
        <v>25.9899997711181</v>
      </c>
      <c r="C82">
        <f>'MSCI ACWI Index_monthly'!B82</f>
        <v>349.54377599999998</v>
      </c>
      <c r="D82">
        <f>('MGGIX US_monthly'!B82-'MGGIX US_monthly'!B81)/'MGGIX US_monthly'!B81</f>
        <v>-6.3760822880763984E-2</v>
      </c>
      <c r="E82">
        <f>('MSCI ACWI Index_monthly'!B82-'MSCI ACWI Index_monthly'!B81)/'MSCI ACWI Index_monthly'!B81</f>
        <v>-4.1350835897442213E-2</v>
      </c>
      <c r="F82">
        <f>(1+'Risk-free rate'!B82/100)^(1/12)-1</f>
        <v>4.3287712331259165E-3</v>
      </c>
      <c r="G82">
        <f t="shared" si="3"/>
        <v>-6.8089594113889901E-2</v>
      </c>
      <c r="H82">
        <f t="shared" si="3"/>
        <v>-4.567960713056813E-2</v>
      </c>
      <c r="I82">
        <f t="shared" si="1"/>
        <v>-0.18822493181412003</v>
      </c>
      <c r="J82">
        <f t="shared" si="2"/>
        <v>1.3344419910167793</v>
      </c>
    </row>
    <row r="83" spans="1:10" x14ac:dyDescent="0.2">
      <c r="A83" t="str">
        <f>'MGGIX US_monthly'!A83</f>
        <v>2023-10-31</v>
      </c>
      <c r="B83">
        <f>'MGGIX US_monthly'!B83</f>
        <v>25.309999465942301</v>
      </c>
      <c r="C83">
        <f>'MSCI ACWI Index_monthly'!B83</f>
        <v>339.03409499999998</v>
      </c>
      <c r="D83">
        <f>('MGGIX US_monthly'!B83-'MGGIX US_monthly'!B82)/'MGGIX US_monthly'!B82</f>
        <v>-2.6163921168305002E-2</v>
      </c>
      <c r="E83">
        <f>('MSCI ACWI Index_monthly'!B83-'MSCI ACWI Index_monthly'!B82)/'MSCI ACWI Index_monthly'!B82</f>
        <v>-3.0066852055749382E-2</v>
      </c>
      <c r="F83">
        <f>(1+'Risk-free rate'!B83/100)^(1/12)-1</f>
        <v>4.3446631398347257E-3</v>
      </c>
      <c r="G83">
        <f t="shared" si="3"/>
        <v>-3.0508584308139727E-2</v>
      </c>
      <c r="H83">
        <f t="shared" si="3"/>
        <v>-3.4411515195584108E-2</v>
      </c>
      <c r="I83">
        <f t="shared" si="1"/>
        <v>-0.1873538660523304</v>
      </c>
      <c r="J83">
        <f t="shared" si="2"/>
        <v>1.3298390805731157</v>
      </c>
    </row>
    <row r="84" spans="1:10" x14ac:dyDescent="0.2">
      <c r="A84" t="str">
        <f>'MGGIX US_monthly'!A84</f>
        <v>2023-11-30</v>
      </c>
      <c r="B84">
        <f>'MGGIX US_monthly'!B84</f>
        <v>29.059999465942301</v>
      </c>
      <c r="C84">
        <f>'MSCI ACWI Index_monthly'!B84</f>
        <v>370.32553300000001</v>
      </c>
      <c r="D84">
        <f>('MGGIX US_monthly'!B84-'MGGIX US_monthly'!B83)/'MGGIX US_monthly'!B83</f>
        <v>0.14816278463561738</v>
      </c>
      <c r="E84">
        <f>('MSCI ACWI Index_monthly'!B84-'MSCI ACWI Index_monthly'!B83)/'MSCI ACWI Index_monthly'!B83</f>
        <v>9.22958441687112E-2</v>
      </c>
      <c r="F84">
        <f>(1+'Risk-free rate'!B84/100)^(1/12)-1</f>
        <v>4.2890293603305985E-3</v>
      </c>
      <c r="G84">
        <f t="shared" si="3"/>
        <v>0.14387375527528679</v>
      </c>
      <c r="H84">
        <f t="shared" si="3"/>
        <v>8.8006814808380601E-2</v>
      </c>
      <c r="I84">
        <f t="shared" si="1"/>
        <v>-0.16891043744069745</v>
      </c>
      <c r="J84">
        <f t="shared" si="2"/>
        <v>1.4321053616046691</v>
      </c>
    </row>
    <row r="85" spans="1:10" x14ac:dyDescent="0.2">
      <c r="A85" t="str">
        <f>'MGGIX US_monthly'!A85</f>
        <v>2023-12-29</v>
      </c>
      <c r="B85">
        <f>'MGGIX US_monthly'!B85</f>
        <v>29.809999465942301</v>
      </c>
      <c r="C85">
        <f>'MSCI ACWI Index_monthly'!B85</f>
        <v>388.11373900000001</v>
      </c>
      <c r="D85">
        <f>('MGGIX US_monthly'!B85-'MGGIX US_monthly'!B84)/'MGGIX US_monthly'!B84</f>
        <v>2.580867218800138E-2</v>
      </c>
      <c r="E85">
        <f>('MSCI ACWI Index_monthly'!B85-'MSCI ACWI Index_monthly'!B84)/'MSCI ACWI Index_monthly'!B84</f>
        <v>4.8033971235788384E-2</v>
      </c>
      <c r="F85">
        <f>(1+'Risk-free rate'!B85/100)^(1/12)-1</f>
        <v>4.2651759303415915E-3</v>
      </c>
      <c r="G85">
        <f t="shared" si="3"/>
        <v>2.1543496257659788E-2</v>
      </c>
      <c r="H85">
        <f t="shared" si="3"/>
        <v>4.3768795305446792E-2</v>
      </c>
      <c r="I85">
        <f t="shared" si="1"/>
        <v>-0.16830160222277024</v>
      </c>
      <c r="J85">
        <f t="shared" si="2"/>
        <v>1.4342862845378992</v>
      </c>
    </row>
    <row r="86" spans="1:10" x14ac:dyDescent="0.2">
      <c r="A86" t="str">
        <f>'MGGIX US_monthly'!A86</f>
        <v>2024-01-31</v>
      </c>
      <c r="B86">
        <f>'MGGIX US_monthly'!B86</f>
        <v>30.399999618530199</v>
      </c>
      <c r="C86">
        <f>'MSCI ACWI Index_monthly'!B86</f>
        <v>390.38896699999998</v>
      </c>
      <c r="D86">
        <f>('MGGIX US_monthly'!B86-'MGGIX US_monthly'!B85)/'MGGIX US_monthly'!B85</f>
        <v>1.979202157524251E-2</v>
      </c>
      <c r="E86">
        <f>('MSCI ACWI Index_monthly'!B86-'MSCI ACWI Index_monthly'!B85)/'MSCI ACWI Index_monthly'!B85</f>
        <v>5.8622712142637392E-3</v>
      </c>
      <c r="F86">
        <f>(1+'Risk-free rate'!B86/100)^(1/12)-1</f>
        <v>4.2492701806178257E-3</v>
      </c>
      <c r="G86">
        <f t="shared" si="3"/>
        <v>1.5542751394624684E-2</v>
      </c>
      <c r="H86">
        <f t="shared" si="3"/>
        <v>1.6130010336459135E-3</v>
      </c>
      <c r="I86">
        <f t="shared" si="1"/>
        <v>-0.16301747294439173</v>
      </c>
      <c r="J86">
        <f t="shared" si="2"/>
        <v>1.4344860920983453</v>
      </c>
    </row>
    <row r="87" spans="1:10" x14ac:dyDescent="0.2">
      <c r="A87" t="str">
        <f>'MGGIX US_monthly'!A87</f>
        <v>2024-02-29</v>
      </c>
      <c r="B87">
        <f>'MGGIX US_monthly'!B87</f>
        <v>33.220001220703097</v>
      </c>
      <c r="C87">
        <f>'MSCI ACWI Index_monthly'!B87</f>
        <v>407.14185700000002</v>
      </c>
      <c r="D87">
        <f>('MGGIX US_monthly'!B87-'MGGIX US_monthly'!B86)/'MGGIX US_monthly'!B86</f>
        <v>9.2763211761817815E-2</v>
      </c>
      <c r="E87">
        <f>('MSCI ACWI Index_monthly'!B87-'MSCI ACWI Index_monthly'!B86)/'MSCI ACWI Index_monthly'!B86</f>
        <v>4.2913328541889957E-2</v>
      </c>
      <c r="F87">
        <f>(1+'Risk-free rate'!B87/100)^(1/12)-1</f>
        <v>4.2651759303415915E-3</v>
      </c>
      <c r="G87">
        <f t="shared" si="3"/>
        <v>8.8498035831476224E-2</v>
      </c>
      <c r="H87">
        <f t="shared" si="3"/>
        <v>3.8648152611548366E-2</v>
      </c>
      <c r="I87">
        <f t="shared" si="1"/>
        <v>-0.15539553041898913</v>
      </c>
      <c r="J87">
        <f t="shared" si="2"/>
        <v>1.4507374385401268</v>
      </c>
    </row>
    <row r="88" spans="1:10" x14ac:dyDescent="0.2">
      <c r="A88" t="str">
        <f>'MGGIX US_monthly'!A88</f>
        <v>2024-03-29</v>
      </c>
      <c r="B88">
        <f>'MGGIX US_monthly'!B88</f>
        <v>33.569999694824197</v>
      </c>
      <c r="C88">
        <f>'MSCI ACWI Index_monthly'!B88</f>
        <v>419.92483499999997</v>
      </c>
      <c r="D88">
        <f>('MGGIX US_monthly'!B88-'MGGIX US_monthly'!B87)/'MGGIX US_monthly'!B87</f>
        <v>1.0535775474414422E-2</v>
      </c>
      <c r="E88">
        <f>('MSCI ACWI Index_monthly'!B88-'MSCI ACWI Index_monthly'!B87)/'MSCI ACWI Index_monthly'!B87</f>
        <v>3.1396865196299278E-2</v>
      </c>
      <c r="F88">
        <f>(1+'Risk-free rate'!B88/100)^(1/12)-1</f>
        <v>4.2651759303415915E-3</v>
      </c>
      <c r="G88">
        <f t="shared" si="3"/>
        <v>6.2705995440728302E-3</v>
      </c>
      <c r="H88">
        <f t="shared" si="3"/>
        <v>2.7131689265957687E-2</v>
      </c>
      <c r="I88">
        <f t="shared" si="1"/>
        <v>-0.14408401542224936</v>
      </c>
      <c r="J88">
        <f t="shared" si="2"/>
        <v>1.4621598824169619</v>
      </c>
    </row>
    <row r="89" spans="1:10" x14ac:dyDescent="0.2">
      <c r="A89" t="str">
        <f>'MGGIX US_monthly'!A89</f>
        <v>2024-04-30</v>
      </c>
      <c r="B89">
        <f>'MGGIX US_monthly'!B89</f>
        <v>31.870000839233398</v>
      </c>
      <c r="C89">
        <f>'MSCI ACWI Index_monthly'!B89</f>
        <v>406.07026400000001</v>
      </c>
      <c r="D89">
        <f>('MGGIX US_monthly'!B89-'MGGIX US_monthly'!B88)/'MGGIX US_monthly'!B88</f>
        <v>-5.0640419155347914E-2</v>
      </c>
      <c r="E89">
        <f>('MSCI ACWI Index_monthly'!B89-'MSCI ACWI Index_monthly'!B88)/'MSCI ACWI Index_monthly'!B88</f>
        <v>-3.2992978374332078E-2</v>
      </c>
      <c r="F89">
        <f>(1+'Risk-free rate'!B89/100)^(1/12)-1</f>
        <v>4.2651759303415915E-3</v>
      </c>
      <c r="G89">
        <f t="shared" si="3"/>
        <v>-5.4905595085689506E-2</v>
      </c>
      <c r="H89">
        <f t="shared" si="3"/>
        <v>-3.725815430467367E-2</v>
      </c>
      <c r="I89">
        <f t="shared" si="1"/>
        <v>-0.14274568936308263</v>
      </c>
      <c r="J89">
        <f t="shared" si="2"/>
        <v>1.4514467543600582</v>
      </c>
    </row>
    <row r="90" spans="1:10" x14ac:dyDescent="0.2">
      <c r="A90" t="str">
        <f>'MGGIX US_monthly'!A90</f>
        <v>2024-05-31</v>
      </c>
      <c r="B90">
        <f>'MGGIX US_monthly'!B90</f>
        <v>32.049999237060497</v>
      </c>
      <c r="C90">
        <f>'MSCI ACWI Index_monthly'!B90</f>
        <v>422.56224500000002</v>
      </c>
      <c r="D90">
        <f>('MGGIX US_monthly'!B90-'MGGIX US_monthly'!B89)/'MGGIX US_monthly'!B89</f>
        <v>5.6478943547912499E-3</v>
      </c>
      <c r="E90">
        <f>('MSCI ACWI Index_monthly'!B90-'MSCI ACWI Index_monthly'!B89)/'MSCI ACWI Index_monthly'!B89</f>
        <v>4.0613614101031564E-2</v>
      </c>
      <c r="F90">
        <f>(1+'Risk-free rate'!B90/100)^(1/12)-1</f>
        <v>4.2731277661580691E-3</v>
      </c>
      <c r="G90">
        <f t="shared" si="3"/>
        <v>1.3747665886331807E-3</v>
      </c>
      <c r="H90">
        <f t="shared" si="3"/>
        <v>3.6340486334873495E-2</v>
      </c>
      <c r="I90">
        <f t="shared" si="1"/>
        <v>-0.14597065085341954</v>
      </c>
      <c r="J90">
        <f t="shared" si="2"/>
        <v>1.439504154477985</v>
      </c>
    </row>
    <row r="91" spans="1:10" x14ac:dyDescent="0.2">
      <c r="A91" t="str">
        <f>'MGGIX US_monthly'!A91</f>
        <v>2024-06-28</v>
      </c>
      <c r="B91">
        <f>'MGGIX US_monthly'!B91</f>
        <v>33.330001831054602</v>
      </c>
      <c r="C91">
        <f>'MSCI ACWI Index_monthly'!B91</f>
        <v>431.97360800000001</v>
      </c>
      <c r="D91">
        <f>('MGGIX US_monthly'!B91-'MGGIX US_monthly'!B90)/'MGGIX US_monthly'!B90</f>
        <v>3.9937679390456733E-2</v>
      </c>
      <c r="E91">
        <f>('MSCI ACWI Index_monthly'!B91-'MSCI ACWI Index_monthly'!B90)/'MSCI ACWI Index_monthly'!B90</f>
        <v>2.2272134132570207E-2</v>
      </c>
      <c r="F91">
        <f>(1+'Risk-free rate'!B91/100)^(1/12)-1</f>
        <v>4.2651759303415915E-3</v>
      </c>
      <c r="G91">
        <f t="shared" si="3"/>
        <v>3.5672503460115142E-2</v>
      </c>
      <c r="H91">
        <f t="shared" si="3"/>
        <v>1.8006958202228616E-2</v>
      </c>
      <c r="I91">
        <f t="shared" si="1"/>
        <v>-0.14759970421675905</v>
      </c>
      <c r="J91">
        <f t="shared" si="2"/>
        <v>1.4401722457437309</v>
      </c>
    </row>
    <row r="92" spans="1:10" x14ac:dyDescent="0.2">
      <c r="A92" t="str">
        <f>'MGGIX US_monthly'!A92</f>
        <v>2024-07-31</v>
      </c>
      <c r="B92">
        <f>'MGGIX US_monthly'!B92</f>
        <v>32.569999694824197</v>
      </c>
      <c r="C92">
        <f>'MSCI ACWI Index_monthly'!B92</f>
        <v>438.94025599999998</v>
      </c>
      <c r="D92">
        <f>('MGGIX US_monthly'!B92-'MGGIX US_monthly'!B91)/'MGGIX US_monthly'!B91</f>
        <v>-2.2802343068648954E-2</v>
      </c>
      <c r="E92">
        <f>('MSCI ACWI Index_monthly'!B92-'MSCI ACWI Index_monthly'!B91)/'MSCI ACWI Index_monthly'!B91</f>
        <v>1.6127485269887051E-2</v>
      </c>
      <c r="F92">
        <f>(1+'Risk-free rate'!B92/100)^(1/12)-1</f>
        <v>4.2333616592649115E-3</v>
      </c>
      <c r="G92">
        <f t="shared" si="3"/>
        <v>-2.7035704727913865E-2</v>
      </c>
      <c r="H92">
        <f t="shared" si="3"/>
        <v>1.1894123610622139E-2</v>
      </c>
      <c r="I92">
        <f t="shared" si="1"/>
        <v>-0.14965669092101885</v>
      </c>
      <c r="J92">
        <f t="shared" si="2"/>
        <v>1.4378878276747933</v>
      </c>
    </row>
    <row r="93" spans="1:10" x14ac:dyDescent="0.2">
      <c r="A93" t="str">
        <f>'MGGIX US_monthly'!A93</f>
        <v>2024-08-30</v>
      </c>
      <c r="B93">
        <f>'MGGIX US_monthly'!B93</f>
        <v>34.639999389648402</v>
      </c>
      <c r="C93">
        <f>'MSCI ACWI Index_monthly'!B93</f>
        <v>450.08780300000001</v>
      </c>
      <c r="D93">
        <f>('MGGIX US_monthly'!B93-'MGGIX US_monthly'!B92)/'MGGIX US_monthly'!B92</f>
        <v>6.3555410322989808E-2</v>
      </c>
      <c r="E93">
        <f>('MSCI ACWI Index_monthly'!B93-'MSCI ACWI Index_monthly'!B92)/'MSCI ACWI Index_monthly'!B92</f>
        <v>2.5396501796362991E-2</v>
      </c>
      <c r="F93">
        <f>(1+'Risk-free rate'!B93/100)^(1/12)-1</f>
        <v>4.1139593013970188E-3</v>
      </c>
      <c r="G93">
        <f t="shared" si="3"/>
        <v>5.9441451021592789E-2</v>
      </c>
      <c r="H93">
        <f t="shared" si="3"/>
        <v>2.1282542494965973E-2</v>
      </c>
      <c r="I93">
        <f t="shared" si="1"/>
        <v>-0.13745338451760947</v>
      </c>
      <c r="J93">
        <f t="shared" si="2"/>
        <v>1.4477836139874007</v>
      </c>
    </row>
    <row r="94" spans="1:10" x14ac:dyDescent="0.2">
      <c r="A94" t="str">
        <f>'MGGIX US_monthly'!A94</f>
        <v>2024-09-30</v>
      </c>
      <c r="B94">
        <f>'MGGIX US_monthly'!B94</f>
        <v>36.580001831054602</v>
      </c>
      <c r="C94">
        <f>'MSCI ACWI Index_monthly'!B94</f>
        <v>460.54383300000001</v>
      </c>
      <c r="D94">
        <f>('MGGIX US_monthly'!B94-'MGGIX US_monthly'!B93)/'MGGIX US_monthly'!B93</f>
        <v>5.6004690403832345E-2</v>
      </c>
      <c r="E94">
        <f>('MSCI ACWI Index_monthly'!B94-'MSCI ACWI Index_monthly'!B93)/'MSCI ACWI Index_monthly'!B93</f>
        <v>2.3231089423678512E-2</v>
      </c>
      <c r="F94">
        <f>(1+'Risk-free rate'!B94/100)^(1/12)-1</f>
        <v>3.8507230235700352E-3</v>
      </c>
      <c r="G94">
        <f t="shared" si="3"/>
        <v>5.215396738026231E-2</v>
      </c>
      <c r="H94">
        <f t="shared" si="3"/>
        <v>1.9380366400108477E-2</v>
      </c>
      <c r="I94">
        <f t="shared" si="1"/>
        <v>-0.13559620444958165</v>
      </c>
      <c r="J94">
        <f t="shared" si="2"/>
        <v>1.4699401275772905</v>
      </c>
    </row>
    <row r="95" spans="1:10" x14ac:dyDescent="0.2">
      <c r="A95" t="str">
        <f>'MGGIX US_monthly'!A95</f>
        <v>2024-10-31</v>
      </c>
      <c r="B95">
        <f>'MGGIX US_monthly'!B95</f>
        <v>36.990001678466797</v>
      </c>
      <c r="C95">
        <f>'MSCI ACWI Index_monthly'!B95</f>
        <v>450.20609000000002</v>
      </c>
      <c r="D95">
        <f>('MGGIX US_monthly'!B95-'MGGIX US_monthly'!B94)/'MGGIX US_monthly'!B94</f>
        <v>1.1208305819824349E-2</v>
      </c>
      <c r="E95">
        <f>('MSCI ACWI Index_monthly'!B95-'MSCI ACWI Index_monthly'!B94)/'MSCI ACWI Index_monthly'!B94</f>
        <v>-2.244681669638162E-2</v>
      </c>
      <c r="F95">
        <f>(1+'Risk-free rate'!B95/100)^(1/12)-1</f>
        <v>3.6828128357737633E-3</v>
      </c>
      <c r="G95">
        <f t="shared" si="3"/>
        <v>7.5254929840505858E-3</v>
      </c>
      <c r="H95">
        <f t="shared" si="3"/>
        <v>-2.6129629532155384E-2</v>
      </c>
      <c r="I95">
        <f t="shared" si="1"/>
        <v>-0.1148753981235574</v>
      </c>
      <c r="J95">
        <f t="shared" si="2"/>
        <v>1.4553455344431871</v>
      </c>
    </row>
    <row r="96" spans="1:10" x14ac:dyDescent="0.2">
      <c r="A96" t="str">
        <f>'MGGIX US_monthly'!A96</f>
        <v>2024-11-29</v>
      </c>
      <c r="B96">
        <f>'MGGIX US_monthly'!B96</f>
        <v>39.200000762939403</v>
      </c>
      <c r="C96">
        <f>'MSCI ACWI Index_monthly'!B96</f>
        <v>467.045456</v>
      </c>
      <c r="D96">
        <f>('MGGIX US_monthly'!B96-'MGGIX US_monthly'!B95)/'MGGIX US_monthly'!B95</f>
        <v>5.9745849802410961E-2</v>
      </c>
      <c r="E96">
        <f>('MSCI ACWI Index_monthly'!B96-'MSCI ACWI Index_monthly'!B95)/'MSCI ACWI Index_monthly'!B95</f>
        <v>3.7403683277585122E-2</v>
      </c>
      <c r="F96">
        <f>(1+'Risk-free rate'!B96/100)^(1/12)-1</f>
        <v>3.6107566318024364E-3</v>
      </c>
      <c r="G96">
        <f t="shared" si="3"/>
        <v>5.6135093170608524E-2</v>
      </c>
      <c r="H96">
        <f t="shared" si="3"/>
        <v>3.3792926645782685E-2</v>
      </c>
      <c r="I96">
        <f t="shared" si="1"/>
        <v>-0.10619811144733327</v>
      </c>
      <c r="J96">
        <f t="shared" si="2"/>
        <v>1.4574351626174129</v>
      </c>
    </row>
    <row r="97" spans="1:10" x14ac:dyDescent="0.2">
      <c r="A97" t="str">
        <f>'MGGIX US_monthly'!A97</f>
        <v>2024-12-31</v>
      </c>
      <c r="B97">
        <f>'MGGIX US_monthly'!B97</f>
        <v>35.139999389648402</v>
      </c>
      <c r="C97">
        <f>'MSCI ACWI Index_monthly'!B97</f>
        <v>455.98973100000001</v>
      </c>
      <c r="D97">
        <f>('MGGIX US_monthly'!B97-'MGGIX US_monthly'!B96)/'MGGIX US_monthly'!B96</f>
        <v>-0.10357146158857787</v>
      </c>
      <c r="E97">
        <f>('MSCI ACWI Index_monthly'!B97-'MSCI ACWI Index_monthly'!B96)/'MSCI ACWI Index_monthly'!B96</f>
        <v>-2.3671625230414394E-2</v>
      </c>
      <c r="F97">
        <f>(1+'Risk-free rate'!B97/100)^(1/12)-1</f>
        <v>3.4905363507502507E-3</v>
      </c>
      <c r="G97">
        <f t="shared" si="3"/>
        <v>-0.10706199793932812</v>
      </c>
      <c r="H97">
        <f t="shared" si="3"/>
        <v>-2.7162161581164645E-2</v>
      </c>
      <c r="I97">
        <f t="shared" si="1"/>
        <v>-9.6243336476249941E-2</v>
      </c>
      <c r="J97">
        <f t="shared" si="2"/>
        <v>1.5269356968305081</v>
      </c>
    </row>
  </sheetData>
  <pageMargins left="0.7" right="0.7" top="0.78740157499999996" bottom="0.78740157499999996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5FB8-2051-4F12-AD03-4B7791189862}">
  <dimension ref="A1:Q1511"/>
  <sheetViews>
    <sheetView topLeftCell="E1" workbookViewId="0">
      <pane ySplit="1" topLeftCell="A2" activePane="bottomLeft" state="frozen"/>
      <selection pane="bottomLeft" activeCell="F4" sqref="F4"/>
    </sheetView>
  </sheetViews>
  <sheetFormatPr baseColWidth="10" defaultRowHeight="16" x14ac:dyDescent="0.2"/>
  <cols>
    <col min="1" max="1" width="11" customWidth="1"/>
    <col min="2" max="2" width="14.6640625" bestFit="1" customWidth="1"/>
    <col min="3" max="3" width="13.1640625" customWidth="1"/>
  </cols>
  <sheetData>
    <row r="1" spans="1:17" s="1" customFormat="1" ht="68.25" customHeight="1" x14ac:dyDescent="0.2">
      <c r="A1" s="2" t="s">
        <v>1</v>
      </c>
      <c r="B1" s="1" t="s">
        <v>0</v>
      </c>
      <c r="C1" s="3" t="s">
        <v>9</v>
      </c>
      <c r="D1" s="3" t="s">
        <v>2</v>
      </c>
      <c r="E1" s="3" t="s">
        <v>3</v>
      </c>
      <c r="F1" s="3" t="s">
        <v>6</v>
      </c>
      <c r="G1" s="9" t="s">
        <v>13</v>
      </c>
      <c r="H1" s="2" t="s">
        <v>14</v>
      </c>
      <c r="I1" s="3" t="s">
        <v>4</v>
      </c>
      <c r="J1" s="3" t="s">
        <v>5</v>
      </c>
      <c r="K1" s="3" t="s">
        <v>15</v>
      </c>
    </row>
    <row r="2" spans="1:17" s="1" customFormat="1" ht="15.75" customHeight="1" x14ac:dyDescent="0.2">
      <c r="A2" s="7">
        <v>43465</v>
      </c>
      <c r="C2" s="3"/>
      <c r="D2" s="3"/>
      <c r="E2" s="3"/>
      <c r="F2" s="3"/>
      <c r="G2" s="9"/>
      <c r="H2" s="2"/>
      <c r="I2" s="3"/>
      <c r="J2" s="3"/>
    </row>
    <row r="3" spans="1:17" x14ac:dyDescent="0.2">
      <c r="A3" t="e">
        <f>LEFT(#REF!,10)</f>
        <v>#REF!</v>
      </c>
      <c r="B3" s="4"/>
      <c r="C3" s="4"/>
      <c r="D3" s="4"/>
      <c r="E3" s="4"/>
      <c r="F3" s="4"/>
      <c r="G3" s="4"/>
      <c r="H3" s="4"/>
      <c r="I3" s="4"/>
      <c r="J3" s="4"/>
    </row>
    <row r="4" spans="1:17" x14ac:dyDescent="0.2">
      <c r="A4" t="e">
        <f>LEFT(#REF!,10)</f>
        <v>#REF!</v>
      </c>
      <c r="B4" s="4" t="e">
        <f>(#REF!-#REF!)/#REF!</f>
        <v>#REF!</v>
      </c>
      <c r="C4" s="4" t="e">
        <f>(#REF!-#REF!)/#REF!</f>
        <v>#REF!</v>
      </c>
      <c r="D4" s="4" t="e">
        <f>LN(#REF!/#REF!)</f>
        <v>#REF!</v>
      </c>
      <c r="E4" s="4" t="e">
        <f>_xlfn.STDEV.S(D4:D23)</f>
        <v>#REF!</v>
      </c>
      <c r="F4" s="4" t="e" cm="1">
        <f t="array" ref="F4">AVERAGE(B4:B1511-$I$4/252)/_xlfn.STDEV.S(B4:B1511-$I$4)</f>
        <v>#REF!</v>
      </c>
      <c r="G4" s="6" t="e">
        <f>M15-($I$4+M7*(N15-$I$4))</f>
        <v>#REF!</v>
      </c>
      <c r="H4" s="6" t="e">
        <f>_xlfn.COVARIANCE.S(B4:B254,C4:C254)/_xlfn.VAR.S(C4:C254)</f>
        <v>#REF!</v>
      </c>
      <c r="I4" s="5">
        <v>0.03</v>
      </c>
      <c r="J4" s="6" t="e">
        <f>(M15-$I$4)/M7</f>
        <v>#REF!</v>
      </c>
      <c r="K4" s="4" t="e">
        <f t="array" ref="K4">_xlfn.STDEV.S(B4:B23-C4:C23)</f>
        <v>#REF!</v>
      </c>
      <c r="N4" t="s">
        <v>19</v>
      </c>
    </row>
    <row r="5" spans="1:17" x14ac:dyDescent="0.2">
      <c r="A5" t="e">
        <f>LEFT(#REF!,10)</f>
        <v>#REF!</v>
      </c>
      <c r="B5" s="4" t="e">
        <f>(#REF!-#REF!)/#REF!</f>
        <v>#REF!</v>
      </c>
      <c r="C5" s="4" t="e">
        <f>(#REF!-#REF!)/#REF!</f>
        <v>#REF!</v>
      </c>
      <c r="D5" s="4" t="e">
        <f>LN(#REF!/#REF!)</f>
        <v>#REF!</v>
      </c>
      <c r="E5" s="4" t="e">
        <f t="shared" ref="E5:E68" si="0">_xlfn.STDEV.S(D5:D24)</f>
        <v>#REF!</v>
      </c>
      <c r="F5" s="4" t="e" cm="1">
        <f t="array" ref="F5">AVERAGE(B5:B1512-$I$4/252)/_xlfn.STDEV.S(B5:B1512-$I$4)</f>
        <v>#REF!</v>
      </c>
      <c r="G5" s="4"/>
      <c r="H5" s="4"/>
      <c r="I5" s="4"/>
      <c r="J5" s="4"/>
      <c r="P5" s="4"/>
    </row>
    <row r="6" spans="1:17" x14ac:dyDescent="0.2">
      <c r="A6" t="e">
        <f>LEFT(#REF!,10)</f>
        <v>#REF!</v>
      </c>
      <c r="B6" s="4" t="e">
        <f>(#REF!-#REF!)/#REF!</f>
        <v>#REF!</v>
      </c>
      <c r="C6" s="4" t="e">
        <f>(#REF!-#REF!)/#REF!</f>
        <v>#REF!</v>
      </c>
      <c r="D6" s="4" t="e">
        <f>LN(#REF!/#REF!)</f>
        <v>#REF!</v>
      </c>
      <c r="E6" s="4" t="e">
        <f t="shared" si="0"/>
        <v>#REF!</v>
      </c>
      <c r="F6" s="4" t="e" cm="1">
        <f t="array" ref="F6">AVERAGE(B6:B1513-$I$4/252)/_xlfn.STDEV.S(B6:B1513-$I$4)</f>
        <v>#REF!</v>
      </c>
      <c r="G6" s="4"/>
      <c r="H6" s="4"/>
      <c r="I6" s="4"/>
      <c r="J6" s="4"/>
      <c r="M6" s="8" t="s">
        <v>7</v>
      </c>
      <c r="N6" s="8" t="s">
        <v>12</v>
      </c>
      <c r="O6" s="8" t="s">
        <v>5</v>
      </c>
      <c r="P6" s="4"/>
    </row>
    <row r="7" spans="1:17" x14ac:dyDescent="0.2">
      <c r="A7" t="e">
        <f>LEFT(#REF!,10)</f>
        <v>#REF!</v>
      </c>
      <c r="B7" s="4" t="e">
        <f>(#REF!-#REF!)/#REF!</f>
        <v>#REF!</v>
      </c>
      <c r="C7" s="4" t="e">
        <f>(#REF!-#REF!)/#REF!</f>
        <v>#REF!</v>
      </c>
      <c r="D7" s="4" t="e">
        <f>LN(#REF!/#REF!)</f>
        <v>#REF!</v>
      </c>
      <c r="E7" s="4" t="e">
        <f t="shared" si="0"/>
        <v>#REF!</v>
      </c>
      <c r="F7" s="4" t="e" cm="1">
        <f t="array" ref="F7">AVERAGE(B7:B1514-$I$4/252)/_xlfn.STDEV.S(B7:B1514-$I$4)</f>
        <v>#REF!</v>
      </c>
      <c r="G7" s="4"/>
      <c r="H7" s="4"/>
      <c r="I7" s="4"/>
      <c r="J7" s="4"/>
      <c r="L7">
        <v>2019</v>
      </c>
      <c r="M7" s="4" t="e">
        <f>H4</f>
        <v>#REF!</v>
      </c>
      <c r="N7" s="11" t="e" cm="1">
        <f t="array" ref="N7">252*(AVERAGE(B4:B254-((1+$I$4)^(1/252)-1))-M7*AVERAGE(C4:C254-((1+$I$4)^(1/252)-1)))</f>
        <v>#REF!</v>
      </c>
      <c r="O7" t="e">
        <f>(M15-$I$4)/M7</f>
        <v>#REF!</v>
      </c>
      <c r="Q7">
        <f>P7*252</f>
        <v>0</v>
      </c>
    </row>
    <row r="8" spans="1:17" x14ac:dyDescent="0.2">
      <c r="A8" t="e">
        <f>LEFT(#REF!,10)</f>
        <v>#REF!</v>
      </c>
      <c r="B8" s="4" t="e">
        <f>(#REF!-#REF!)/#REF!</f>
        <v>#REF!</v>
      </c>
      <c r="C8" s="4" t="e">
        <f>(#REF!-#REF!)/#REF!</f>
        <v>#REF!</v>
      </c>
      <c r="D8" s="4" t="e">
        <f>LN(#REF!/#REF!)</f>
        <v>#REF!</v>
      </c>
      <c r="E8" s="4" t="e">
        <f t="shared" si="0"/>
        <v>#REF!</v>
      </c>
      <c r="F8" s="4" t="e" cm="1">
        <f t="array" ref="F8">AVERAGE(B8:B1515-$I$4/252)/_xlfn.STDEV.S(B8:B1515-$I$4)</f>
        <v>#REF!</v>
      </c>
      <c r="G8" s="4"/>
      <c r="H8" s="4"/>
      <c r="I8" s="4"/>
      <c r="J8" s="4"/>
      <c r="L8">
        <v>2020</v>
      </c>
      <c r="M8" s="4" t="e">
        <f>H255</f>
        <v>#REF!</v>
      </c>
      <c r="N8" s="11" t="e" cm="1">
        <f t="array" ref="N8">252*(AVERAGE(B255:B507-((1+$I$4)^(1/252)-1))-M8*AVERAGE(C255:C507-((1+$I$4)^(1/252)-1)))</f>
        <v>#REF!</v>
      </c>
      <c r="O8" t="e">
        <f t="shared" ref="O8:O12" si="1">(M16-$I$4)/M8</f>
        <v>#REF!</v>
      </c>
    </row>
    <row r="9" spans="1:17" x14ac:dyDescent="0.2">
      <c r="A9" t="e">
        <f>LEFT(#REF!,10)</f>
        <v>#REF!</v>
      </c>
      <c r="B9" s="4" t="e">
        <f>(#REF!-#REF!)/#REF!</f>
        <v>#REF!</v>
      </c>
      <c r="C9" s="4" t="e">
        <f>(#REF!-#REF!)/#REF!</f>
        <v>#REF!</v>
      </c>
      <c r="D9" s="4" t="e">
        <f>LN(#REF!/#REF!)</f>
        <v>#REF!</v>
      </c>
      <c r="E9" s="4" t="e">
        <f t="shared" si="0"/>
        <v>#REF!</v>
      </c>
      <c r="F9" s="4" t="e" cm="1">
        <f t="array" ref="F9">AVERAGE(B9:B1516-$I$4/252)/_xlfn.STDEV.S(B9:B1516-$I$4)</f>
        <v>#REF!</v>
      </c>
      <c r="G9" s="4"/>
      <c r="H9" s="4"/>
      <c r="I9" s="4"/>
      <c r="J9" s="4"/>
      <c r="L9">
        <v>2021</v>
      </c>
      <c r="M9" s="4" t="e">
        <f>H508</f>
        <v>#REF!</v>
      </c>
      <c r="N9" s="11" t="e" cm="1">
        <f t="array" ref="N9">252*(AVERAGE(B508:B759-((1+$I$4)^(1/252)-1))-M9*AVERAGE(C508:C759-((1+$I$4)^(1/252)-1)))</f>
        <v>#REF!</v>
      </c>
      <c r="O9" t="e">
        <f t="shared" si="1"/>
        <v>#REF!</v>
      </c>
    </row>
    <row r="10" spans="1:17" x14ac:dyDescent="0.2">
      <c r="A10" t="e">
        <f>LEFT(#REF!,10)</f>
        <v>#REF!</v>
      </c>
      <c r="B10" s="4" t="e">
        <f>(#REF!-#REF!)/#REF!</f>
        <v>#REF!</v>
      </c>
      <c r="C10" s="4" t="e">
        <f>(#REF!-#REF!)/#REF!</f>
        <v>#REF!</v>
      </c>
      <c r="D10" s="4" t="e">
        <f>LN(#REF!/#REF!)</f>
        <v>#REF!</v>
      </c>
      <c r="E10" s="4" t="e">
        <f t="shared" si="0"/>
        <v>#REF!</v>
      </c>
      <c r="F10" s="4" t="e" cm="1">
        <f t="array" ref="F10">AVERAGE(B10:B1517-$I$4/252)/_xlfn.STDEV.S(B10:B1517-$I$4)</f>
        <v>#REF!</v>
      </c>
      <c r="G10" s="4"/>
      <c r="H10" s="4"/>
      <c r="I10" s="4"/>
      <c r="J10" s="4"/>
      <c r="L10">
        <v>2022</v>
      </c>
      <c r="M10" s="4" t="e">
        <f>H760</f>
        <v>#REF!</v>
      </c>
      <c r="N10" s="11" t="e" cm="1">
        <f t="array" ref="N10">252*(AVERAGE(B760:B1010-((1+$I$4)^(1/252)-1))-M10*AVERAGE(C760:C1010-((1+$I$4)^(1/252)-1)))</f>
        <v>#REF!</v>
      </c>
      <c r="O10" t="e">
        <f t="shared" si="1"/>
        <v>#REF!</v>
      </c>
    </row>
    <row r="11" spans="1:17" x14ac:dyDescent="0.2">
      <c r="A11" t="e">
        <f>LEFT(#REF!,10)</f>
        <v>#REF!</v>
      </c>
      <c r="B11" s="4" t="e">
        <f>(#REF!-#REF!)/#REF!</f>
        <v>#REF!</v>
      </c>
      <c r="C11" s="4" t="e">
        <f>(#REF!-#REF!)/#REF!</f>
        <v>#REF!</v>
      </c>
      <c r="D11" s="4" t="e">
        <f>LN(#REF!/#REF!)</f>
        <v>#REF!</v>
      </c>
      <c r="E11" s="4" t="e">
        <f t="shared" si="0"/>
        <v>#REF!</v>
      </c>
      <c r="F11" s="4" t="e" cm="1">
        <f t="array" ref="F11">AVERAGE(B11:B1518-$I$4/252)/_xlfn.STDEV.S(B11:B1518-$I$4)</f>
        <v>#REF!</v>
      </c>
      <c r="G11" s="4"/>
      <c r="H11" s="4"/>
      <c r="I11" s="4"/>
      <c r="J11" s="4"/>
      <c r="L11">
        <v>2023</v>
      </c>
      <c r="M11" s="4" t="e">
        <f>H1011</f>
        <v>#REF!</v>
      </c>
      <c r="N11" s="11" t="e" cm="1">
        <f t="array" ref="N11">252*(AVERAGE(B1011:B1260-((1+$I$4)^(1/252)-1))-M11*AVERAGE(C1011:C1260-((1+$I$4)^(1/252)-1)))</f>
        <v>#REF!</v>
      </c>
      <c r="O11" t="e">
        <f t="shared" si="1"/>
        <v>#REF!</v>
      </c>
    </row>
    <row r="12" spans="1:17" x14ac:dyDescent="0.2">
      <c r="A12" t="e">
        <f>LEFT(#REF!,10)</f>
        <v>#REF!</v>
      </c>
      <c r="B12" s="4" t="e">
        <f>(#REF!-#REF!)/#REF!</f>
        <v>#REF!</v>
      </c>
      <c r="C12" s="4" t="e">
        <f>(#REF!-#REF!)/#REF!</f>
        <v>#REF!</v>
      </c>
      <c r="D12" s="4" t="e">
        <f>LN(#REF!/#REF!)</f>
        <v>#REF!</v>
      </c>
      <c r="E12" s="4" t="e">
        <f t="shared" si="0"/>
        <v>#REF!</v>
      </c>
      <c r="F12" s="4" t="e" cm="1">
        <f t="array" ref="F12">AVERAGE(B12:B1519-$I$4/252)/_xlfn.STDEV.S(B12:B1519-$I$4)</f>
        <v>#REF!</v>
      </c>
      <c r="G12" s="4"/>
      <c r="H12" s="4"/>
      <c r="I12" s="4"/>
      <c r="J12" s="4"/>
      <c r="L12">
        <v>2024</v>
      </c>
      <c r="M12" s="4" t="e">
        <f>H1261</f>
        <v>#REF!</v>
      </c>
      <c r="N12" s="11" t="e" cm="1">
        <f t="array" ref="N12">252*(AVERAGE(B1261:B1511-((1+$I$4)^(1/252)-1))-M12*AVERAGE(C1261:C1511-((1+$I$4)^(1/252)-1)))</f>
        <v>#REF!</v>
      </c>
      <c r="O12" t="e">
        <f t="shared" si="1"/>
        <v>#REF!</v>
      </c>
    </row>
    <row r="13" spans="1:17" x14ac:dyDescent="0.2">
      <c r="A13" t="e">
        <f>LEFT(#REF!,10)</f>
        <v>#REF!</v>
      </c>
      <c r="B13" s="4" t="e">
        <f>(#REF!-#REF!)/#REF!</f>
        <v>#REF!</v>
      </c>
      <c r="C13" s="4" t="e">
        <f>(#REF!-#REF!)/#REF!</f>
        <v>#REF!</v>
      </c>
      <c r="D13" s="4" t="e">
        <f>LN(#REF!/#REF!)</f>
        <v>#REF!</v>
      </c>
      <c r="E13" s="4" t="e">
        <f t="shared" si="0"/>
        <v>#REF!</v>
      </c>
      <c r="F13" s="4" t="e" cm="1">
        <f t="array" ref="F13">AVERAGE(B13:B1520-$I$4/252)/_xlfn.STDEV.S(B13:B1520-$I$4)</f>
        <v>#REF!</v>
      </c>
      <c r="G13" s="4"/>
      <c r="H13" s="4"/>
      <c r="I13" s="4"/>
      <c r="J13" s="4"/>
      <c r="M13" s="24" t="s">
        <v>8</v>
      </c>
      <c r="N13" s="24"/>
    </row>
    <row r="14" spans="1:17" x14ac:dyDescent="0.2">
      <c r="A14" t="e">
        <f>LEFT(#REF!,10)</f>
        <v>#REF!</v>
      </c>
      <c r="B14" s="4" t="e">
        <f>(#REF!-#REF!)/#REF!</f>
        <v>#REF!</v>
      </c>
      <c r="C14" s="4" t="e">
        <f>(#REF!-#REF!)/#REF!</f>
        <v>#REF!</v>
      </c>
      <c r="D14" s="4" t="e">
        <f>LN(#REF!/#REF!)</f>
        <v>#REF!</v>
      </c>
      <c r="E14" s="4" t="e">
        <f t="shared" si="0"/>
        <v>#REF!</v>
      </c>
      <c r="F14" s="4" t="e" cm="1">
        <f t="array" ref="F14">AVERAGE(B14:B1521-$I$4/252)/_xlfn.STDEV.S(B14:B1521-$I$4)</f>
        <v>#REF!</v>
      </c>
      <c r="G14" s="4"/>
      <c r="H14" s="4"/>
      <c r="I14" s="4"/>
      <c r="J14" s="4"/>
      <c r="M14" s="10" t="s">
        <v>10</v>
      </c>
      <c r="N14" s="2" t="s">
        <v>11</v>
      </c>
    </row>
    <row r="15" spans="1:17" x14ac:dyDescent="0.2">
      <c r="A15" t="e">
        <f>LEFT(#REF!,10)</f>
        <v>#REF!</v>
      </c>
      <c r="B15" s="4" t="e">
        <f>(#REF!-#REF!)/#REF!</f>
        <v>#REF!</v>
      </c>
      <c r="C15" s="4" t="e">
        <f>(#REF!-#REF!)/#REF!</f>
        <v>#REF!</v>
      </c>
      <c r="D15" s="4" t="e">
        <f>LN(#REF!/#REF!)</f>
        <v>#REF!</v>
      </c>
      <c r="E15" s="4" t="e">
        <f t="shared" si="0"/>
        <v>#REF!</v>
      </c>
      <c r="F15" s="4" t="e" cm="1">
        <f t="array" ref="F15">AVERAGE(B15:B1522-$I$4/252)/_xlfn.STDEV.S(B15:B1522-$I$4)</f>
        <v>#REF!</v>
      </c>
      <c r="G15" s="4"/>
      <c r="H15" s="4"/>
      <c r="I15" s="4"/>
      <c r="J15" s="4"/>
      <c r="L15">
        <v>2019</v>
      </c>
      <c r="M15" t="e">
        <f>(#REF!-#REF!)/#REF!</f>
        <v>#REF!</v>
      </c>
      <c r="N15" t="e">
        <f>(#REF!-#REF!)/#REF!</f>
        <v>#REF!</v>
      </c>
    </row>
    <row r="16" spans="1:17" x14ac:dyDescent="0.2">
      <c r="A16" t="e">
        <f>LEFT(#REF!,10)</f>
        <v>#REF!</v>
      </c>
      <c r="B16" s="4" t="e">
        <f>(#REF!-#REF!)/#REF!</f>
        <v>#REF!</v>
      </c>
      <c r="C16" s="4" t="e">
        <f>(#REF!-#REF!)/#REF!</f>
        <v>#REF!</v>
      </c>
      <c r="D16" s="4" t="e">
        <f>LN(#REF!/#REF!)</f>
        <v>#REF!</v>
      </c>
      <c r="E16" s="4" t="e">
        <f t="shared" si="0"/>
        <v>#REF!</v>
      </c>
      <c r="F16" s="4" t="e" cm="1">
        <f t="array" ref="F16">AVERAGE(B16:B1523-$I$4/252)/_xlfn.STDEV.S(B16:B1523-$I$4)</f>
        <v>#REF!</v>
      </c>
      <c r="G16" s="4"/>
      <c r="H16" s="4"/>
      <c r="I16" s="4"/>
      <c r="J16" s="4"/>
      <c r="L16">
        <v>2020</v>
      </c>
      <c r="M16" t="e">
        <f>(#REF!-#REF!)/#REF!</f>
        <v>#REF!</v>
      </c>
      <c r="N16" t="e">
        <f>(#REF!-#REF!)/#REF!</f>
        <v>#REF!</v>
      </c>
    </row>
    <row r="17" spans="1:14" x14ac:dyDescent="0.2">
      <c r="A17" t="e">
        <f>LEFT(#REF!,10)</f>
        <v>#REF!</v>
      </c>
      <c r="B17" s="4" t="e">
        <f>(#REF!-#REF!)/#REF!</f>
        <v>#REF!</v>
      </c>
      <c r="C17" s="4" t="e">
        <f>(#REF!-#REF!)/#REF!</f>
        <v>#REF!</v>
      </c>
      <c r="D17" s="4" t="e">
        <f>LN(#REF!/#REF!)</f>
        <v>#REF!</v>
      </c>
      <c r="E17" s="4" t="e">
        <f t="shared" si="0"/>
        <v>#REF!</v>
      </c>
      <c r="F17" s="4" t="e" cm="1">
        <f t="array" ref="F17">AVERAGE(B17:B1524-$I$4/252)/_xlfn.STDEV.S(B17:B1524-$I$4)</f>
        <v>#REF!</v>
      </c>
      <c r="G17" s="4"/>
      <c r="H17" s="4"/>
      <c r="I17" s="4"/>
      <c r="J17" s="4"/>
      <c r="L17">
        <v>2021</v>
      </c>
      <c r="M17" t="e">
        <f>(#REF!-#REF!)/#REF!</f>
        <v>#REF!</v>
      </c>
      <c r="N17" t="e">
        <f>(#REF!-#REF!)/#REF!</f>
        <v>#REF!</v>
      </c>
    </row>
    <row r="18" spans="1:14" x14ac:dyDescent="0.2">
      <c r="A18" t="e">
        <f>LEFT(#REF!,10)</f>
        <v>#REF!</v>
      </c>
      <c r="B18" s="4" t="e">
        <f>(#REF!-#REF!)/#REF!</f>
        <v>#REF!</v>
      </c>
      <c r="C18" s="4" t="e">
        <f>(#REF!-#REF!)/#REF!</f>
        <v>#REF!</v>
      </c>
      <c r="D18" s="4" t="e">
        <f>LN(#REF!/#REF!)</f>
        <v>#REF!</v>
      </c>
      <c r="E18" s="4" t="e">
        <f t="shared" si="0"/>
        <v>#REF!</v>
      </c>
      <c r="F18" s="4" t="e" cm="1">
        <f t="array" ref="F18">AVERAGE(B18:B1525-$I$4/252)/_xlfn.STDEV.S(B18:B1525-$I$4)</f>
        <v>#REF!</v>
      </c>
      <c r="G18" s="4"/>
      <c r="H18" s="4"/>
      <c r="I18" s="4"/>
      <c r="J18" s="4"/>
      <c r="L18">
        <v>2022</v>
      </c>
      <c r="M18" t="e">
        <f>(#REF!-#REF!)/#REF!</f>
        <v>#REF!</v>
      </c>
      <c r="N18" t="e">
        <f>(#REF!-#REF!)/#REF!</f>
        <v>#REF!</v>
      </c>
    </row>
    <row r="19" spans="1:14" x14ac:dyDescent="0.2">
      <c r="A19" t="e">
        <f>LEFT(#REF!,10)</f>
        <v>#REF!</v>
      </c>
      <c r="B19" s="4" t="e">
        <f>(#REF!-#REF!)/#REF!</f>
        <v>#REF!</v>
      </c>
      <c r="C19" s="4" t="e">
        <f>(#REF!-#REF!)/#REF!</f>
        <v>#REF!</v>
      </c>
      <c r="D19" s="4" t="e">
        <f>LN(#REF!/#REF!)</f>
        <v>#REF!</v>
      </c>
      <c r="E19" s="4" t="e">
        <f t="shared" si="0"/>
        <v>#REF!</v>
      </c>
      <c r="F19" s="4" t="e" cm="1">
        <f t="array" ref="F19">AVERAGE(B19:B1526-$I$4/252)/_xlfn.STDEV.S(B19:B1526-$I$4)</f>
        <v>#REF!</v>
      </c>
      <c r="G19" s="4"/>
      <c r="H19" s="4"/>
      <c r="I19" s="4"/>
      <c r="J19" s="4"/>
      <c r="L19">
        <v>2023</v>
      </c>
      <c r="M19" t="e">
        <f>(#REF!-#REF!)/#REF!</f>
        <v>#REF!</v>
      </c>
      <c r="N19" t="e">
        <f>(#REF!-#REF!)/#REF!</f>
        <v>#REF!</v>
      </c>
    </row>
    <row r="20" spans="1:14" x14ac:dyDescent="0.2">
      <c r="A20" t="e">
        <f>LEFT(#REF!,10)</f>
        <v>#REF!</v>
      </c>
      <c r="B20" s="4" t="e">
        <f>(#REF!-#REF!)/#REF!</f>
        <v>#REF!</v>
      </c>
      <c r="C20" s="4" t="e">
        <f>(#REF!-#REF!)/#REF!</f>
        <v>#REF!</v>
      </c>
      <c r="D20" s="4" t="e">
        <f>LN(#REF!/#REF!)</f>
        <v>#REF!</v>
      </c>
      <c r="E20" s="4" t="e">
        <f t="shared" si="0"/>
        <v>#REF!</v>
      </c>
      <c r="F20" s="4" t="e" cm="1">
        <f t="array" ref="F20">AVERAGE(B20:B1527-$I$4/252)/_xlfn.STDEV.S(B20:B1527-$I$4)</f>
        <v>#REF!</v>
      </c>
      <c r="G20" s="4"/>
      <c r="H20" s="4"/>
      <c r="I20" s="4"/>
      <c r="J20" s="4"/>
      <c r="L20">
        <v>2024</v>
      </c>
      <c r="M20" t="e">
        <f>(#REF!-#REF!)/#REF!</f>
        <v>#REF!</v>
      </c>
      <c r="N20" t="e">
        <f>(#REF!-#REF!)/#REF!</f>
        <v>#REF!</v>
      </c>
    </row>
    <row r="21" spans="1:14" x14ac:dyDescent="0.2">
      <c r="A21" t="e">
        <f>LEFT(#REF!,10)</f>
        <v>#REF!</v>
      </c>
      <c r="B21" s="4" t="e">
        <f>(#REF!-#REF!)/#REF!</f>
        <v>#REF!</v>
      </c>
      <c r="C21" s="4" t="e">
        <f>(#REF!-#REF!)/#REF!</f>
        <v>#REF!</v>
      </c>
      <c r="D21" s="4" t="e">
        <f>LN(#REF!/#REF!)</f>
        <v>#REF!</v>
      </c>
      <c r="E21" s="4" t="e">
        <f t="shared" si="0"/>
        <v>#REF!</v>
      </c>
      <c r="F21" s="4" t="e" cm="1">
        <f t="array" ref="F21">AVERAGE(B21:B1528-$I$4/252)/_xlfn.STDEV.S(B21:B1528-$I$4)</f>
        <v>#REF!</v>
      </c>
      <c r="G21" s="4"/>
      <c r="H21" s="4"/>
      <c r="I21" s="4"/>
      <c r="J21" s="4"/>
    </row>
    <row r="22" spans="1:14" x14ac:dyDescent="0.2">
      <c r="A22" t="e">
        <f>LEFT(#REF!,10)</f>
        <v>#REF!</v>
      </c>
      <c r="B22" s="4" t="e">
        <f>(#REF!-#REF!)/#REF!</f>
        <v>#REF!</v>
      </c>
      <c r="C22" s="4" t="e">
        <f>(#REF!-#REF!)/#REF!</f>
        <v>#REF!</v>
      </c>
      <c r="D22" s="4" t="e">
        <f>LN(#REF!/#REF!)</f>
        <v>#REF!</v>
      </c>
      <c r="E22" s="4" t="e">
        <f t="shared" si="0"/>
        <v>#REF!</v>
      </c>
      <c r="F22" s="4" t="e" cm="1">
        <f t="array" ref="F22">AVERAGE(B22:B1529-$I$4/252)/_xlfn.STDEV.S(B22:B1529-$I$4)</f>
        <v>#REF!</v>
      </c>
      <c r="G22" s="4"/>
      <c r="H22" s="4"/>
      <c r="I22" s="4"/>
      <c r="J22" s="4"/>
    </row>
    <row r="23" spans="1:14" x14ac:dyDescent="0.2">
      <c r="A23" t="e">
        <f>LEFT(#REF!,10)</f>
        <v>#REF!</v>
      </c>
      <c r="B23" s="4" t="e">
        <f>(#REF!-#REF!)/#REF!</f>
        <v>#REF!</v>
      </c>
      <c r="C23" s="4" t="e">
        <f>(#REF!-#REF!)/#REF!</f>
        <v>#REF!</v>
      </c>
      <c r="D23" s="4" t="e">
        <f>LN(#REF!/#REF!)</f>
        <v>#REF!</v>
      </c>
      <c r="E23" s="4" t="e">
        <f t="shared" si="0"/>
        <v>#REF!</v>
      </c>
      <c r="F23" s="4" t="e" cm="1">
        <f t="array" ref="F23">AVERAGE(B23:B1530-$I$4/252)/_xlfn.STDEV.S(B23:B1530-$I$4)</f>
        <v>#REF!</v>
      </c>
      <c r="G23" s="4"/>
      <c r="H23" s="4"/>
      <c r="I23" s="4"/>
      <c r="J23" s="4"/>
    </row>
    <row r="24" spans="1:14" x14ac:dyDescent="0.2">
      <c r="A24" t="e">
        <f>LEFT(#REF!,10)</f>
        <v>#REF!</v>
      </c>
      <c r="B24" s="4" t="e">
        <f>(#REF!-#REF!)/#REF!</f>
        <v>#REF!</v>
      </c>
      <c r="C24" s="4" t="e">
        <f>(#REF!-#REF!)/#REF!</f>
        <v>#REF!</v>
      </c>
      <c r="D24" s="4" t="e">
        <f>LN(#REF!/#REF!)</f>
        <v>#REF!</v>
      </c>
      <c r="E24" s="4" t="e">
        <f t="shared" si="0"/>
        <v>#REF!</v>
      </c>
      <c r="F24" s="4" t="e" cm="1">
        <f t="array" ref="F24">AVERAGE(B24:B1531-$I$4/252)/_xlfn.STDEV.S(B24:B1531-$I$4)</f>
        <v>#REF!</v>
      </c>
      <c r="G24" s="4"/>
      <c r="H24" s="4"/>
      <c r="I24" s="4"/>
      <c r="J24" s="4"/>
    </row>
    <row r="25" spans="1:14" x14ac:dyDescent="0.2">
      <c r="A25" t="e">
        <f>LEFT(#REF!,10)</f>
        <v>#REF!</v>
      </c>
      <c r="B25" s="4" t="e">
        <f>(#REF!-#REF!)/#REF!</f>
        <v>#REF!</v>
      </c>
      <c r="C25" s="4" t="e">
        <f>(#REF!-#REF!)/#REF!</f>
        <v>#REF!</v>
      </c>
      <c r="D25" s="4" t="e">
        <f>LN(#REF!/#REF!)</f>
        <v>#REF!</v>
      </c>
      <c r="E25" s="4" t="e">
        <f t="shared" si="0"/>
        <v>#REF!</v>
      </c>
      <c r="F25" s="4" t="e" cm="1">
        <f t="array" ref="F25">AVERAGE(B25:B1532-$I$4/252)/_xlfn.STDEV.S(B25:B1532-$I$4)</f>
        <v>#REF!</v>
      </c>
      <c r="G25" s="4"/>
      <c r="H25" s="4"/>
      <c r="I25" s="4"/>
      <c r="J25" s="4"/>
    </row>
    <row r="26" spans="1:14" x14ac:dyDescent="0.2">
      <c r="A26" t="e">
        <f>LEFT(#REF!,10)</f>
        <v>#REF!</v>
      </c>
      <c r="B26" s="4" t="e">
        <f>(#REF!-#REF!)/#REF!</f>
        <v>#REF!</v>
      </c>
      <c r="C26" s="4" t="e">
        <f>(#REF!-#REF!)/#REF!</f>
        <v>#REF!</v>
      </c>
      <c r="D26" s="4" t="e">
        <f>LN(#REF!/#REF!)</f>
        <v>#REF!</v>
      </c>
      <c r="E26" s="4" t="e">
        <f t="shared" si="0"/>
        <v>#REF!</v>
      </c>
      <c r="F26" s="4" t="e" cm="1">
        <f t="array" ref="F26">AVERAGE(B26:B1533-$I$4/252)/_xlfn.STDEV.S(B26:B1533-$I$4)</f>
        <v>#REF!</v>
      </c>
      <c r="G26" s="4"/>
      <c r="H26" s="4"/>
      <c r="I26" s="4"/>
      <c r="J26" s="4"/>
    </row>
    <row r="27" spans="1:14" x14ac:dyDescent="0.2">
      <c r="A27" t="e">
        <f>LEFT(#REF!,10)</f>
        <v>#REF!</v>
      </c>
      <c r="B27" s="4" t="e">
        <f>(#REF!-#REF!)/#REF!</f>
        <v>#REF!</v>
      </c>
      <c r="C27" s="4" t="e">
        <f>(#REF!-#REF!)/#REF!</f>
        <v>#REF!</v>
      </c>
      <c r="D27" s="4" t="e">
        <f>LN(#REF!/#REF!)</f>
        <v>#REF!</v>
      </c>
      <c r="E27" s="4" t="e">
        <f t="shared" si="0"/>
        <v>#REF!</v>
      </c>
      <c r="F27" s="4" t="e" cm="1">
        <f t="array" ref="F27">AVERAGE(B27:B1534-$I$4/252)/_xlfn.STDEV.S(B27:B1534-$I$4)</f>
        <v>#REF!</v>
      </c>
      <c r="G27" s="4"/>
      <c r="H27" s="4"/>
      <c r="I27" s="4"/>
      <c r="J27" s="4"/>
    </row>
    <row r="28" spans="1:14" x14ac:dyDescent="0.2">
      <c r="A28" t="e">
        <f>LEFT(#REF!,10)</f>
        <v>#REF!</v>
      </c>
      <c r="B28" s="4" t="e">
        <f>(#REF!-#REF!)/#REF!</f>
        <v>#REF!</v>
      </c>
      <c r="C28" s="4" t="e">
        <f>(#REF!-#REF!)/#REF!</f>
        <v>#REF!</v>
      </c>
      <c r="D28" s="4" t="e">
        <f>LN(#REF!/#REF!)</f>
        <v>#REF!</v>
      </c>
      <c r="E28" s="4" t="e">
        <f t="shared" si="0"/>
        <v>#REF!</v>
      </c>
      <c r="F28" s="4" t="e" cm="1">
        <f t="array" ref="F28">AVERAGE(B28:B1535-$I$4/252)/_xlfn.STDEV.S(B28:B1535-$I$4)</f>
        <v>#REF!</v>
      </c>
      <c r="G28" s="4"/>
      <c r="H28" s="4"/>
      <c r="I28" s="4"/>
      <c r="J28" s="4"/>
    </row>
    <row r="29" spans="1:14" x14ac:dyDescent="0.2">
      <c r="A29" t="e">
        <f>LEFT(#REF!,10)</f>
        <v>#REF!</v>
      </c>
      <c r="B29" s="4" t="e">
        <f>(#REF!-#REF!)/#REF!</f>
        <v>#REF!</v>
      </c>
      <c r="C29" s="4" t="e">
        <f>(#REF!-#REF!)/#REF!</f>
        <v>#REF!</v>
      </c>
      <c r="D29" s="4" t="e">
        <f>LN(#REF!/#REF!)</f>
        <v>#REF!</v>
      </c>
      <c r="E29" s="4" t="e">
        <f t="shared" si="0"/>
        <v>#REF!</v>
      </c>
      <c r="F29" s="4" t="e" cm="1">
        <f t="array" ref="F29">AVERAGE(B29:B1536-$I$4/252)/_xlfn.STDEV.S(B29:B1536-$I$4)</f>
        <v>#REF!</v>
      </c>
      <c r="G29" s="4"/>
      <c r="H29" s="4"/>
      <c r="I29" s="4"/>
      <c r="J29" s="4"/>
    </row>
    <row r="30" spans="1:14" x14ac:dyDescent="0.2">
      <c r="A30" t="e">
        <f>LEFT(#REF!,10)</f>
        <v>#REF!</v>
      </c>
      <c r="B30" s="4" t="e">
        <f>(#REF!-#REF!)/#REF!</f>
        <v>#REF!</v>
      </c>
      <c r="C30" s="4" t="e">
        <f>(#REF!-#REF!)/#REF!</f>
        <v>#REF!</v>
      </c>
      <c r="D30" s="4" t="e">
        <f>LN(#REF!/#REF!)</f>
        <v>#REF!</v>
      </c>
      <c r="E30" s="4" t="e">
        <f t="shared" si="0"/>
        <v>#REF!</v>
      </c>
      <c r="F30" s="4" t="e" cm="1">
        <f t="array" ref="F30">AVERAGE(B30:B1537-$I$4/252)/_xlfn.STDEV.S(B30:B1537-$I$4)</f>
        <v>#REF!</v>
      </c>
      <c r="G30" s="4"/>
      <c r="H30" s="4"/>
      <c r="I30" s="4"/>
      <c r="J30" s="4"/>
    </row>
    <row r="31" spans="1:14" x14ac:dyDescent="0.2">
      <c r="A31" t="e">
        <f>LEFT(#REF!,10)</f>
        <v>#REF!</v>
      </c>
      <c r="B31" s="4" t="e">
        <f>(#REF!-#REF!)/#REF!</f>
        <v>#REF!</v>
      </c>
      <c r="C31" s="4" t="e">
        <f>(#REF!-#REF!)/#REF!</f>
        <v>#REF!</v>
      </c>
      <c r="D31" s="4" t="e">
        <f>LN(#REF!/#REF!)</f>
        <v>#REF!</v>
      </c>
      <c r="E31" s="4" t="e">
        <f t="shared" si="0"/>
        <v>#REF!</v>
      </c>
      <c r="F31" s="4" t="e" cm="1">
        <f t="array" ref="F31">AVERAGE(B31:B1538-$I$4/252)/_xlfn.STDEV.S(B31:B1538-$I$4)</f>
        <v>#REF!</v>
      </c>
      <c r="G31" s="4"/>
      <c r="H31" s="4"/>
      <c r="I31" s="4"/>
      <c r="J31" s="4"/>
    </row>
    <row r="32" spans="1:14" x14ac:dyDescent="0.2">
      <c r="A32" t="e">
        <f>LEFT(#REF!,10)</f>
        <v>#REF!</v>
      </c>
      <c r="B32" s="4" t="e">
        <f>(#REF!-#REF!)/#REF!</f>
        <v>#REF!</v>
      </c>
      <c r="C32" s="4" t="e">
        <f>(#REF!-#REF!)/#REF!</f>
        <v>#REF!</v>
      </c>
      <c r="D32" s="4" t="e">
        <f>LN(#REF!/#REF!)</f>
        <v>#REF!</v>
      </c>
      <c r="E32" s="4" t="e">
        <f t="shared" si="0"/>
        <v>#REF!</v>
      </c>
      <c r="F32" s="4" t="e" cm="1">
        <f t="array" ref="F32">AVERAGE(B32:B1539-$I$4/252)/_xlfn.STDEV.S(B32:B1539-$I$4)</f>
        <v>#REF!</v>
      </c>
      <c r="G32" s="4"/>
      <c r="H32" s="4"/>
      <c r="I32" s="4"/>
      <c r="J32" s="4"/>
    </row>
    <row r="33" spans="1:10" x14ac:dyDescent="0.2">
      <c r="A33" t="e">
        <f>LEFT(#REF!,10)</f>
        <v>#REF!</v>
      </c>
      <c r="B33" s="4" t="e">
        <f>(#REF!-#REF!)/#REF!</f>
        <v>#REF!</v>
      </c>
      <c r="C33" s="4" t="e">
        <f>(#REF!-#REF!)/#REF!</f>
        <v>#REF!</v>
      </c>
      <c r="D33" s="4" t="e">
        <f>LN(#REF!/#REF!)</f>
        <v>#REF!</v>
      </c>
      <c r="E33" s="4" t="e">
        <f t="shared" si="0"/>
        <v>#REF!</v>
      </c>
      <c r="F33" s="4" t="e" cm="1">
        <f t="array" ref="F33">AVERAGE(B33:B1540-$I$4/252)/_xlfn.STDEV.S(B33:B1540-$I$4)</f>
        <v>#REF!</v>
      </c>
      <c r="G33" s="4"/>
      <c r="H33" s="4"/>
      <c r="I33" s="4"/>
      <c r="J33" s="4"/>
    </row>
    <row r="34" spans="1:10" x14ac:dyDescent="0.2">
      <c r="A34" t="e">
        <f>LEFT(#REF!,10)</f>
        <v>#REF!</v>
      </c>
      <c r="B34" s="4" t="e">
        <f>(#REF!-#REF!)/#REF!</f>
        <v>#REF!</v>
      </c>
      <c r="C34" s="4" t="e">
        <f>(#REF!-#REF!)/#REF!</f>
        <v>#REF!</v>
      </c>
      <c r="D34" s="4" t="e">
        <f>LN(#REF!/#REF!)</f>
        <v>#REF!</v>
      </c>
      <c r="E34" s="4" t="e">
        <f t="shared" si="0"/>
        <v>#REF!</v>
      </c>
      <c r="F34" s="4" t="e" cm="1">
        <f t="array" ref="F34">AVERAGE(B34:B1541-$I$4/252)/_xlfn.STDEV.S(B34:B1541-$I$4)</f>
        <v>#REF!</v>
      </c>
      <c r="G34" s="4"/>
      <c r="H34" s="4"/>
      <c r="I34" s="4"/>
      <c r="J34" s="4"/>
    </row>
    <row r="35" spans="1:10" x14ac:dyDescent="0.2">
      <c r="A35" t="e">
        <f>LEFT(#REF!,10)</f>
        <v>#REF!</v>
      </c>
      <c r="B35" s="4" t="e">
        <f>(#REF!-#REF!)/#REF!</f>
        <v>#REF!</v>
      </c>
      <c r="C35" s="4" t="e">
        <f>(#REF!-#REF!)/#REF!</f>
        <v>#REF!</v>
      </c>
      <c r="D35" s="4" t="e">
        <f>LN(#REF!/#REF!)</f>
        <v>#REF!</v>
      </c>
      <c r="E35" s="4" t="e">
        <f t="shared" si="0"/>
        <v>#REF!</v>
      </c>
      <c r="F35" s="4" t="e" cm="1">
        <f t="array" ref="F35">AVERAGE(B35:B1542-$I$4/252)/_xlfn.STDEV.S(B35:B1542-$I$4)</f>
        <v>#REF!</v>
      </c>
      <c r="G35" s="4"/>
      <c r="H35" s="4"/>
      <c r="I35" s="4"/>
      <c r="J35" s="4"/>
    </row>
    <row r="36" spans="1:10" x14ac:dyDescent="0.2">
      <c r="A36" t="e">
        <f>LEFT(#REF!,10)</f>
        <v>#REF!</v>
      </c>
      <c r="B36" s="4" t="e">
        <f>(#REF!-#REF!)/#REF!</f>
        <v>#REF!</v>
      </c>
      <c r="C36" s="4" t="e">
        <f>(#REF!-#REF!)/#REF!</f>
        <v>#REF!</v>
      </c>
      <c r="D36" s="4" t="e">
        <f>LN(#REF!/#REF!)</f>
        <v>#REF!</v>
      </c>
      <c r="E36" s="4" t="e">
        <f t="shared" si="0"/>
        <v>#REF!</v>
      </c>
      <c r="F36" s="4" t="e" cm="1">
        <f t="array" ref="F36">AVERAGE(B36:B1543-$I$4/252)/_xlfn.STDEV.S(B36:B1543-$I$4)</f>
        <v>#REF!</v>
      </c>
      <c r="G36" s="4"/>
      <c r="H36" s="4"/>
      <c r="I36" s="4"/>
      <c r="J36" s="4"/>
    </row>
    <row r="37" spans="1:10" x14ac:dyDescent="0.2">
      <c r="A37" t="e">
        <f>LEFT(#REF!,10)</f>
        <v>#REF!</v>
      </c>
      <c r="B37" s="4" t="e">
        <f>(#REF!-#REF!)/#REF!</f>
        <v>#REF!</v>
      </c>
      <c r="C37" s="4" t="e">
        <f>(#REF!-#REF!)/#REF!</f>
        <v>#REF!</v>
      </c>
      <c r="D37" s="4" t="e">
        <f>LN(#REF!/#REF!)</f>
        <v>#REF!</v>
      </c>
      <c r="E37" s="4" t="e">
        <f t="shared" si="0"/>
        <v>#REF!</v>
      </c>
      <c r="F37" s="4" t="e" cm="1">
        <f t="array" ref="F37">AVERAGE(B37:B1544-$I$4/252)/_xlfn.STDEV.S(B37:B1544-$I$4)</f>
        <v>#REF!</v>
      </c>
      <c r="G37" s="4"/>
      <c r="H37" s="4"/>
      <c r="I37" s="4"/>
      <c r="J37" s="4"/>
    </row>
    <row r="38" spans="1:10" x14ac:dyDescent="0.2">
      <c r="A38" t="e">
        <f>LEFT(#REF!,10)</f>
        <v>#REF!</v>
      </c>
      <c r="B38" s="4" t="e">
        <f>(#REF!-#REF!)/#REF!</f>
        <v>#REF!</v>
      </c>
      <c r="C38" s="4" t="e">
        <f>(#REF!-#REF!)/#REF!</f>
        <v>#REF!</v>
      </c>
      <c r="D38" s="4" t="e">
        <f>LN(#REF!/#REF!)</f>
        <v>#REF!</v>
      </c>
      <c r="E38" s="4" t="e">
        <f t="shared" si="0"/>
        <v>#REF!</v>
      </c>
      <c r="F38" s="4" t="e" cm="1">
        <f t="array" ref="F38">AVERAGE(B38:B1545-$I$4/252)/_xlfn.STDEV.S(B38:B1545-$I$4)</f>
        <v>#REF!</v>
      </c>
      <c r="G38" s="4"/>
      <c r="H38" s="4"/>
      <c r="I38" s="4"/>
      <c r="J38" s="4"/>
    </row>
    <row r="39" spans="1:10" x14ac:dyDescent="0.2">
      <c r="A39" t="e">
        <f>LEFT(#REF!,10)</f>
        <v>#REF!</v>
      </c>
      <c r="B39" s="4" t="e">
        <f>(#REF!-#REF!)/#REF!</f>
        <v>#REF!</v>
      </c>
      <c r="C39" s="4" t="e">
        <f>(#REF!-#REF!)/#REF!</f>
        <v>#REF!</v>
      </c>
      <c r="D39" s="4" t="e">
        <f>LN(#REF!/#REF!)</f>
        <v>#REF!</v>
      </c>
      <c r="E39" s="4" t="e">
        <f t="shared" si="0"/>
        <v>#REF!</v>
      </c>
      <c r="F39" s="4" t="e" cm="1">
        <f t="array" ref="F39">AVERAGE(B39:B1546-$I$4/252)/_xlfn.STDEV.S(B39:B1546-$I$4)</f>
        <v>#REF!</v>
      </c>
      <c r="G39" s="4"/>
      <c r="H39" s="4"/>
      <c r="I39" s="4"/>
      <c r="J39" s="4"/>
    </row>
    <row r="40" spans="1:10" x14ac:dyDescent="0.2">
      <c r="A40" t="e">
        <f>LEFT(#REF!,10)</f>
        <v>#REF!</v>
      </c>
      <c r="B40" s="4" t="e">
        <f>(#REF!-#REF!)/#REF!</f>
        <v>#REF!</v>
      </c>
      <c r="C40" s="4" t="e">
        <f>(#REF!-#REF!)/#REF!</f>
        <v>#REF!</v>
      </c>
      <c r="D40" s="4" t="e">
        <f>LN(#REF!/#REF!)</f>
        <v>#REF!</v>
      </c>
      <c r="E40" s="4" t="e">
        <f t="shared" si="0"/>
        <v>#REF!</v>
      </c>
      <c r="F40" s="4" t="e" cm="1">
        <f t="array" ref="F40">AVERAGE(B40:B1547-$I$4/252)/_xlfn.STDEV.S(B40:B1547-$I$4)</f>
        <v>#REF!</v>
      </c>
      <c r="G40" s="4"/>
      <c r="H40" s="4"/>
      <c r="I40" s="4"/>
      <c r="J40" s="4"/>
    </row>
    <row r="41" spans="1:10" x14ac:dyDescent="0.2">
      <c r="A41" t="e">
        <f>LEFT(#REF!,10)</f>
        <v>#REF!</v>
      </c>
      <c r="B41" s="4" t="e">
        <f>(#REF!-#REF!)/#REF!</f>
        <v>#REF!</v>
      </c>
      <c r="C41" s="4" t="e">
        <f>(#REF!-#REF!)/#REF!</f>
        <v>#REF!</v>
      </c>
      <c r="D41" s="4" t="e">
        <f>LN(#REF!/#REF!)</f>
        <v>#REF!</v>
      </c>
      <c r="E41" s="4" t="e">
        <f t="shared" si="0"/>
        <v>#REF!</v>
      </c>
      <c r="F41" s="4" t="e" cm="1">
        <f t="array" ref="F41">AVERAGE(B41:B1548-$I$4/252)/_xlfn.STDEV.S(B41:B1548-$I$4)</f>
        <v>#REF!</v>
      </c>
      <c r="G41" s="4"/>
      <c r="H41" s="4"/>
      <c r="I41" s="4"/>
      <c r="J41" s="4"/>
    </row>
    <row r="42" spans="1:10" x14ac:dyDescent="0.2">
      <c r="A42" t="e">
        <f>LEFT(#REF!,10)</f>
        <v>#REF!</v>
      </c>
      <c r="B42" s="4" t="e">
        <f>(#REF!-#REF!)/#REF!</f>
        <v>#REF!</v>
      </c>
      <c r="C42" s="4" t="e">
        <f>(#REF!-#REF!)/#REF!</f>
        <v>#REF!</v>
      </c>
      <c r="D42" s="4" t="e">
        <f>LN(#REF!/#REF!)</f>
        <v>#REF!</v>
      </c>
      <c r="E42" s="4" t="e">
        <f t="shared" si="0"/>
        <v>#REF!</v>
      </c>
      <c r="F42" s="4" t="e" cm="1">
        <f t="array" ref="F42">AVERAGE(B42:B1549-$I$4/252)/_xlfn.STDEV.S(B42:B1549-$I$4)</f>
        <v>#REF!</v>
      </c>
      <c r="G42" s="4"/>
      <c r="H42" s="4"/>
      <c r="I42" s="4"/>
      <c r="J42" s="4"/>
    </row>
    <row r="43" spans="1:10" x14ac:dyDescent="0.2">
      <c r="A43" t="e">
        <f>LEFT(#REF!,10)</f>
        <v>#REF!</v>
      </c>
      <c r="B43" s="4" t="e">
        <f>(#REF!-#REF!)/#REF!</f>
        <v>#REF!</v>
      </c>
      <c r="C43" s="4" t="e">
        <f>(#REF!-#REF!)/#REF!</f>
        <v>#REF!</v>
      </c>
      <c r="D43" s="4" t="e">
        <f>LN(#REF!/#REF!)</f>
        <v>#REF!</v>
      </c>
      <c r="E43" s="4" t="e">
        <f t="shared" si="0"/>
        <v>#REF!</v>
      </c>
      <c r="F43" s="4" t="e" cm="1">
        <f t="array" ref="F43">AVERAGE(B43:B1550-$I$4/252)/_xlfn.STDEV.S(B43:B1550-$I$4)</f>
        <v>#REF!</v>
      </c>
      <c r="G43" s="4"/>
      <c r="H43" s="4"/>
      <c r="I43" s="4"/>
      <c r="J43" s="4"/>
    </row>
    <row r="44" spans="1:10" x14ac:dyDescent="0.2">
      <c r="A44" t="e">
        <f>LEFT(#REF!,10)</f>
        <v>#REF!</v>
      </c>
      <c r="B44" s="4" t="e">
        <f>(#REF!-#REF!)/#REF!</f>
        <v>#REF!</v>
      </c>
      <c r="C44" s="4" t="e">
        <f>(#REF!-#REF!)/#REF!</f>
        <v>#REF!</v>
      </c>
      <c r="D44" s="4" t="e">
        <f>LN(#REF!/#REF!)</f>
        <v>#REF!</v>
      </c>
      <c r="E44" s="4" t="e">
        <f t="shared" si="0"/>
        <v>#REF!</v>
      </c>
      <c r="F44" s="4" t="e" cm="1">
        <f t="array" ref="F44">AVERAGE(B44:B1551-$I$4/252)/_xlfn.STDEV.S(B44:B1551-$I$4)</f>
        <v>#REF!</v>
      </c>
      <c r="G44" s="4"/>
      <c r="H44" s="4"/>
      <c r="I44" s="4"/>
      <c r="J44" s="4"/>
    </row>
    <row r="45" spans="1:10" x14ac:dyDescent="0.2">
      <c r="A45" t="e">
        <f>LEFT(#REF!,10)</f>
        <v>#REF!</v>
      </c>
      <c r="B45" s="4" t="e">
        <f>(#REF!-#REF!)/#REF!</f>
        <v>#REF!</v>
      </c>
      <c r="C45" s="4" t="e">
        <f>(#REF!-#REF!)/#REF!</f>
        <v>#REF!</v>
      </c>
      <c r="D45" s="4" t="e">
        <f>LN(#REF!/#REF!)</f>
        <v>#REF!</v>
      </c>
      <c r="E45" s="4" t="e">
        <f t="shared" si="0"/>
        <v>#REF!</v>
      </c>
      <c r="F45" s="4" t="e" cm="1">
        <f t="array" ref="F45">AVERAGE(B45:B1552-$I$4/252)/_xlfn.STDEV.S(B45:B1552-$I$4)</f>
        <v>#REF!</v>
      </c>
      <c r="G45" s="4"/>
      <c r="H45" s="4"/>
      <c r="I45" s="4"/>
      <c r="J45" s="4"/>
    </row>
    <row r="46" spans="1:10" x14ac:dyDescent="0.2">
      <c r="A46" t="e">
        <f>LEFT(#REF!,10)</f>
        <v>#REF!</v>
      </c>
      <c r="B46" s="4" t="e">
        <f>(#REF!-#REF!)/#REF!</f>
        <v>#REF!</v>
      </c>
      <c r="C46" s="4" t="e">
        <f>(#REF!-#REF!)/#REF!</f>
        <v>#REF!</v>
      </c>
      <c r="D46" s="4" t="e">
        <f>LN(#REF!/#REF!)</f>
        <v>#REF!</v>
      </c>
      <c r="E46" s="4" t="e">
        <f t="shared" si="0"/>
        <v>#REF!</v>
      </c>
      <c r="F46" s="4" t="e" cm="1">
        <f t="array" ref="F46">AVERAGE(B46:B1553-$I$4/252)/_xlfn.STDEV.S(B46:B1553-$I$4)</f>
        <v>#REF!</v>
      </c>
      <c r="G46" s="4"/>
      <c r="H46" s="4"/>
      <c r="I46" s="4"/>
      <c r="J46" s="4"/>
    </row>
    <row r="47" spans="1:10" x14ac:dyDescent="0.2">
      <c r="A47" t="e">
        <f>LEFT(#REF!,10)</f>
        <v>#REF!</v>
      </c>
      <c r="B47" s="4" t="e">
        <f>(#REF!-#REF!)/#REF!</f>
        <v>#REF!</v>
      </c>
      <c r="C47" s="4" t="e">
        <f>(#REF!-#REF!)/#REF!</f>
        <v>#REF!</v>
      </c>
      <c r="D47" s="4" t="e">
        <f>LN(#REF!/#REF!)</f>
        <v>#REF!</v>
      </c>
      <c r="E47" s="4" t="e">
        <f t="shared" si="0"/>
        <v>#REF!</v>
      </c>
      <c r="F47" s="4" t="e" cm="1">
        <f t="array" ref="F47">AVERAGE(B47:B1554-$I$4/252)/_xlfn.STDEV.S(B47:B1554-$I$4)</f>
        <v>#REF!</v>
      </c>
      <c r="G47" s="4"/>
      <c r="H47" s="4"/>
      <c r="I47" s="4"/>
      <c r="J47" s="4"/>
    </row>
    <row r="48" spans="1:10" x14ac:dyDescent="0.2">
      <c r="A48" t="e">
        <f>LEFT(#REF!,10)</f>
        <v>#REF!</v>
      </c>
      <c r="B48" s="4" t="e">
        <f>(#REF!-#REF!)/#REF!</f>
        <v>#REF!</v>
      </c>
      <c r="C48" s="4" t="e">
        <f>(#REF!-#REF!)/#REF!</f>
        <v>#REF!</v>
      </c>
      <c r="D48" s="4" t="e">
        <f>LN(#REF!/#REF!)</f>
        <v>#REF!</v>
      </c>
      <c r="E48" s="4" t="e">
        <f t="shared" si="0"/>
        <v>#REF!</v>
      </c>
      <c r="F48" s="4" t="e" cm="1">
        <f t="array" ref="F48">AVERAGE(B48:B1555-$I$4/252)/_xlfn.STDEV.S(B48:B1555-$I$4)</f>
        <v>#REF!</v>
      </c>
      <c r="G48" s="4"/>
      <c r="H48" s="4"/>
      <c r="I48" s="4"/>
      <c r="J48" s="4"/>
    </row>
    <row r="49" spans="1:10" x14ac:dyDescent="0.2">
      <c r="A49" t="e">
        <f>LEFT(#REF!,10)</f>
        <v>#REF!</v>
      </c>
      <c r="B49" s="4" t="e">
        <f>(#REF!-#REF!)/#REF!</f>
        <v>#REF!</v>
      </c>
      <c r="C49" s="4" t="e">
        <f>(#REF!-#REF!)/#REF!</f>
        <v>#REF!</v>
      </c>
      <c r="D49" s="4" t="e">
        <f>LN(#REF!/#REF!)</f>
        <v>#REF!</v>
      </c>
      <c r="E49" s="4" t="e">
        <f t="shared" si="0"/>
        <v>#REF!</v>
      </c>
      <c r="F49" s="4" t="e" cm="1">
        <f t="array" ref="F49">AVERAGE(B49:B1556-$I$4/252)/_xlfn.STDEV.S(B49:B1556-$I$4)</f>
        <v>#REF!</v>
      </c>
      <c r="G49" s="4"/>
      <c r="H49" s="4"/>
      <c r="I49" s="4"/>
      <c r="J49" s="4"/>
    </row>
    <row r="50" spans="1:10" x14ac:dyDescent="0.2">
      <c r="A50" t="e">
        <f>LEFT(#REF!,10)</f>
        <v>#REF!</v>
      </c>
      <c r="B50" s="4" t="e">
        <f>(#REF!-#REF!)/#REF!</f>
        <v>#REF!</v>
      </c>
      <c r="C50" s="4" t="e">
        <f>(#REF!-#REF!)/#REF!</f>
        <v>#REF!</v>
      </c>
      <c r="D50" s="4" t="e">
        <f>LN(#REF!/#REF!)</f>
        <v>#REF!</v>
      </c>
      <c r="E50" s="4" t="e">
        <f t="shared" si="0"/>
        <v>#REF!</v>
      </c>
      <c r="F50" s="4" t="e" cm="1">
        <f t="array" ref="F50">AVERAGE(B50:B1557-$I$4/252)/_xlfn.STDEV.S(B50:B1557-$I$4)</f>
        <v>#REF!</v>
      </c>
      <c r="G50" s="4"/>
      <c r="H50" s="4"/>
      <c r="I50" s="4"/>
      <c r="J50" s="4"/>
    </row>
    <row r="51" spans="1:10" x14ac:dyDescent="0.2">
      <c r="A51" t="e">
        <f>LEFT(#REF!,10)</f>
        <v>#REF!</v>
      </c>
      <c r="B51" s="4" t="e">
        <f>(#REF!-#REF!)/#REF!</f>
        <v>#REF!</v>
      </c>
      <c r="C51" s="4" t="e">
        <f>(#REF!-#REF!)/#REF!</f>
        <v>#REF!</v>
      </c>
      <c r="D51" s="4" t="e">
        <f>LN(#REF!/#REF!)</f>
        <v>#REF!</v>
      </c>
      <c r="E51" s="4" t="e">
        <f t="shared" si="0"/>
        <v>#REF!</v>
      </c>
      <c r="F51" s="4" t="e" cm="1">
        <f t="array" ref="F51">AVERAGE(B51:B1558-$I$4/252)/_xlfn.STDEV.S(B51:B1558-$I$4)</f>
        <v>#REF!</v>
      </c>
      <c r="G51" s="4"/>
      <c r="H51" s="4"/>
      <c r="I51" s="4"/>
      <c r="J51" s="4"/>
    </row>
    <row r="52" spans="1:10" x14ac:dyDescent="0.2">
      <c r="A52" t="e">
        <f>LEFT(#REF!,10)</f>
        <v>#REF!</v>
      </c>
      <c r="B52" s="4" t="e">
        <f>(#REF!-#REF!)/#REF!</f>
        <v>#REF!</v>
      </c>
      <c r="C52" s="4" t="e">
        <f>(#REF!-#REF!)/#REF!</f>
        <v>#REF!</v>
      </c>
      <c r="D52" s="4" t="e">
        <f>LN(#REF!/#REF!)</f>
        <v>#REF!</v>
      </c>
      <c r="E52" s="4" t="e">
        <f t="shared" si="0"/>
        <v>#REF!</v>
      </c>
      <c r="F52" s="4" t="e" cm="1">
        <f t="array" ref="F52">AVERAGE(B52:B1559-$I$4/252)/_xlfn.STDEV.S(B52:B1559-$I$4)</f>
        <v>#REF!</v>
      </c>
      <c r="G52" s="4"/>
      <c r="H52" s="4"/>
      <c r="I52" s="4"/>
      <c r="J52" s="4"/>
    </row>
    <row r="53" spans="1:10" x14ac:dyDescent="0.2">
      <c r="A53" t="e">
        <f>LEFT(#REF!,10)</f>
        <v>#REF!</v>
      </c>
      <c r="B53" s="4" t="e">
        <f>(#REF!-#REF!)/#REF!</f>
        <v>#REF!</v>
      </c>
      <c r="C53" s="4" t="e">
        <f>(#REF!-#REF!)/#REF!</f>
        <v>#REF!</v>
      </c>
      <c r="D53" s="4" t="e">
        <f>LN(#REF!/#REF!)</f>
        <v>#REF!</v>
      </c>
      <c r="E53" s="4" t="e">
        <f t="shared" si="0"/>
        <v>#REF!</v>
      </c>
      <c r="F53" s="4" t="e" cm="1">
        <f t="array" ref="F53">AVERAGE(B53:B1560-$I$4/252)/_xlfn.STDEV.S(B53:B1560-$I$4)</f>
        <v>#REF!</v>
      </c>
      <c r="G53" s="4"/>
      <c r="H53" s="4"/>
      <c r="I53" s="4"/>
      <c r="J53" s="4"/>
    </row>
    <row r="54" spans="1:10" x14ac:dyDescent="0.2">
      <c r="A54" t="e">
        <f>LEFT(#REF!,10)</f>
        <v>#REF!</v>
      </c>
      <c r="B54" s="4" t="e">
        <f>(#REF!-#REF!)/#REF!</f>
        <v>#REF!</v>
      </c>
      <c r="C54" s="4" t="e">
        <f>(#REF!-#REF!)/#REF!</f>
        <v>#REF!</v>
      </c>
      <c r="D54" s="4" t="e">
        <f>LN(#REF!/#REF!)</f>
        <v>#REF!</v>
      </c>
      <c r="E54" s="4" t="e">
        <f t="shared" si="0"/>
        <v>#REF!</v>
      </c>
      <c r="F54" s="4" t="e" cm="1">
        <f t="array" ref="F54">AVERAGE(B54:B1561-$I$4/252)/_xlfn.STDEV.S(B54:B1561-$I$4)</f>
        <v>#REF!</v>
      </c>
      <c r="G54" s="4"/>
      <c r="H54" s="4"/>
      <c r="I54" s="4"/>
      <c r="J54" s="4"/>
    </row>
    <row r="55" spans="1:10" x14ac:dyDescent="0.2">
      <c r="A55" t="e">
        <f>LEFT(#REF!,10)</f>
        <v>#REF!</v>
      </c>
      <c r="B55" s="4" t="e">
        <f>(#REF!-#REF!)/#REF!</f>
        <v>#REF!</v>
      </c>
      <c r="C55" s="4" t="e">
        <f>(#REF!-#REF!)/#REF!</f>
        <v>#REF!</v>
      </c>
      <c r="D55" s="4" t="e">
        <f>LN(#REF!/#REF!)</f>
        <v>#REF!</v>
      </c>
      <c r="E55" s="4" t="e">
        <f t="shared" si="0"/>
        <v>#REF!</v>
      </c>
      <c r="F55" s="4" t="e" cm="1">
        <f t="array" ref="F55">AVERAGE(B55:B1562-$I$4/252)/_xlfn.STDEV.S(B55:B1562-$I$4)</f>
        <v>#REF!</v>
      </c>
      <c r="G55" s="4"/>
      <c r="H55" s="4"/>
      <c r="I55" s="4"/>
      <c r="J55" s="4"/>
    </row>
    <row r="56" spans="1:10" x14ac:dyDescent="0.2">
      <c r="A56" t="e">
        <f>LEFT(#REF!,10)</f>
        <v>#REF!</v>
      </c>
      <c r="B56" s="4" t="e">
        <f>(#REF!-#REF!)/#REF!</f>
        <v>#REF!</v>
      </c>
      <c r="C56" s="4" t="e">
        <f>(#REF!-#REF!)/#REF!</f>
        <v>#REF!</v>
      </c>
      <c r="D56" s="4" t="e">
        <f>LN(#REF!/#REF!)</f>
        <v>#REF!</v>
      </c>
      <c r="E56" s="4" t="e">
        <f t="shared" si="0"/>
        <v>#REF!</v>
      </c>
      <c r="F56" s="4" t="e" cm="1">
        <f t="array" ref="F56">AVERAGE(B56:B1563-$I$4/252)/_xlfn.STDEV.S(B56:B1563-$I$4)</f>
        <v>#REF!</v>
      </c>
      <c r="G56" s="4"/>
      <c r="H56" s="4"/>
      <c r="I56" s="4"/>
      <c r="J56" s="4"/>
    </row>
    <row r="57" spans="1:10" x14ac:dyDescent="0.2">
      <c r="A57" t="e">
        <f>LEFT(#REF!,10)</f>
        <v>#REF!</v>
      </c>
      <c r="B57" s="4" t="e">
        <f>(#REF!-#REF!)/#REF!</f>
        <v>#REF!</v>
      </c>
      <c r="C57" s="4" t="e">
        <f>(#REF!-#REF!)/#REF!</f>
        <v>#REF!</v>
      </c>
      <c r="D57" s="4" t="e">
        <f>LN(#REF!/#REF!)</f>
        <v>#REF!</v>
      </c>
      <c r="E57" s="4" t="e">
        <f t="shared" si="0"/>
        <v>#REF!</v>
      </c>
      <c r="F57" s="4" t="e" cm="1">
        <f t="array" ref="F57">AVERAGE(B57:B1564-$I$4/252)/_xlfn.STDEV.S(B57:B1564-$I$4)</f>
        <v>#REF!</v>
      </c>
      <c r="G57" s="4"/>
      <c r="H57" s="4"/>
      <c r="I57" s="4"/>
      <c r="J57" s="4"/>
    </row>
    <row r="58" spans="1:10" x14ac:dyDescent="0.2">
      <c r="A58" t="e">
        <f>LEFT(#REF!,10)</f>
        <v>#REF!</v>
      </c>
      <c r="B58" s="4" t="e">
        <f>(#REF!-#REF!)/#REF!</f>
        <v>#REF!</v>
      </c>
      <c r="C58" s="4" t="e">
        <f>(#REF!-#REF!)/#REF!</f>
        <v>#REF!</v>
      </c>
      <c r="D58" s="4" t="e">
        <f>LN(#REF!/#REF!)</f>
        <v>#REF!</v>
      </c>
      <c r="E58" s="4" t="e">
        <f t="shared" si="0"/>
        <v>#REF!</v>
      </c>
      <c r="F58" s="4" t="e" cm="1">
        <f t="array" ref="F58">AVERAGE(B58:B1565-$I$4/252)/_xlfn.STDEV.S(B58:B1565-$I$4)</f>
        <v>#REF!</v>
      </c>
      <c r="G58" s="4"/>
      <c r="H58" s="4"/>
      <c r="I58" s="4"/>
      <c r="J58" s="4"/>
    </row>
    <row r="59" spans="1:10" x14ac:dyDescent="0.2">
      <c r="A59" t="e">
        <f>LEFT(#REF!,10)</f>
        <v>#REF!</v>
      </c>
      <c r="B59" s="4" t="e">
        <f>(#REF!-#REF!)/#REF!</f>
        <v>#REF!</v>
      </c>
      <c r="C59" s="4" t="e">
        <f>(#REF!-#REF!)/#REF!</f>
        <v>#REF!</v>
      </c>
      <c r="D59" s="4" t="e">
        <f>LN(#REF!/#REF!)</f>
        <v>#REF!</v>
      </c>
      <c r="E59" s="4" t="e">
        <f t="shared" si="0"/>
        <v>#REF!</v>
      </c>
      <c r="F59" s="4" t="e" cm="1">
        <f t="array" ref="F59">AVERAGE(B59:B1566-$I$4/252)/_xlfn.STDEV.S(B59:B1566-$I$4)</f>
        <v>#REF!</v>
      </c>
      <c r="G59" s="4"/>
      <c r="H59" s="4"/>
      <c r="I59" s="4"/>
      <c r="J59" s="4"/>
    </row>
    <row r="60" spans="1:10" x14ac:dyDescent="0.2">
      <c r="A60" t="e">
        <f>LEFT(#REF!,10)</f>
        <v>#REF!</v>
      </c>
      <c r="B60" s="4" t="e">
        <f>(#REF!-#REF!)/#REF!</f>
        <v>#REF!</v>
      </c>
      <c r="C60" s="4" t="e">
        <f>(#REF!-#REF!)/#REF!</f>
        <v>#REF!</v>
      </c>
      <c r="D60" s="4" t="e">
        <f>LN(#REF!/#REF!)</f>
        <v>#REF!</v>
      </c>
      <c r="E60" s="4" t="e">
        <f t="shared" si="0"/>
        <v>#REF!</v>
      </c>
      <c r="F60" s="4" t="e" cm="1">
        <f t="array" ref="F60">AVERAGE(B60:B1567-$I$4/252)/_xlfn.STDEV.S(B60:B1567-$I$4)</f>
        <v>#REF!</v>
      </c>
      <c r="G60" s="4"/>
      <c r="H60" s="4"/>
      <c r="I60" s="4"/>
      <c r="J60" s="4"/>
    </row>
    <row r="61" spans="1:10" x14ac:dyDescent="0.2">
      <c r="A61" t="e">
        <f>LEFT(#REF!,10)</f>
        <v>#REF!</v>
      </c>
      <c r="B61" s="4" t="e">
        <f>(#REF!-#REF!)/#REF!</f>
        <v>#REF!</v>
      </c>
      <c r="C61" s="4" t="e">
        <f>(#REF!-#REF!)/#REF!</f>
        <v>#REF!</v>
      </c>
      <c r="D61" s="4" t="e">
        <f>LN(#REF!/#REF!)</f>
        <v>#REF!</v>
      </c>
      <c r="E61" s="4" t="e">
        <f t="shared" si="0"/>
        <v>#REF!</v>
      </c>
      <c r="F61" s="4" t="e" cm="1">
        <f t="array" ref="F61">AVERAGE(B61:B1568-$I$4/252)/_xlfn.STDEV.S(B61:B1568-$I$4)</f>
        <v>#REF!</v>
      </c>
      <c r="G61" s="4"/>
      <c r="H61" s="4"/>
      <c r="I61" s="4"/>
      <c r="J61" s="4"/>
    </row>
    <row r="62" spans="1:10" x14ac:dyDescent="0.2">
      <c r="A62" t="e">
        <f>LEFT(#REF!,10)</f>
        <v>#REF!</v>
      </c>
      <c r="B62" s="4" t="e">
        <f>(#REF!-#REF!)/#REF!</f>
        <v>#REF!</v>
      </c>
      <c r="C62" s="4" t="e">
        <f>(#REF!-#REF!)/#REF!</f>
        <v>#REF!</v>
      </c>
      <c r="D62" s="4" t="e">
        <f>LN(#REF!/#REF!)</f>
        <v>#REF!</v>
      </c>
      <c r="E62" s="4" t="e">
        <f t="shared" si="0"/>
        <v>#REF!</v>
      </c>
      <c r="F62" s="4" t="e" cm="1">
        <f t="array" ref="F62">AVERAGE(B62:B1569-$I$4/252)/_xlfn.STDEV.S(B62:B1569-$I$4)</f>
        <v>#REF!</v>
      </c>
      <c r="G62" s="4"/>
      <c r="H62" s="4"/>
      <c r="I62" s="4"/>
      <c r="J62" s="4"/>
    </row>
    <row r="63" spans="1:10" x14ac:dyDescent="0.2">
      <c r="A63" t="e">
        <f>LEFT(#REF!,10)</f>
        <v>#REF!</v>
      </c>
      <c r="B63" s="4" t="e">
        <f>(#REF!-#REF!)/#REF!</f>
        <v>#REF!</v>
      </c>
      <c r="C63" s="4" t="e">
        <f>(#REF!-#REF!)/#REF!</f>
        <v>#REF!</v>
      </c>
      <c r="D63" s="4" t="e">
        <f>LN(#REF!/#REF!)</f>
        <v>#REF!</v>
      </c>
      <c r="E63" s="4" t="e">
        <f t="shared" si="0"/>
        <v>#REF!</v>
      </c>
      <c r="F63" s="4" t="e" cm="1">
        <f t="array" ref="F63">AVERAGE(B63:B1570-$I$4/252)/_xlfn.STDEV.S(B63:B1570-$I$4)</f>
        <v>#REF!</v>
      </c>
      <c r="G63" s="4"/>
      <c r="H63" s="4"/>
      <c r="I63" s="4"/>
      <c r="J63" s="4"/>
    </row>
    <row r="64" spans="1:10" x14ac:dyDescent="0.2">
      <c r="A64" t="e">
        <f>LEFT(#REF!,10)</f>
        <v>#REF!</v>
      </c>
      <c r="B64" s="4" t="e">
        <f>(#REF!-#REF!)/#REF!</f>
        <v>#REF!</v>
      </c>
      <c r="C64" s="4" t="e">
        <f>(#REF!-#REF!)/#REF!</f>
        <v>#REF!</v>
      </c>
      <c r="D64" s="4" t="e">
        <f>LN(#REF!/#REF!)</f>
        <v>#REF!</v>
      </c>
      <c r="E64" s="4" t="e">
        <f t="shared" si="0"/>
        <v>#REF!</v>
      </c>
      <c r="F64" s="4" t="e" cm="1">
        <f t="array" ref="F64">AVERAGE(B64:B1571-$I$4/252)/_xlfn.STDEV.S(B64:B1571-$I$4)</f>
        <v>#REF!</v>
      </c>
      <c r="G64" s="4"/>
      <c r="H64" s="4"/>
      <c r="I64" s="4"/>
      <c r="J64" s="4"/>
    </row>
    <row r="65" spans="1:10" x14ac:dyDescent="0.2">
      <c r="A65" t="e">
        <f>LEFT(#REF!,10)</f>
        <v>#REF!</v>
      </c>
      <c r="B65" s="4" t="e">
        <f>(#REF!-#REF!)/#REF!</f>
        <v>#REF!</v>
      </c>
      <c r="C65" s="4" t="e">
        <f>(#REF!-#REF!)/#REF!</f>
        <v>#REF!</v>
      </c>
      <c r="D65" s="4" t="e">
        <f>LN(#REF!/#REF!)</f>
        <v>#REF!</v>
      </c>
      <c r="E65" s="4" t="e">
        <f t="shared" si="0"/>
        <v>#REF!</v>
      </c>
      <c r="F65" s="4" t="e" cm="1">
        <f t="array" ref="F65">AVERAGE(B65:B1572-$I$4/252)/_xlfn.STDEV.S(B65:B1572-$I$4)</f>
        <v>#REF!</v>
      </c>
      <c r="G65" s="4"/>
      <c r="H65" s="4"/>
      <c r="I65" s="4"/>
      <c r="J65" s="4"/>
    </row>
    <row r="66" spans="1:10" x14ac:dyDescent="0.2">
      <c r="A66" t="e">
        <f>LEFT(#REF!,10)</f>
        <v>#REF!</v>
      </c>
      <c r="B66" s="4" t="e">
        <f>(#REF!-#REF!)/#REF!</f>
        <v>#REF!</v>
      </c>
      <c r="C66" s="4" t="e">
        <f>(#REF!-#REF!)/#REF!</f>
        <v>#REF!</v>
      </c>
      <c r="D66" s="4" t="e">
        <f>LN(#REF!/#REF!)</f>
        <v>#REF!</v>
      </c>
      <c r="E66" s="4" t="e">
        <f t="shared" si="0"/>
        <v>#REF!</v>
      </c>
      <c r="F66" s="4" t="e" cm="1">
        <f t="array" ref="F66">AVERAGE(B66:B1573-$I$4/252)/_xlfn.STDEV.S(B66:B1573-$I$4)</f>
        <v>#REF!</v>
      </c>
      <c r="G66" s="4"/>
      <c r="H66" s="4"/>
      <c r="I66" s="4"/>
      <c r="J66" s="4"/>
    </row>
    <row r="67" spans="1:10" x14ac:dyDescent="0.2">
      <c r="A67" t="e">
        <f>LEFT(#REF!,10)</f>
        <v>#REF!</v>
      </c>
      <c r="B67" s="4" t="e">
        <f>(#REF!-#REF!)/#REF!</f>
        <v>#REF!</v>
      </c>
      <c r="C67" s="4" t="e">
        <f>(#REF!-#REF!)/#REF!</f>
        <v>#REF!</v>
      </c>
      <c r="D67" s="4" t="e">
        <f>LN(#REF!/#REF!)</f>
        <v>#REF!</v>
      </c>
      <c r="E67" s="4" t="e">
        <f t="shared" si="0"/>
        <v>#REF!</v>
      </c>
      <c r="F67" s="4" t="e" cm="1">
        <f t="array" ref="F67">AVERAGE(B67:B1574-$I$4/252)/_xlfn.STDEV.S(B67:B1574-$I$4)</f>
        <v>#REF!</v>
      </c>
      <c r="G67" s="4"/>
      <c r="H67" s="4"/>
      <c r="I67" s="4"/>
      <c r="J67" s="4"/>
    </row>
    <row r="68" spans="1:10" x14ac:dyDescent="0.2">
      <c r="A68" t="e">
        <f>LEFT(#REF!,10)</f>
        <v>#REF!</v>
      </c>
      <c r="B68" s="4" t="e">
        <f>(#REF!-#REF!)/#REF!</f>
        <v>#REF!</v>
      </c>
      <c r="C68" s="4" t="e">
        <f>(#REF!-#REF!)/#REF!</f>
        <v>#REF!</v>
      </c>
      <c r="D68" s="4" t="e">
        <f>LN(#REF!/#REF!)</f>
        <v>#REF!</v>
      </c>
      <c r="E68" s="4" t="e">
        <f t="shared" si="0"/>
        <v>#REF!</v>
      </c>
      <c r="F68" s="4" t="e" cm="1">
        <f t="array" ref="F68">AVERAGE(B68:B1575-$I$4/252)/_xlfn.STDEV.S(B68:B1575-$I$4)</f>
        <v>#REF!</v>
      </c>
      <c r="G68" s="4"/>
      <c r="H68" s="4"/>
      <c r="I68" s="4"/>
      <c r="J68" s="4"/>
    </row>
    <row r="69" spans="1:10" x14ac:dyDescent="0.2">
      <c r="A69" t="e">
        <f>LEFT(#REF!,10)</f>
        <v>#REF!</v>
      </c>
      <c r="B69" s="4" t="e">
        <f>(#REF!-#REF!)/#REF!</f>
        <v>#REF!</v>
      </c>
      <c r="C69" s="4" t="e">
        <f>(#REF!-#REF!)/#REF!</f>
        <v>#REF!</v>
      </c>
      <c r="D69" s="4" t="e">
        <f>LN(#REF!/#REF!)</f>
        <v>#REF!</v>
      </c>
      <c r="E69" s="4" t="e">
        <f t="shared" ref="E69:E132" si="2">_xlfn.STDEV.S(D69:D88)</f>
        <v>#REF!</v>
      </c>
      <c r="F69" s="4" t="e" cm="1">
        <f t="array" ref="F69">AVERAGE(B69:B1576-$I$4/252)/_xlfn.STDEV.S(B69:B1576-$I$4)</f>
        <v>#REF!</v>
      </c>
      <c r="G69" s="4"/>
      <c r="H69" s="4"/>
      <c r="I69" s="4"/>
      <c r="J69" s="4"/>
    </row>
    <row r="70" spans="1:10" x14ac:dyDescent="0.2">
      <c r="A70" t="e">
        <f>LEFT(#REF!,10)</f>
        <v>#REF!</v>
      </c>
      <c r="B70" s="4" t="e">
        <f>(#REF!-#REF!)/#REF!</f>
        <v>#REF!</v>
      </c>
      <c r="C70" s="4" t="e">
        <f>(#REF!-#REF!)/#REF!</f>
        <v>#REF!</v>
      </c>
      <c r="D70" s="4" t="e">
        <f>LN(#REF!/#REF!)</f>
        <v>#REF!</v>
      </c>
      <c r="E70" s="4" t="e">
        <f t="shared" si="2"/>
        <v>#REF!</v>
      </c>
      <c r="F70" s="4" t="e" cm="1">
        <f t="array" ref="F70">AVERAGE(B70:B1577-$I$4/252)/_xlfn.STDEV.S(B70:B1577-$I$4)</f>
        <v>#REF!</v>
      </c>
      <c r="G70" s="4"/>
      <c r="H70" s="4"/>
      <c r="I70" s="4"/>
      <c r="J70" s="4"/>
    </row>
    <row r="71" spans="1:10" x14ac:dyDescent="0.2">
      <c r="A71" t="e">
        <f>LEFT(#REF!,10)</f>
        <v>#REF!</v>
      </c>
      <c r="B71" s="4" t="e">
        <f>(#REF!-#REF!)/#REF!</f>
        <v>#REF!</v>
      </c>
      <c r="C71" s="4" t="e">
        <f>(#REF!-#REF!)/#REF!</f>
        <v>#REF!</v>
      </c>
      <c r="D71" s="4" t="e">
        <f>LN(#REF!/#REF!)</f>
        <v>#REF!</v>
      </c>
      <c r="E71" s="4" t="e">
        <f t="shared" si="2"/>
        <v>#REF!</v>
      </c>
      <c r="F71" s="4" t="e" cm="1">
        <f t="array" ref="F71">AVERAGE(B71:B1578-$I$4/252)/_xlfn.STDEV.S(B71:B1578-$I$4)</f>
        <v>#REF!</v>
      </c>
      <c r="G71" s="4"/>
      <c r="H71" s="4"/>
      <c r="I71" s="4"/>
      <c r="J71" s="4"/>
    </row>
    <row r="72" spans="1:10" x14ac:dyDescent="0.2">
      <c r="A72" t="e">
        <f>LEFT(#REF!,10)</f>
        <v>#REF!</v>
      </c>
      <c r="B72" s="4" t="e">
        <f>(#REF!-#REF!)/#REF!</f>
        <v>#REF!</v>
      </c>
      <c r="C72" s="4" t="e">
        <f>(#REF!-#REF!)/#REF!</f>
        <v>#REF!</v>
      </c>
      <c r="D72" s="4" t="e">
        <f>LN(#REF!/#REF!)</f>
        <v>#REF!</v>
      </c>
      <c r="E72" s="4" t="e">
        <f t="shared" si="2"/>
        <v>#REF!</v>
      </c>
      <c r="F72" s="4" t="e" cm="1">
        <f t="array" ref="F72">AVERAGE(B72:B1579-$I$4/252)/_xlfn.STDEV.S(B72:B1579-$I$4)</f>
        <v>#REF!</v>
      </c>
      <c r="G72" s="4"/>
      <c r="H72" s="4"/>
      <c r="I72" s="4"/>
      <c r="J72" s="4"/>
    </row>
    <row r="73" spans="1:10" x14ac:dyDescent="0.2">
      <c r="A73" t="e">
        <f>LEFT(#REF!,10)</f>
        <v>#REF!</v>
      </c>
      <c r="B73" s="4" t="e">
        <f>(#REF!-#REF!)/#REF!</f>
        <v>#REF!</v>
      </c>
      <c r="C73" s="4" t="e">
        <f>(#REF!-#REF!)/#REF!</f>
        <v>#REF!</v>
      </c>
      <c r="D73" s="4" t="e">
        <f>LN(#REF!/#REF!)</f>
        <v>#REF!</v>
      </c>
      <c r="E73" s="4" t="e">
        <f t="shared" si="2"/>
        <v>#REF!</v>
      </c>
      <c r="F73" s="4" t="e" cm="1">
        <f t="array" ref="F73">AVERAGE(B73:B1580-$I$4/252)/_xlfn.STDEV.S(B73:B1580-$I$4)</f>
        <v>#REF!</v>
      </c>
      <c r="G73" s="4"/>
      <c r="H73" s="4"/>
      <c r="I73" s="4"/>
      <c r="J73" s="4"/>
    </row>
    <row r="74" spans="1:10" x14ac:dyDescent="0.2">
      <c r="A74" t="e">
        <f>LEFT(#REF!,10)</f>
        <v>#REF!</v>
      </c>
      <c r="B74" s="4" t="e">
        <f>(#REF!-#REF!)/#REF!</f>
        <v>#REF!</v>
      </c>
      <c r="C74" s="4" t="e">
        <f>(#REF!-#REF!)/#REF!</f>
        <v>#REF!</v>
      </c>
      <c r="D74" s="4" t="e">
        <f>LN(#REF!/#REF!)</f>
        <v>#REF!</v>
      </c>
      <c r="E74" s="4" t="e">
        <f t="shared" si="2"/>
        <v>#REF!</v>
      </c>
      <c r="F74" s="4" t="e" cm="1">
        <f t="array" ref="F74">AVERAGE(B74:B1581-$I$4/252)/_xlfn.STDEV.S(B74:B1581-$I$4)</f>
        <v>#REF!</v>
      </c>
      <c r="G74" s="4"/>
      <c r="H74" s="4"/>
      <c r="I74" s="4"/>
      <c r="J74" s="4"/>
    </row>
    <row r="75" spans="1:10" x14ac:dyDescent="0.2">
      <c r="A75" t="e">
        <f>LEFT(#REF!,10)</f>
        <v>#REF!</v>
      </c>
      <c r="B75" s="4" t="e">
        <f>(#REF!-#REF!)/#REF!</f>
        <v>#REF!</v>
      </c>
      <c r="C75" s="4" t="e">
        <f>(#REF!-#REF!)/#REF!</f>
        <v>#REF!</v>
      </c>
      <c r="D75" s="4" t="e">
        <f>LN(#REF!/#REF!)</f>
        <v>#REF!</v>
      </c>
      <c r="E75" s="4" t="e">
        <f t="shared" si="2"/>
        <v>#REF!</v>
      </c>
      <c r="F75" s="4" t="e" cm="1">
        <f t="array" ref="F75">AVERAGE(B75:B1582-$I$4/252)/_xlfn.STDEV.S(B75:B1582-$I$4)</f>
        <v>#REF!</v>
      </c>
      <c r="G75" s="4"/>
      <c r="H75" s="4"/>
      <c r="I75" s="4"/>
      <c r="J75" s="4"/>
    </row>
    <row r="76" spans="1:10" x14ac:dyDescent="0.2">
      <c r="A76" t="e">
        <f>LEFT(#REF!,10)</f>
        <v>#REF!</v>
      </c>
      <c r="B76" s="4" t="e">
        <f>(#REF!-#REF!)/#REF!</f>
        <v>#REF!</v>
      </c>
      <c r="C76" s="4" t="e">
        <f>(#REF!-#REF!)/#REF!</f>
        <v>#REF!</v>
      </c>
      <c r="D76" s="4" t="e">
        <f>LN(#REF!/#REF!)</f>
        <v>#REF!</v>
      </c>
      <c r="E76" s="4" t="e">
        <f t="shared" si="2"/>
        <v>#REF!</v>
      </c>
      <c r="F76" s="4" t="e" cm="1">
        <f t="array" ref="F76">AVERAGE(B76:B1583-$I$4/252)/_xlfn.STDEV.S(B76:B1583-$I$4)</f>
        <v>#REF!</v>
      </c>
      <c r="G76" s="4"/>
      <c r="H76" s="4"/>
      <c r="I76" s="4"/>
      <c r="J76" s="4"/>
    </row>
    <row r="77" spans="1:10" x14ac:dyDescent="0.2">
      <c r="A77" t="e">
        <f>LEFT(#REF!,10)</f>
        <v>#REF!</v>
      </c>
      <c r="B77" s="4" t="e">
        <f>(#REF!-#REF!)/#REF!</f>
        <v>#REF!</v>
      </c>
      <c r="C77" s="4" t="e">
        <f>(#REF!-#REF!)/#REF!</f>
        <v>#REF!</v>
      </c>
      <c r="D77" s="4" t="e">
        <f>LN(#REF!/#REF!)</f>
        <v>#REF!</v>
      </c>
      <c r="E77" s="4" t="e">
        <f t="shared" si="2"/>
        <v>#REF!</v>
      </c>
      <c r="F77" s="4" t="e" cm="1">
        <f t="array" ref="F77">AVERAGE(B77:B1584-$I$4/252)/_xlfn.STDEV.S(B77:B1584-$I$4)</f>
        <v>#REF!</v>
      </c>
      <c r="G77" s="4"/>
      <c r="H77" s="4"/>
      <c r="I77" s="4"/>
      <c r="J77" s="4"/>
    </row>
    <row r="78" spans="1:10" x14ac:dyDescent="0.2">
      <c r="A78" t="e">
        <f>LEFT(#REF!,10)</f>
        <v>#REF!</v>
      </c>
      <c r="B78" s="4" t="e">
        <f>(#REF!-#REF!)/#REF!</f>
        <v>#REF!</v>
      </c>
      <c r="C78" s="4" t="e">
        <f>(#REF!-#REF!)/#REF!</f>
        <v>#REF!</v>
      </c>
      <c r="D78" s="4" t="e">
        <f>LN(#REF!/#REF!)</f>
        <v>#REF!</v>
      </c>
      <c r="E78" s="4" t="e">
        <f t="shared" si="2"/>
        <v>#REF!</v>
      </c>
      <c r="F78" s="4" t="e" cm="1">
        <f t="array" ref="F78">AVERAGE(B78:B1585-$I$4/252)/_xlfn.STDEV.S(B78:B1585-$I$4)</f>
        <v>#REF!</v>
      </c>
      <c r="G78" s="4"/>
      <c r="H78" s="4"/>
      <c r="I78" s="4"/>
      <c r="J78" s="4"/>
    </row>
    <row r="79" spans="1:10" x14ac:dyDescent="0.2">
      <c r="A79" t="e">
        <f>LEFT(#REF!,10)</f>
        <v>#REF!</v>
      </c>
      <c r="B79" s="4" t="e">
        <f>(#REF!-#REF!)/#REF!</f>
        <v>#REF!</v>
      </c>
      <c r="C79" s="4" t="e">
        <f>(#REF!-#REF!)/#REF!</f>
        <v>#REF!</v>
      </c>
      <c r="D79" s="4" t="e">
        <f>LN(#REF!/#REF!)</f>
        <v>#REF!</v>
      </c>
      <c r="E79" s="4" t="e">
        <f t="shared" si="2"/>
        <v>#REF!</v>
      </c>
      <c r="F79" s="4" t="e" cm="1">
        <f t="array" ref="F79">AVERAGE(B79:B1586-$I$4/252)/_xlfn.STDEV.S(B79:B1586-$I$4)</f>
        <v>#REF!</v>
      </c>
      <c r="G79" s="4"/>
      <c r="H79" s="4"/>
      <c r="I79" s="4"/>
      <c r="J79" s="4"/>
    </row>
    <row r="80" spans="1:10" x14ac:dyDescent="0.2">
      <c r="A80" t="e">
        <f>LEFT(#REF!,10)</f>
        <v>#REF!</v>
      </c>
      <c r="B80" s="4" t="e">
        <f>(#REF!-#REF!)/#REF!</f>
        <v>#REF!</v>
      </c>
      <c r="C80" s="4" t="e">
        <f>(#REF!-#REF!)/#REF!</f>
        <v>#REF!</v>
      </c>
      <c r="D80" s="4" t="e">
        <f>LN(#REF!/#REF!)</f>
        <v>#REF!</v>
      </c>
      <c r="E80" s="4" t="e">
        <f t="shared" si="2"/>
        <v>#REF!</v>
      </c>
      <c r="F80" s="4" t="e" cm="1">
        <f t="array" ref="F80">AVERAGE(B80:B1587-$I$4/252)/_xlfn.STDEV.S(B80:B1587-$I$4)</f>
        <v>#REF!</v>
      </c>
      <c r="G80" s="4"/>
      <c r="H80" s="4"/>
      <c r="I80" s="4"/>
      <c r="J80" s="4"/>
    </row>
    <row r="81" spans="1:10" x14ac:dyDescent="0.2">
      <c r="A81" t="e">
        <f>LEFT(#REF!,10)</f>
        <v>#REF!</v>
      </c>
      <c r="B81" s="4" t="e">
        <f>(#REF!-#REF!)/#REF!</f>
        <v>#REF!</v>
      </c>
      <c r="C81" s="4" t="e">
        <f>(#REF!-#REF!)/#REF!</f>
        <v>#REF!</v>
      </c>
      <c r="D81" s="4" t="e">
        <f>LN(#REF!/#REF!)</f>
        <v>#REF!</v>
      </c>
      <c r="E81" s="4" t="e">
        <f t="shared" si="2"/>
        <v>#REF!</v>
      </c>
      <c r="F81" s="4" t="e" cm="1">
        <f t="array" ref="F81">AVERAGE(B81:B1588-$I$4/252)/_xlfn.STDEV.S(B81:B1588-$I$4)</f>
        <v>#REF!</v>
      </c>
      <c r="G81" s="4"/>
      <c r="H81" s="4"/>
      <c r="I81" s="4"/>
      <c r="J81" s="4"/>
    </row>
    <row r="82" spans="1:10" x14ac:dyDescent="0.2">
      <c r="A82" t="e">
        <f>LEFT(#REF!,10)</f>
        <v>#REF!</v>
      </c>
      <c r="B82" s="4" t="e">
        <f>(#REF!-#REF!)/#REF!</f>
        <v>#REF!</v>
      </c>
      <c r="C82" s="4" t="e">
        <f>(#REF!-#REF!)/#REF!</f>
        <v>#REF!</v>
      </c>
      <c r="D82" s="4" t="e">
        <f>LN(#REF!/#REF!)</f>
        <v>#REF!</v>
      </c>
      <c r="E82" s="4" t="e">
        <f t="shared" si="2"/>
        <v>#REF!</v>
      </c>
      <c r="F82" s="4" t="e" cm="1">
        <f t="array" ref="F82">AVERAGE(B82:B1589-$I$4/252)/_xlfn.STDEV.S(B82:B1589-$I$4)</f>
        <v>#REF!</v>
      </c>
      <c r="G82" s="4"/>
      <c r="H82" s="4"/>
      <c r="I82" s="4"/>
      <c r="J82" s="4"/>
    </row>
    <row r="83" spans="1:10" x14ac:dyDescent="0.2">
      <c r="A83" t="e">
        <f>LEFT(#REF!,10)</f>
        <v>#REF!</v>
      </c>
      <c r="B83" s="4" t="e">
        <f>(#REF!-#REF!)/#REF!</f>
        <v>#REF!</v>
      </c>
      <c r="C83" s="4" t="e">
        <f>(#REF!-#REF!)/#REF!</f>
        <v>#REF!</v>
      </c>
      <c r="D83" s="4" t="e">
        <f>LN(#REF!/#REF!)</f>
        <v>#REF!</v>
      </c>
      <c r="E83" s="4" t="e">
        <f t="shared" si="2"/>
        <v>#REF!</v>
      </c>
      <c r="F83" s="4" t="e" cm="1">
        <f t="array" ref="F83">AVERAGE(B83:B1590-$I$4/252)/_xlfn.STDEV.S(B83:B1590-$I$4)</f>
        <v>#REF!</v>
      </c>
      <c r="G83" s="4"/>
      <c r="H83" s="4"/>
      <c r="I83" s="4"/>
      <c r="J83" s="4"/>
    </row>
    <row r="84" spans="1:10" x14ac:dyDescent="0.2">
      <c r="A84" t="e">
        <f>LEFT(#REF!,10)</f>
        <v>#REF!</v>
      </c>
      <c r="B84" s="4" t="e">
        <f>(#REF!-#REF!)/#REF!</f>
        <v>#REF!</v>
      </c>
      <c r="C84" s="4" t="e">
        <f>(#REF!-#REF!)/#REF!</f>
        <v>#REF!</v>
      </c>
      <c r="D84" s="4" t="e">
        <f>LN(#REF!/#REF!)</f>
        <v>#REF!</v>
      </c>
      <c r="E84" s="4" t="e">
        <f t="shared" si="2"/>
        <v>#REF!</v>
      </c>
      <c r="F84" s="4" t="e" cm="1">
        <f t="array" ref="F84">AVERAGE(B84:B1591-$I$4/252)/_xlfn.STDEV.S(B84:B1591-$I$4)</f>
        <v>#REF!</v>
      </c>
      <c r="G84" s="4"/>
      <c r="H84" s="4"/>
      <c r="I84" s="4"/>
      <c r="J84" s="4"/>
    </row>
    <row r="85" spans="1:10" x14ac:dyDescent="0.2">
      <c r="A85" t="e">
        <f>LEFT(#REF!,10)</f>
        <v>#REF!</v>
      </c>
      <c r="B85" s="4" t="e">
        <f>(#REF!-#REF!)/#REF!</f>
        <v>#REF!</v>
      </c>
      <c r="C85" s="4" t="e">
        <f>(#REF!-#REF!)/#REF!</f>
        <v>#REF!</v>
      </c>
      <c r="D85" s="4" t="e">
        <f>LN(#REF!/#REF!)</f>
        <v>#REF!</v>
      </c>
      <c r="E85" s="4" t="e">
        <f t="shared" si="2"/>
        <v>#REF!</v>
      </c>
      <c r="F85" s="4" t="e" cm="1">
        <f t="array" ref="F85">AVERAGE(B85:B1592-$I$4/252)/_xlfn.STDEV.S(B85:B1592-$I$4)</f>
        <v>#REF!</v>
      </c>
      <c r="G85" s="4"/>
      <c r="H85" s="4"/>
      <c r="I85" s="4"/>
      <c r="J85" s="4"/>
    </row>
    <row r="86" spans="1:10" x14ac:dyDescent="0.2">
      <c r="A86" t="e">
        <f>LEFT(#REF!,10)</f>
        <v>#REF!</v>
      </c>
      <c r="B86" s="4" t="e">
        <f>(#REF!-#REF!)/#REF!</f>
        <v>#REF!</v>
      </c>
      <c r="C86" s="4" t="e">
        <f>(#REF!-#REF!)/#REF!</f>
        <v>#REF!</v>
      </c>
      <c r="D86" s="4" t="e">
        <f>LN(#REF!/#REF!)</f>
        <v>#REF!</v>
      </c>
      <c r="E86" s="4" t="e">
        <f t="shared" si="2"/>
        <v>#REF!</v>
      </c>
      <c r="F86" s="4" t="e" cm="1">
        <f t="array" ref="F86">AVERAGE(B86:B1593-$I$4/252)/_xlfn.STDEV.S(B86:B1593-$I$4)</f>
        <v>#REF!</v>
      </c>
      <c r="G86" s="4"/>
      <c r="H86" s="4"/>
      <c r="I86" s="4"/>
      <c r="J86" s="4"/>
    </row>
    <row r="87" spans="1:10" x14ac:dyDescent="0.2">
      <c r="A87" t="e">
        <f>LEFT(#REF!,10)</f>
        <v>#REF!</v>
      </c>
      <c r="B87" s="4" t="e">
        <f>(#REF!-#REF!)/#REF!</f>
        <v>#REF!</v>
      </c>
      <c r="C87" s="4" t="e">
        <f>(#REF!-#REF!)/#REF!</f>
        <v>#REF!</v>
      </c>
      <c r="D87" s="4" t="e">
        <f>LN(#REF!/#REF!)</f>
        <v>#REF!</v>
      </c>
      <c r="E87" s="4" t="e">
        <f t="shared" si="2"/>
        <v>#REF!</v>
      </c>
      <c r="F87" s="4" t="e" cm="1">
        <f t="array" ref="F87">AVERAGE(B87:B1594-$I$4/252)/_xlfn.STDEV.S(B87:B1594-$I$4)</f>
        <v>#REF!</v>
      </c>
      <c r="G87" s="4"/>
      <c r="H87" s="4"/>
      <c r="I87" s="4"/>
      <c r="J87" s="4"/>
    </row>
    <row r="88" spans="1:10" x14ac:dyDescent="0.2">
      <c r="A88" t="e">
        <f>LEFT(#REF!,10)</f>
        <v>#REF!</v>
      </c>
      <c r="B88" s="4" t="e">
        <f>(#REF!-#REF!)/#REF!</f>
        <v>#REF!</v>
      </c>
      <c r="C88" s="4" t="e">
        <f>(#REF!-#REF!)/#REF!</f>
        <v>#REF!</v>
      </c>
      <c r="D88" s="4" t="e">
        <f>LN(#REF!/#REF!)</f>
        <v>#REF!</v>
      </c>
      <c r="E88" s="4" t="e">
        <f t="shared" si="2"/>
        <v>#REF!</v>
      </c>
      <c r="F88" s="4" t="e" cm="1">
        <f t="array" ref="F88">AVERAGE(B88:B1595-$I$4/252)/_xlfn.STDEV.S(B88:B1595-$I$4)</f>
        <v>#REF!</v>
      </c>
      <c r="G88" s="4"/>
      <c r="H88" s="4"/>
      <c r="I88" s="4"/>
      <c r="J88" s="4"/>
    </row>
    <row r="89" spans="1:10" x14ac:dyDescent="0.2">
      <c r="A89" t="e">
        <f>LEFT(#REF!,10)</f>
        <v>#REF!</v>
      </c>
      <c r="B89" s="4" t="e">
        <f>(#REF!-#REF!)/#REF!</f>
        <v>#REF!</v>
      </c>
      <c r="C89" s="4" t="e">
        <f>(#REF!-#REF!)/#REF!</f>
        <v>#REF!</v>
      </c>
      <c r="D89" s="4" t="e">
        <f>LN(#REF!/#REF!)</f>
        <v>#REF!</v>
      </c>
      <c r="E89" s="4" t="e">
        <f t="shared" si="2"/>
        <v>#REF!</v>
      </c>
      <c r="F89" s="4" t="e" cm="1">
        <f t="array" ref="F89">AVERAGE(B89:B1596-$I$4/252)/_xlfn.STDEV.S(B89:B1596-$I$4)</f>
        <v>#REF!</v>
      </c>
      <c r="G89" s="4"/>
      <c r="H89" s="4"/>
      <c r="I89" s="4"/>
      <c r="J89" s="4"/>
    </row>
    <row r="90" spans="1:10" x14ac:dyDescent="0.2">
      <c r="A90" t="e">
        <f>LEFT(#REF!,10)</f>
        <v>#REF!</v>
      </c>
      <c r="B90" s="4" t="e">
        <f>(#REF!-#REF!)/#REF!</f>
        <v>#REF!</v>
      </c>
      <c r="C90" s="4" t="e">
        <f>(#REF!-#REF!)/#REF!</f>
        <v>#REF!</v>
      </c>
      <c r="D90" s="4" t="e">
        <f>LN(#REF!/#REF!)</f>
        <v>#REF!</v>
      </c>
      <c r="E90" s="4" t="e">
        <f t="shared" si="2"/>
        <v>#REF!</v>
      </c>
      <c r="F90" s="4" t="e" cm="1">
        <f t="array" ref="F90">AVERAGE(B90:B1597-$I$4/252)/_xlfn.STDEV.S(B90:B1597-$I$4)</f>
        <v>#REF!</v>
      </c>
      <c r="G90" s="4"/>
      <c r="H90" s="4"/>
      <c r="I90" s="4"/>
      <c r="J90" s="4"/>
    </row>
    <row r="91" spans="1:10" x14ac:dyDescent="0.2">
      <c r="A91" t="e">
        <f>LEFT(#REF!,10)</f>
        <v>#REF!</v>
      </c>
      <c r="B91" s="4" t="e">
        <f>(#REF!-#REF!)/#REF!</f>
        <v>#REF!</v>
      </c>
      <c r="C91" s="4" t="e">
        <f>(#REF!-#REF!)/#REF!</f>
        <v>#REF!</v>
      </c>
      <c r="D91" s="4" t="e">
        <f>LN(#REF!/#REF!)</f>
        <v>#REF!</v>
      </c>
      <c r="E91" s="4" t="e">
        <f t="shared" si="2"/>
        <v>#REF!</v>
      </c>
      <c r="F91" s="4" t="e" cm="1">
        <f t="array" ref="F91">AVERAGE(B91:B1598-$I$4/252)/_xlfn.STDEV.S(B91:B1598-$I$4)</f>
        <v>#REF!</v>
      </c>
      <c r="G91" s="4"/>
      <c r="H91" s="4"/>
      <c r="I91" s="4"/>
      <c r="J91" s="4"/>
    </row>
    <row r="92" spans="1:10" x14ac:dyDescent="0.2">
      <c r="A92" t="e">
        <f>LEFT(#REF!,10)</f>
        <v>#REF!</v>
      </c>
      <c r="B92" s="4" t="e">
        <f>(#REF!-#REF!)/#REF!</f>
        <v>#REF!</v>
      </c>
      <c r="C92" s="4" t="e">
        <f>(#REF!-#REF!)/#REF!</f>
        <v>#REF!</v>
      </c>
      <c r="D92" s="4" t="e">
        <f>LN(#REF!/#REF!)</f>
        <v>#REF!</v>
      </c>
      <c r="E92" s="4" t="e">
        <f t="shared" si="2"/>
        <v>#REF!</v>
      </c>
      <c r="F92" s="4" t="e" cm="1">
        <f t="array" ref="F92">AVERAGE(B92:B1599-$I$4/252)/_xlfn.STDEV.S(B92:B1599-$I$4)</f>
        <v>#REF!</v>
      </c>
      <c r="G92" s="4"/>
      <c r="H92" s="4"/>
      <c r="I92" s="4"/>
      <c r="J92" s="4"/>
    </row>
    <row r="93" spans="1:10" x14ac:dyDescent="0.2">
      <c r="A93" t="e">
        <f>LEFT(#REF!,10)</f>
        <v>#REF!</v>
      </c>
      <c r="B93" s="4" t="e">
        <f>(#REF!-#REF!)/#REF!</f>
        <v>#REF!</v>
      </c>
      <c r="C93" s="4" t="e">
        <f>(#REF!-#REF!)/#REF!</f>
        <v>#REF!</v>
      </c>
      <c r="D93" s="4" t="e">
        <f>LN(#REF!/#REF!)</f>
        <v>#REF!</v>
      </c>
      <c r="E93" s="4" t="e">
        <f t="shared" si="2"/>
        <v>#REF!</v>
      </c>
      <c r="F93" s="4" t="e" cm="1">
        <f t="array" ref="F93">AVERAGE(B93:B1600-$I$4/252)/_xlfn.STDEV.S(B93:B1600-$I$4)</f>
        <v>#REF!</v>
      </c>
      <c r="G93" s="4"/>
      <c r="H93" s="4"/>
      <c r="I93" s="4"/>
      <c r="J93" s="4"/>
    </row>
    <row r="94" spans="1:10" x14ac:dyDescent="0.2">
      <c r="A94" t="e">
        <f>LEFT(#REF!,10)</f>
        <v>#REF!</v>
      </c>
      <c r="B94" s="4" t="e">
        <f>(#REF!-#REF!)/#REF!</f>
        <v>#REF!</v>
      </c>
      <c r="C94" s="4" t="e">
        <f>(#REF!-#REF!)/#REF!</f>
        <v>#REF!</v>
      </c>
      <c r="D94" s="4" t="e">
        <f>LN(#REF!/#REF!)</f>
        <v>#REF!</v>
      </c>
      <c r="E94" s="4" t="e">
        <f t="shared" si="2"/>
        <v>#REF!</v>
      </c>
      <c r="F94" s="4" t="e" cm="1">
        <f t="array" ref="F94">AVERAGE(B94:B1601-$I$4/252)/_xlfn.STDEV.S(B94:B1601-$I$4)</f>
        <v>#REF!</v>
      </c>
      <c r="G94" s="4"/>
      <c r="H94" s="4"/>
      <c r="I94" s="4"/>
      <c r="J94" s="4"/>
    </row>
    <row r="95" spans="1:10" x14ac:dyDescent="0.2">
      <c r="A95" t="e">
        <f>LEFT(#REF!,10)</f>
        <v>#REF!</v>
      </c>
      <c r="B95" s="4" t="e">
        <f>(#REF!-#REF!)/#REF!</f>
        <v>#REF!</v>
      </c>
      <c r="C95" s="4" t="e">
        <f>(#REF!-#REF!)/#REF!</f>
        <v>#REF!</v>
      </c>
      <c r="D95" s="4" t="e">
        <f>LN(#REF!/#REF!)</f>
        <v>#REF!</v>
      </c>
      <c r="E95" s="4" t="e">
        <f t="shared" si="2"/>
        <v>#REF!</v>
      </c>
      <c r="F95" s="4" t="e" cm="1">
        <f t="array" ref="F95">AVERAGE(B95:B1602-$I$4/252)/_xlfn.STDEV.S(B95:B1602-$I$4)</f>
        <v>#REF!</v>
      </c>
      <c r="G95" s="4"/>
      <c r="H95" s="4"/>
      <c r="I95" s="4"/>
      <c r="J95" s="4"/>
    </row>
    <row r="96" spans="1:10" x14ac:dyDescent="0.2">
      <c r="A96" t="e">
        <f>LEFT(#REF!,10)</f>
        <v>#REF!</v>
      </c>
      <c r="B96" s="4" t="e">
        <f>(#REF!-#REF!)/#REF!</f>
        <v>#REF!</v>
      </c>
      <c r="C96" s="4" t="e">
        <f>(#REF!-#REF!)/#REF!</f>
        <v>#REF!</v>
      </c>
      <c r="D96" s="4" t="e">
        <f>LN(#REF!/#REF!)</f>
        <v>#REF!</v>
      </c>
      <c r="E96" s="4" t="e">
        <f t="shared" si="2"/>
        <v>#REF!</v>
      </c>
      <c r="F96" s="4" t="e" cm="1">
        <f t="array" ref="F96">AVERAGE(B96:B1603-$I$4/252)/_xlfn.STDEV.S(B96:B1603-$I$4)</f>
        <v>#REF!</v>
      </c>
      <c r="G96" s="4"/>
      <c r="H96" s="4"/>
      <c r="I96" s="4"/>
      <c r="J96" s="4"/>
    </row>
    <row r="97" spans="1:10" x14ac:dyDescent="0.2">
      <c r="A97" t="e">
        <f>LEFT(#REF!,10)</f>
        <v>#REF!</v>
      </c>
      <c r="B97" s="4" t="e">
        <f>(#REF!-#REF!)/#REF!</f>
        <v>#REF!</v>
      </c>
      <c r="C97" s="4" t="e">
        <f>(#REF!-#REF!)/#REF!</f>
        <v>#REF!</v>
      </c>
      <c r="D97" s="4" t="e">
        <f>LN(#REF!/#REF!)</f>
        <v>#REF!</v>
      </c>
      <c r="E97" s="4" t="e">
        <f t="shared" si="2"/>
        <v>#REF!</v>
      </c>
      <c r="F97" s="4" t="e" cm="1">
        <f t="array" ref="F97">AVERAGE(B97:B1604-$I$4/252)/_xlfn.STDEV.S(B97:B1604-$I$4)</f>
        <v>#REF!</v>
      </c>
      <c r="G97" s="4"/>
      <c r="H97" s="4"/>
      <c r="I97" s="4"/>
      <c r="J97" s="4"/>
    </row>
    <row r="98" spans="1:10" x14ac:dyDescent="0.2">
      <c r="A98" t="e">
        <f>LEFT(#REF!,10)</f>
        <v>#REF!</v>
      </c>
      <c r="B98" s="4" t="e">
        <f>(#REF!-#REF!)/#REF!</f>
        <v>#REF!</v>
      </c>
      <c r="C98" s="4" t="e">
        <f>(#REF!-#REF!)/#REF!</f>
        <v>#REF!</v>
      </c>
      <c r="D98" s="4" t="e">
        <f>LN(#REF!/#REF!)</f>
        <v>#REF!</v>
      </c>
      <c r="E98" s="4" t="e">
        <f t="shared" si="2"/>
        <v>#REF!</v>
      </c>
      <c r="F98" s="4" t="e" cm="1">
        <f t="array" ref="F98">AVERAGE(B98:B1605-$I$4/252)/_xlfn.STDEV.S(B98:B1605-$I$4)</f>
        <v>#REF!</v>
      </c>
      <c r="G98" s="4"/>
      <c r="H98" s="4"/>
      <c r="I98" s="4"/>
      <c r="J98" s="4"/>
    </row>
    <row r="99" spans="1:10" x14ac:dyDescent="0.2">
      <c r="A99" t="e">
        <f>LEFT(#REF!,10)</f>
        <v>#REF!</v>
      </c>
      <c r="B99" s="4" t="e">
        <f>(#REF!-#REF!)/#REF!</f>
        <v>#REF!</v>
      </c>
      <c r="C99" s="4" t="e">
        <f>(#REF!-#REF!)/#REF!</f>
        <v>#REF!</v>
      </c>
      <c r="D99" s="4" t="e">
        <f>LN(#REF!/#REF!)</f>
        <v>#REF!</v>
      </c>
      <c r="E99" s="4" t="e">
        <f t="shared" si="2"/>
        <v>#REF!</v>
      </c>
      <c r="F99" s="4" t="e" cm="1">
        <f t="array" ref="F99">AVERAGE(B99:B1606-$I$4/252)/_xlfn.STDEV.S(B99:B1606-$I$4)</f>
        <v>#REF!</v>
      </c>
      <c r="G99" s="4"/>
      <c r="H99" s="4"/>
      <c r="I99" s="4"/>
      <c r="J99" s="4"/>
    </row>
    <row r="100" spans="1:10" x14ac:dyDescent="0.2">
      <c r="A100" t="e">
        <f>LEFT(#REF!,10)</f>
        <v>#REF!</v>
      </c>
      <c r="B100" s="4" t="e">
        <f>(#REF!-#REF!)/#REF!</f>
        <v>#REF!</v>
      </c>
      <c r="C100" s="4" t="e">
        <f>(#REF!-#REF!)/#REF!</f>
        <v>#REF!</v>
      </c>
      <c r="D100" s="4" t="e">
        <f>LN(#REF!/#REF!)</f>
        <v>#REF!</v>
      </c>
      <c r="E100" s="4" t="e">
        <f t="shared" si="2"/>
        <v>#REF!</v>
      </c>
      <c r="F100" s="4" t="e" cm="1">
        <f t="array" ref="F100">AVERAGE(B100:B1607-$I$4/252)/_xlfn.STDEV.S(B100:B1607-$I$4)</f>
        <v>#REF!</v>
      </c>
      <c r="G100" s="4"/>
      <c r="H100" s="4"/>
      <c r="I100" s="4"/>
      <c r="J100" s="4"/>
    </row>
    <row r="101" spans="1:10" x14ac:dyDescent="0.2">
      <c r="A101" t="e">
        <f>LEFT(#REF!,10)</f>
        <v>#REF!</v>
      </c>
      <c r="B101" s="4" t="e">
        <f>(#REF!-#REF!)/#REF!</f>
        <v>#REF!</v>
      </c>
      <c r="C101" s="4" t="e">
        <f>(#REF!-#REF!)/#REF!</f>
        <v>#REF!</v>
      </c>
      <c r="D101" s="4" t="e">
        <f>LN(#REF!/#REF!)</f>
        <v>#REF!</v>
      </c>
      <c r="E101" s="4" t="e">
        <f t="shared" si="2"/>
        <v>#REF!</v>
      </c>
      <c r="F101" s="4" t="e" cm="1">
        <f t="array" ref="F101">AVERAGE(B101:B1608-$I$4/252)/_xlfn.STDEV.S(B101:B1608-$I$4)</f>
        <v>#REF!</v>
      </c>
      <c r="G101" s="4"/>
      <c r="H101" s="4"/>
      <c r="I101" s="4"/>
      <c r="J101" s="4"/>
    </row>
    <row r="102" spans="1:10" x14ac:dyDescent="0.2">
      <c r="A102" t="e">
        <f>LEFT(#REF!,10)</f>
        <v>#REF!</v>
      </c>
      <c r="B102" s="4" t="e">
        <f>(#REF!-#REF!)/#REF!</f>
        <v>#REF!</v>
      </c>
      <c r="C102" s="4" t="e">
        <f>(#REF!-#REF!)/#REF!</f>
        <v>#REF!</v>
      </c>
      <c r="D102" s="4" t="e">
        <f>LN(#REF!/#REF!)</f>
        <v>#REF!</v>
      </c>
      <c r="E102" s="4" t="e">
        <f t="shared" si="2"/>
        <v>#REF!</v>
      </c>
      <c r="F102" s="4" t="e" cm="1">
        <f t="array" ref="F102">AVERAGE(B102:B1609-$I$4/252)/_xlfn.STDEV.S(B102:B1609-$I$4)</f>
        <v>#REF!</v>
      </c>
      <c r="G102" s="4"/>
      <c r="H102" s="4"/>
      <c r="I102" s="4"/>
      <c r="J102" s="4"/>
    </row>
    <row r="103" spans="1:10" x14ac:dyDescent="0.2">
      <c r="A103" t="e">
        <f>LEFT(#REF!,10)</f>
        <v>#REF!</v>
      </c>
      <c r="B103" s="4" t="e">
        <f>(#REF!-#REF!)/#REF!</f>
        <v>#REF!</v>
      </c>
      <c r="C103" s="4" t="e">
        <f>(#REF!-#REF!)/#REF!</f>
        <v>#REF!</v>
      </c>
      <c r="D103" s="4" t="e">
        <f>LN(#REF!/#REF!)</f>
        <v>#REF!</v>
      </c>
      <c r="E103" s="4" t="e">
        <f t="shared" si="2"/>
        <v>#REF!</v>
      </c>
      <c r="F103" s="4" t="e" cm="1">
        <f t="array" ref="F103">AVERAGE(B103:B1610-$I$4/252)/_xlfn.STDEV.S(B103:B1610-$I$4)</f>
        <v>#REF!</v>
      </c>
      <c r="G103" s="4"/>
      <c r="H103" s="4"/>
      <c r="I103" s="4"/>
      <c r="J103" s="4"/>
    </row>
    <row r="104" spans="1:10" x14ac:dyDescent="0.2">
      <c r="A104" t="e">
        <f>LEFT(#REF!,10)</f>
        <v>#REF!</v>
      </c>
      <c r="B104" s="4" t="e">
        <f>(#REF!-#REF!)/#REF!</f>
        <v>#REF!</v>
      </c>
      <c r="C104" s="4" t="e">
        <f>(#REF!-#REF!)/#REF!</f>
        <v>#REF!</v>
      </c>
      <c r="D104" s="4" t="e">
        <f>LN(#REF!/#REF!)</f>
        <v>#REF!</v>
      </c>
      <c r="E104" s="4" t="e">
        <f t="shared" si="2"/>
        <v>#REF!</v>
      </c>
      <c r="F104" s="4" t="e" cm="1">
        <f t="array" ref="F104">AVERAGE(B104:B1611-$I$4/252)/_xlfn.STDEV.S(B104:B1611-$I$4)</f>
        <v>#REF!</v>
      </c>
      <c r="G104" s="4"/>
      <c r="H104" s="4"/>
      <c r="I104" s="4"/>
      <c r="J104" s="4"/>
    </row>
    <row r="105" spans="1:10" x14ac:dyDescent="0.2">
      <c r="A105" t="e">
        <f>LEFT(#REF!,10)</f>
        <v>#REF!</v>
      </c>
      <c r="B105" s="4" t="e">
        <f>(#REF!-#REF!)/#REF!</f>
        <v>#REF!</v>
      </c>
      <c r="C105" s="4" t="e">
        <f>(#REF!-#REF!)/#REF!</f>
        <v>#REF!</v>
      </c>
      <c r="D105" s="4" t="e">
        <f>LN(#REF!/#REF!)</f>
        <v>#REF!</v>
      </c>
      <c r="E105" s="4" t="e">
        <f t="shared" si="2"/>
        <v>#REF!</v>
      </c>
      <c r="F105" s="4" t="e" cm="1">
        <f t="array" ref="F105">AVERAGE(B105:B1612-$I$4/252)/_xlfn.STDEV.S(B105:B1612-$I$4)</f>
        <v>#REF!</v>
      </c>
      <c r="G105" s="4"/>
      <c r="H105" s="4"/>
      <c r="I105" s="4"/>
      <c r="J105" s="4"/>
    </row>
    <row r="106" spans="1:10" x14ac:dyDescent="0.2">
      <c r="A106" t="e">
        <f>LEFT(#REF!,10)</f>
        <v>#REF!</v>
      </c>
      <c r="B106" s="4" t="e">
        <f>(#REF!-#REF!)/#REF!</f>
        <v>#REF!</v>
      </c>
      <c r="C106" s="4" t="e">
        <f>(#REF!-#REF!)/#REF!</f>
        <v>#REF!</v>
      </c>
      <c r="D106" s="4" t="e">
        <f>LN(#REF!/#REF!)</f>
        <v>#REF!</v>
      </c>
      <c r="E106" s="4" t="e">
        <f t="shared" si="2"/>
        <v>#REF!</v>
      </c>
      <c r="F106" s="4" t="e" cm="1">
        <f t="array" ref="F106">AVERAGE(B106:B1613-$I$4/252)/_xlfn.STDEV.S(B106:B1613-$I$4)</f>
        <v>#REF!</v>
      </c>
      <c r="G106" s="4"/>
      <c r="H106" s="4"/>
      <c r="I106" s="4"/>
      <c r="J106" s="4"/>
    </row>
    <row r="107" spans="1:10" x14ac:dyDescent="0.2">
      <c r="A107" t="e">
        <f>LEFT(#REF!,10)</f>
        <v>#REF!</v>
      </c>
      <c r="B107" s="4" t="e">
        <f>(#REF!-#REF!)/#REF!</f>
        <v>#REF!</v>
      </c>
      <c r="C107" s="4" t="e">
        <f>(#REF!-#REF!)/#REF!</f>
        <v>#REF!</v>
      </c>
      <c r="D107" s="4" t="e">
        <f>LN(#REF!/#REF!)</f>
        <v>#REF!</v>
      </c>
      <c r="E107" s="4" t="e">
        <f t="shared" si="2"/>
        <v>#REF!</v>
      </c>
      <c r="F107" s="4" t="e" cm="1">
        <f t="array" ref="F107">AVERAGE(B107:B1614-$I$4/252)/_xlfn.STDEV.S(B107:B1614-$I$4)</f>
        <v>#REF!</v>
      </c>
      <c r="G107" s="4"/>
      <c r="H107" s="4"/>
      <c r="I107" s="4"/>
      <c r="J107" s="4"/>
    </row>
    <row r="108" spans="1:10" x14ac:dyDescent="0.2">
      <c r="A108" t="e">
        <f>LEFT(#REF!,10)</f>
        <v>#REF!</v>
      </c>
      <c r="B108" s="4" t="e">
        <f>(#REF!-#REF!)/#REF!</f>
        <v>#REF!</v>
      </c>
      <c r="C108" s="4" t="e">
        <f>(#REF!-#REF!)/#REF!</f>
        <v>#REF!</v>
      </c>
      <c r="D108" s="4" t="e">
        <f>LN(#REF!/#REF!)</f>
        <v>#REF!</v>
      </c>
      <c r="E108" s="4" t="e">
        <f t="shared" si="2"/>
        <v>#REF!</v>
      </c>
      <c r="F108" s="4" t="e" cm="1">
        <f t="array" ref="F108">AVERAGE(B108:B1615-$I$4/252)/_xlfn.STDEV.S(B108:B1615-$I$4)</f>
        <v>#REF!</v>
      </c>
      <c r="G108" s="4"/>
      <c r="H108" s="4"/>
      <c r="I108" s="4"/>
      <c r="J108" s="4"/>
    </row>
    <row r="109" spans="1:10" x14ac:dyDescent="0.2">
      <c r="A109" t="e">
        <f>LEFT(#REF!,10)</f>
        <v>#REF!</v>
      </c>
      <c r="B109" s="4" t="e">
        <f>(#REF!-#REF!)/#REF!</f>
        <v>#REF!</v>
      </c>
      <c r="C109" s="4" t="e">
        <f>(#REF!-#REF!)/#REF!</f>
        <v>#REF!</v>
      </c>
      <c r="D109" s="4" t="e">
        <f>LN(#REF!/#REF!)</f>
        <v>#REF!</v>
      </c>
      <c r="E109" s="4" t="e">
        <f t="shared" si="2"/>
        <v>#REF!</v>
      </c>
      <c r="F109" s="4" t="e" cm="1">
        <f t="array" ref="F109">AVERAGE(B109:B1616-$I$4/252)/_xlfn.STDEV.S(B109:B1616-$I$4)</f>
        <v>#REF!</v>
      </c>
      <c r="G109" s="4"/>
      <c r="H109" s="4"/>
      <c r="I109" s="4"/>
      <c r="J109" s="4"/>
    </row>
    <row r="110" spans="1:10" x14ac:dyDescent="0.2">
      <c r="A110" t="e">
        <f>LEFT(#REF!,10)</f>
        <v>#REF!</v>
      </c>
      <c r="B110" s="4" t="e">
        <f>(#REF!-#REF!)/#REF!</f>
        <v>#REF!</v>
      </c>
      <c r="C110" s="4" t="e">
        <f>(#REF!-#REF!)/#REF!</f>
        <v>#REF!</v>
      </c>
      <c r="D110" s="4" t="e">
        <f>LN(#REF!/#REF!)</f>
        <v>#REF!</v>
      </c>
      <c r="E110" s="4" t="e">
        <f t="shared" si="2"/>
        <v>#REF!</v>
      </c>
      <c r="F110" s="4" t="e" cm="1">
        <f t="array" ref="F110">AVERAGE(B110:B1617-$I$4/252)/_xlfn.STDEV.S(B110:B1617-$I$4)</f>
        <v>#REF!</v>
      </c>
      <c r="G110" s="4"/>
      <c r="H110" s="4"/>
      <c r="I110" s="4"/>
      <c r="J110" s="4"/>
    </row>
    <row r="111" spans="1:10" x14ac:dyDescent="0.2">
      <c r="A111" t="e">
        <f>LEFT(#REF!,10)</f>
        <v>#REF!</v>
      </c>
      <c r="B111" s="4" t="e">
        <f>(#REF!-#REF!)/#REF!</f>
        <v>#REF!</v>
      </c>
      <c r="C111" s="4" t="e">
        <f>(#REF!-#REF!)/#REF!</f>
        <v>#REF!</v>
      </c>
      <c r="D111" s="4" t="e">
        <f>LN(#REF!/#REF!)</f>
        <v>#REF!</v>
      </c>
      <c r="E111" s="4" t="e">
        <f t="shared" si="2"/>
        <v>#REF!</v>
      </c>
      <c r="F111" s="4" t="e" cm="1">
        <f t="array" ref="F111">AVERAGE(B111:B1618-$I$4/252)/_xlfn.STDEV.S(B111:B1618-$I$4)</f>
        <v>#REF!</v>
      </c>
      <c r="G111" s="4"/>
      <c r="H111" s="4"/>
      <c r="I111" s="4"/>
      <c r="J111" s="4"/>
    </row>
    <row r="112" spans="1:10" x14ac:dyDescent="0.2">
      <c r="A112" t="e">
        <f>LEFT(#REF!,10)</f>
        <v>#REF!</v>
      </c>
      <c r="B112" s="4" t="e">
        <f>(#REF!-#REF!)/#REF!</f>
        <v>#REF!</v>
      </c>
      <c r="C112" s="4" t="e">
        <f>(#REF!-#REF!)/#REF!</f>
        <v>#REF!</v>
      </c>
      <c r="D112" s="4" t="e">
        <f>LN(#REF!/#REF!)</f>
        <v>#REF!</v>
      </c>
      <c r="E112" s="4" t="e">
        <f t="shared" si="2"/>
        <v>#REF!</v>
      </c>
      <c r="F112" s="4" t="e" cm="1">
        <f t="array" ref="F112">AVERAGE(B112:B1619-$I$4/252)/_xlfn.STDEV.S(B112:B1619-$I$4)</f>
        <v>#REF!</v>
      </c>
      <c r="G112" s="4"/>
      <c r="H112" s="4"/>
      <c r="I112" s="4"/>
      <c r="J112" s="4"/>
    </row>
    <row r="113" spans="1:10" x14ac:dyDescent="0.2">
      <c r="A113" t="e">
        <f>LEFT(#REF!,10)</f>
        <v>#REF!</v>
      </c>
      <c r="B113" s="4" t="e">
        <f>(#REF!-#REF!)/#REF!</f>
        <v>#REF!</v>
      </c>
      <c r="C113" s="4" t="e">
        <f>(#REF!-#REF!)/#REF!</f>
        <v>#REF!</v>
      </c>
      <c r="D113" s="4" t="e">
        <f>LN(#REF!/#REF!)</f>
        <v>#REF!</v>
      </c>
      <c r="E113" s="4" t="e">
        <f t="shared" si="2"/>
        <v>#REF!</v>
      </c>
      <c r="F113" s="4" t="e" cm="1">
        <f t="array" ref="F113">AVERAGE(B113:B1620-$I$4/252)/_xlfn.STDEV.S(B113:B1620-$I$4)</f>
        <v>#REF!</v>
      </c>
      <c r="G113" s="4"/>
      <c r="H113" s="4"/>
      <c r="I113" s="4"/>
      <c r="J113" s="4"/>
    </row>
    <row r="114" spans="1:10" x14ac:dyDescent="0.2">
      <c r="A114" t="e">
        <f>LEFT(#REF!,10)</f>
        <v>#REF!</v>
      </c>
      <c r="B114" s="4" t="e">
        <f>(#REF!-#REF!)/#REF!</f>
        <v>#REF!</v>
      </c>
      <c r="C114" s="4" t="e">
        <f>(#REF!-#REF!)/#REF!</f>
        <v>#REF!</v>
      </c>
      <c r="D114" s="4" t="e">
        <f>LN(#REF!/#REF!)</f>
        <v>#REF!</v>
      </c>
      <c r="E114" s="4" t="e">
        <f t="shared" si="2"/>
        <v>#REF!</v>
      </c>
      <c r="F114" s="4" t="e" cm="1">
        <f t="array" ref="F114">AVERAGE(B114:B1621-$I$4/252)/_xlfn.STDEV.S(B114:B1621-$I$4)</f>
        <v>#REF!</v>
      </c>
      <c r="G114" s="4"/>
      <c r="H114" s="4"/>
      <c r="I114" s="4"/>
      <c r="J114" s="4"/>
    </row>
    <row r="115" spans="1:10" x14ac:dyDescent="0.2">
      <c r="A115" t="e">
        <f>LEFT(#REF!,10)</f>
        <v>#REF!</v>
      </c>
      <c r="B115" s="4" t="e">
        <f>(#REF!-#REF!)/#REF!</f>
        <v>#REF!</v>
      </c>
      <c r="C115" s="4" t="e">
        <f>(#REF!-#REF!)/#REF!</f>
        <v>#REF!</v>
      </c>
      <c r="D115" s="4" t="e">
        <f>LN(#REF!/#REF!)</f>
        <v>#REF!</v>
      </c>
      <c r="E115" s="4" t="e">
        <f t="shared" si="2"/>
        <v>#REF!</v>
      </c>
      <c r="F115" s="4" t="e" cm="1">
        <f t="array" ref="F115">AVERAGE(B115:B1622-$I$4/252)/_xlfn.STDEV.S(B115:B1622-$I$4)</f>
        <v>#REF!</v>
      </c>
      <c r="G115" s="4"/>
      <c r="H115" s="4"/>
      <c r="I115" s="4"/>
      <c r="J115" s="4"/>
    </row>
    <row r="116" spans="1:10" x14ac:dyDescent="0.2">
      <c r="A116" t="e">
        <f>LEFT(#REF!,10)</f>
        <v>#REF!</v>
      </c>
      <c r="B116" s="4" t="e">
        <f>(#REF!-#REF!)/#REF!</f>
        <v>#REF!</v>
      </c>
      <c r="C116" s="4" t="e">
        <f>(#REF!-#REF!)/#REF!</f>
        <v>#REF!</v>
      </c>
      <c r="D116" s="4" t="e">
        <f>LN(#REF!/#REF!)</f>
        <v>#REF!</v>
      </c>
      <c r="E116" s="4" t="e">
        <f t="shared" si="2"/>
        <v>#REF!</v>
      </c>
      <c r="F116" s="4" t="e" cm="1">
        <f t="array" ref="F116">AVERAGE(B116:B1623-$I$4/252)/_xlfn.STDEV.S(B116:B1623-$I$4)</f>
        <v>#REF!</v>
      </c>
      <c r="G116" s="4"/>
      <c r="H116" s="4"/>
      <c r="I116" s="4"/>
      <c r="J116" s="4"/>
    </row>
    <row r="117" spans="1:10" x14ac:dyDescent="0.2">
      <c r="A117" t="e">
        <f>LEFT(#REF!,10)</f>
        <v>#REF!</v>
      </c>
      <c r="B117" s="4" t="e">
        <f>(#REF!-#REF!)/#REF!</f>
        <v>#REF!</v>
      </c>
      <c r="C117" s="4" t="e">
        <f>(#REF!-#REF!)/#REF!</f>
        <v>#REF!</v>
      </c>
      <c r="D117" s="4" t="e">
        <f>LN(#REF!/#REF!)</f>
        <v>#REF!</v>
      </c>
      <c r="E117" s="4" t="e">
        <f t="shared" si="2"/>
        <v>#REF!</v>
      </c>
      <c r="F117" s="4" t="e" cm="1">
        <f t="array" ref="F117">AVERAGE(B117:B1624-$I$4/252)/_xlfn.STDEV.S(B117:B1624-$I$4)</f>
        <v>#REF!</v>
      </c>
      <c r="G117" s="4"/>
      <c r="H117" s="4"/>
      <c r="I117" s="4"/>
      <c r="J117" s="4"/>
    </row>
    <row r="118" spans="1:10" x14ac:dyDescent="0.2">
      <c r="A118" t="e">
        <f>LEFT(#REF!,10)</f>
        <v>#REF!</v>
      </c>
      <c r="B118" s="4" t="e">
        <f>(#REF!-#REF!)/#REF!</f>
        <v>#REF!</v>
      </c>
      <c r="C118" s="4" t="e">
        <f>(#REF!-#REF!)/#REF!</f>
        <v>#REF!</v>
      </c>
      <c r="D118" s="4" t="e">
        <f>LN(#REF!/#REF!)</f>
        <v>#REF!</v>
      </c>
      <c r="E118" s="4" t="e">
        <f t="shared" si="2"/>
        <v>#REF!</v>
      </c>
      <c r="F118" s="4" t="e" cm="1">
        <f t="array" ref="F118">AVERAGE(B118:B1625-$I$4/252)/_xlfn.STDEV.S(B118:B1625-$I$4)</f>
        <v>#REF!</v>
      </c>
      <c r="G118" s="4"/>
      <c r="H118" s="4"/>
      <c r="I118" s="4"/>
      <c r="J118" s="4"/>
    </row>
    <row r="119" spans="1:10" x14ac:dyDescent="0.2">
      <c r="A119" t="e">
        <f>LEFT(#REF!,10)</f>
        <v>#REF!</v>
      </c>
      <c r="B119" s="4" t="e">
        <f>(#REF!-#REF!)/#REF!</f>
        <v>#REF!</v>
      </c>
      <c r="C119" s="4" t="e">
        <f>(#REF!-#REF!)/#REF!</f>
        <v>#REF!</v>
      </c>
      <c r="D119" s="4" t="e">
        <f>LN(#REF!/#REF!)</f>
        <v>#REF!</v>
      </c>
      <c r="E119" s="4" t="e">
        <f t="shared" si="2"/>
        <v>#REF!</v>
      </c>
      <c r="F119" s="4" t="e" cm="1">
        <f t="array" ref="F119">AVERAGE(B119:B1626-$I$4/252)/_xlfn.STDEV.S(B119:B1626-$I$4)</f>
        <v>#REF!</v>
      </c>
      <c r="G119" s="4"/>
      <c r="H119" s="4"/>
      <c r="I119" s="4"/>
      <c r="J119" s="4"/>
    </row>
    <row r="120" spans="1:10" x14ac:dyDescent="0.2">
      <c r="A120" t="e">
        <f>LEFT(#REF!,10)</f>
        <v>#REF!</v>
      </c>
      <c r="B120" s="4" t="e">
        <f>(#REF!-#REF!)/#REF!</f>
        <v>#REF!</v>
      </c>
      <c r="C120" s="4" t="e">
        <f>(#REF!-#REF!)/#REF!</f>
        <v>#REF!</v>
      </c>
      <c r="D120" s="4" t="e">
        <f>LN(#REF!/#REF!)</f>
        <v>#REF!</v>
      </c>
      <c r="E120" s="4" t="e">
        <f t="shared" si="2"/>
        <v>#REF!</v>
      </c>
      <c r="F120" s="4" t="e" cm="1">
        <f t="array" ref="F120">AVERAGE(B120:B1627-$I$4/252)/_xlfn.STDEV.S(B120:B1627-$I$4)</f>
        <v>#REF!</v>
      </c>
      <c r="G120" s="4"/>
      <c r="H120" s="4"/>
      <c r="I120" s="4"/>
      <c r="J120" s="4"/>
    </row>
    <row r="121" spans="1:10" x14ac:dyDescent="0.2">
      <c r="A121" t="e">
        <f>LEFT(#REF!,10)</f>
        <v>#REF!</v>
      </c>
      <c r="B121" s="4" t="e">
        <f>(#REF!-#REF!)/#REF!</f>
        <v>#REF!</v>
      </c>
      <c r="C121" s="4" t="e">
        <f>(#REF!-#REF!)/#REF!</f>
        <v>#REF!</v>
      </c>
      <c r="D121" s="4" t="e">
        <f>LN(#REF!/#REF!)</f>
        <v>#REF!</v>
      </c>
      <c r="E121" s="4" t="e">
        <f t="shared" si="2"/>
        <v>#REF!</v>
      </c>
      <c r="F121" s="4" t="e" cm="1">
        <f t="array" ref="F121">AVERAGE(B121:B1628-$I$4/252)/_xlfn.STDEV.S(B121:B1628-$I$4)</f>
        <v>#REF!</v>
      </c>
      <c r="G121" s="4"/>
      <c r="H121" s="4"/>
      <c r="I121" s="4"/>
      <c r="J121" s="4"/>
    </row>
    <row r="122" spans="1:10" x14ac:dyDescent="0.2">
      <c r="A122" t="e">
        <f>LEFT(#REF!,10)</f>
        <v>#REF!</v>
      </c>
      <c r="B122" s="4" t="e">
        <f>(#REF!-#REF!)/#REF!</f>
        <v>#REF!</v>
      </c>
      <c r="C122" s="4" t="e">
        <f>(#REF!-#REF!)/#REF!</f>
        <v>#REF!</v>
      </c>
      <c r="D122" s="4" t="e">
        <f>LN(#REF!/#REF!)</f>
        <v>#REF!</v>
      </c>
      <c r="E122" s="4" t="e">
        <f t="shared" si="2"/>
        <v>#REF!</v>
      </c>
      <c r="F122" s="4" t="e" cm="1">
        <f t="array" ref="F122">AVERAGE(B122:B1629-$I$4/252)/_xlfn.STDEV.S(B122:B1629-$I$4)</f>
        <v>#REF!</v>
      </c>
      <c r="G122" s="4"/>
      <c r="H122" s="4"/>
      <c r="I122" s="4"/>
      <c r="J122" s="4"/>
    </row>
    <row r="123" spans="1:10" x14ac:dyDescent="0.2">
      <c r="A123" t="e">
        <f>LEFT(#REF!,10)</f>
        <v>#REF!</v>
      </c>
      <c r="B123" s="4" t="e">
        <f>(#REF!-#REF!)/#REF!</f>
        <v>#REF!</v>
      </c>
      <c r="C123" s="4" t="e">
        <f>(#REF!-#REF!)/#REF!</f>
        <v>#REF!</v>
      </c>
      <c r="D123" s="4" t="e">
        <f>LN(#REF!/#REF!)</f>
        <v>#REF!</v>
      </c>
      <c r="E123" s="4" t="e">
        <f t="shared" si="2"/>
        <v>#REF!</v>
      </c>
      <c r="F123" s="4" t="e" cm="1">
        <f t="array" ref="F123">AVERAGE(B123:B1630-$I$4/252)/_xlfn.STDEV.S(B123:B1630-$I$4)</f>
        <v>#REF!</v>
      </c>
      <c r="G123" s="4"/>
      <c r="H123" s="4"/>
      <c r="I123" s="4"/>
      <c r="J123" s="4"/>
    </row>
    <row r="124" spans="1:10" x14ac:dyDescent="0.2">
      <c r="A124" t="e">
        <f>LEFT(#REF!,10)</f>
        <v>#REF!</v>
      </c>
      <c r="B124" s="4" t="e">
        <f>(#REF!-#REF!)/#REF!</f>
        <v>#REF!</v>
      </c>
      <c r="C124" s="4" t="e">
        <f>(#REF!-#REF!)/#REF!</f>
        <v>#REF!</v>
      </c>
      <c r="D124" s="4" t="e">
        <f>LN(#REF!/#REF!)</f>
        <v>#REF!</v>
      </c>
      <c r="E124" s="4" t="e">
        <f t="shared" si="2"/>
        <v>#REF!</v>
      </c>
      <c r="F124" s="4" t="e" cm="1">
        <f t="array" ref="F124">AVERAGE(B124:B1631-$I$4/252)/_xlfn.STDEV.S(B124:B1631-$I$4)</f>
        <v>#REF!</v>
      </c>
      <c r="G124" s="4"/>
      <c r="H124" s="4"/>
      <c r="I124" s="4"/>
      <c r="J124" s="4"/>
    </row>
    <row r="125" spans="1:10" x14ac:dyDescent="0.2">
      <c r="A125" t="e">
        <f>LEFT(#REF!,10)</f>
        <v>#REF!</v>
      </c>
      <c r="B125" s="4" t="e">
        <f>(#REF!-#REF!)/#REF!</f>
        <v>#REF!</v>
      </c>
      <c r="C125" s="4" t="e">
        <f>(#REF!-#REF!)/#REF!</f>
        <v>#REF!</v>
      </c>
      <c r="D125" s="4" t="e">
        <f>LN(#REF!/#REF!)</f>
        <v>#REF!</v>
      </c>
      <c r="E125" s="4" t="e">
        <f t="shared" si="2"/>
        <v>#REF!</v>
      </c>
      <c r="F125" s="4" t="e" cm="1">
        <f t="array" ref="F125">AVERAGE(B125:B1632-$I$4/252)/_xlfn.STDEV.S(B125:B1632-$I$4)</f>
        <v>#REF!</v>
      </c>
      <c r="G125" s="4"/>
      <c r="H125" s="4"/>
      <c r="I125" s="4"/>
      <c r="J125" s="4"/>
    </row>
    <row r="126" spans="1:10" x14ac:dyDescent="0.2">
      <c r="A126" t="e">
        <f>LEFT(#REF!,10)</f>
        <v>#REF!</v>
      </c>
      <c r="B126" s="4" t="e">
        <f>(#REF!-#REF!)/#REF!</f>
        <v>#REF!</v>
      </c>
      <c r="C126" s="4" t="e">
        <f>(#REF!-#REF!)/#REF!</f>
        <v>#REF!</v>
      </c>
      <c r="D126" s="4" t="e">
        <f>LN(#REF!/#REF!)</f>
        <v>#REF!</v>
      </c>
      <c r="E126" s="4" t="e">
        <f t="shared" si="2"/>
        <v>#REF!</v>
      </c>
      <c r="F126" s="4" t="e" cm="1">
        <f t="array" ref="F126">AVERAGE(B126:B1633-$I$4/252)/_xlfn.STDEV.S(B126:B1633-$I$4)</f>
        <v>#REF!</v>
      </c>
      <c r="G126" s="4"/>
      <c r="H126" s="4"/>
      <c r="I126" s="4"/>
      <c r="J126" s="4"/>
    </row>
    <row r="127" spans="1:10" x14ac:dyDescent="0.2">
      <c r="A127" t="e">
        <f>LEFT(#REF!,10)</f>
        <v>#REF!</v>
      </c>
      <c r="B127" s="4" t="e">
        <f>(#REF!-#REF!)/#REF!</f>
        <v>#REF!</v>
      </c>
      <c r="C127" s="4" t="e">
        <f>(#REF!-#REF!)/#REF!</f>
        <v>#REF!</v>
      </c>
      <c r="D127" s="4" t="e">
        <f>LN(#REF!/#REF!)</f>
        <v>#REF!</v>
      </c>
      <c r="E127" s="4" t="e">
        <f t="shared" si="2"/>
        <v>#REF!</v>
      </c>
      <c r="F127" s="4" t="e" cm="1">
        <f t="array" ref="F127">AVERAGE(B127:B1634-$I$4/252)/_xlfn.STDEV.S(B127:B1634-$I$4)</f>
        <v>#REF!</v>
      </c>
      <c r="G127" s="4"/>
      <c r="H127" s="4"/>
      <c r="I127" s="4"/>
      <c r="J127" s="4"/>
    </row>
    <row r="128" spans="1:10" x14ac:dyDescent="0.2">
      <c r="A128" t="e">
        <f>LEFT(#REF!,10)</f>
        <v>#REF!</v>
      </c>
      <c r="B128" s="4" t="e">
        <f>(#REF!-#REF!)/#REF!</f>
        <v>#REF!</v>
      </c>
      <c r="C128" s="4" t="e">
        <f>(#REF!-#REF!)/#REF!</f>
        <v>#REF!</v>
      </c>
      <c r="D128" s="4" t="e">
        <f>LN(#REF!/#REF!)</f>
        <v>#REF!</v>
      </c>
      <c r="E128" s="4" t="e">
        <f t="shared" si="2"/>
        <v>#REF!</v>
      </c>
      <c r="F128" s="4" t="e" cm="1">
        <f t="array" ref="F128">AVERAGE(B128:B1635-$I$4/252)/_xlfn.STDEV.S(B128:B1635-$I$4)</f>
        <v>#REF!</v>
      </c>
      <c r="G128" s="4"/>
      <c r="H128" s="4"/>
      <c r="I128" s="4"/>
      <c r="J128" s="4"/>
    </row>
    <row r="129" spans="1:10" x14ac:dyDescent="0.2">
      <c r="A129" t="e">
        <f>LEFT(#REF!,10)</f>
        <v>#REF!</v>
      </c>
      <c r="B129" s="4" t="e">
        <f>(#REF!-#REF!)/#REF!</f>
        <v>#REF!</v>
      </c>
      <c r="C129" s="4" t="e">
        <f>(#REF!-#REF!)/#REF!</f>
        <v>#REF!</v>
      </c>
      <c r="D129" s="4" t="e">
        <f>LN(#REF!/#REF!)</f>
        <v>#REF!</v>
      </c>
      <c r="E129" s="4" t="e">
        <f t="shared" si="2"/>
        <v>#REF!</v>
      </c>
      <c r="F129" s="4" t="e" cm="1">
        <f t="array" ref="F129">AVERAGE(B129:B1636-$I$4/252)/_xlfn.STDEV.S(B129:B1636-$I$4)</f>
        <v>#REF!</v>
      </c>
      <c r="G129" s="4"/>
      <c r="H129" s="4"/>
      <c r="I129" s="4"/>
      <c r="J129" s="4"/>
    </row>
    <row r="130" spans="1:10" x14ac:dyDescent="0.2">
      <c r="A130" t="e">
        <f>LEFT(#REF!,10)</f>
        <v>#REF!</v>
      </c>
      <c r="B130" s="4" t="e">
        <f>(#REF!-#REF!)/#REF!</f>
        <v>#REF!</v>
      </c>
      <c r="C130" s="4" t="e">
        <f>(#REF!-#REF!)/#REF!</f>
        <v>#REF!</v>
      </c>
      <c r="D130" s="4" t="e">
        <f>LN(#REF!/#REF!)</f>
        <v>#REF!</v>
      </c>
      <c r="E130" s="4" t="e">
        <f t="shared" si="2"/>
        <v>#REF!</v>
      </c>
      <c r="F130" s="4" t="e" cm="1">
        <f t="array" ref="F130">AVERAGE(B130:B1637-$I$4/252)/_xlfn.STDEV.S(B130:B1637-$I$4)</f>
        <v>#REF!</v>
      </c>
      <c r="G130" s="4"/>
      <c r="H130" s="4"/>
      <c r="I130" s="4"/>
      <c r="J130" s="4"/>
    </row>
    <row r="131" spans="1:10" x14ac:dyDescent="0.2">
      <c r="A131" t="e">
        <f>LEFT(#REF!,10)</f>
        <v>#REF!</v>
      </c>
      <c r="B131" s="4" t="e">
        <f>(#REF!-#REF!)/#REF!</f>
        <v>#REF!</v>
      </c>
      <c r="C131" s="4" t="e">
        <f>(#REF!-#REF!)/#REF!</f>
        <v>#REF!</v>
      </c>
      <c r="D131" s="4" t="e">
        <f>LN(#REF!/#REF!)</f>
        <v>#REF!</v>
      </c>
      <c r="E131" s="4" t="e">
        <f t="shared" si="2"/>
        <v>#REF!</v>
      </c>
      <c r="F131" s="4" t="e" cm="1">
        <f t="array" ref="F131">AVERAGE(B131:B1638-$I$4/252)/_xlfn.STDEV.S(B131:B1638-$I$4)</f>
        <v>#REF!</v>
      </c>
      <c r="G131" s="4"/>
      <c r="H131" s="4"/>
      <c r="I131" s="4"/>
      <c r="J131" s="4"/>
    </row>
    <row r="132" spans="1:10" x14ac:dyDescent="0.2">
      <c r="A132" t="e">
        <f>LEFT(#REF!,10)</f>
        <v>#REF!</v>
      </c>
      <c r="B132" s="4" t="e">
        <f>(#REF!-#REF!)/#REF!</f>
        <v>#REF!</v>
      </c>
      <c r="C132" s="4" t="e">
        <f>(#REF!-#REF!)/#REF!</f>
        <v>#REF!</v>
      </c>
      <c r="D132" s="4" t="e">
        <f>LN(#REF!/#REF!)</f>
        <v>#REF!</v>
      </c>
      <c r="E132" s="4" t="e">
        <f t="shared" si="2"/>
        <v>#REF!</v>
      </c>
      <c r="F132" s="4" t="e" cm="1">
        <f t="array" ref="F132">AVERAGE(B132:B1639-$I$4/252)/_xlfn.STDEV.S(B132:B1639-$I$4)</f>
        <v>#REF!</v>
      </c>
      <c r="G132" s="4"/>
      <c r="H132" s="4"/>
      <c r="I132" s="4"/>
      <c r="J132" s="4"/>
    </row>
    <row r="133" spans="1:10" x14ac:dyDescent="0.2">
      <c r="A133" t="e">
        <f>LEFT(#REF!,10)</f>
        <v>#REF!</v>
      </c>
      <c r="B133" s="4" t="e">
        <f>(#REF!-#REF!)/#REF!</f>
        <v>#REF!</v>
      </c>
      <c r="C133" s="4" t="e">
        <f>(#REF!-#REF!)/#REF!</f>
        <v>#REF!</v>
      </c>
      <c r="D133" s="4" t="e">
        <f>LN(#REF!/#REF!)</f>
        <v>#REF!</v>
      </c>
      <c r="E133" s="4" t="e">
        <f t="shared" ref="E133:E196" si="3">_xlfn.STDEV.S(D133:D152)</f>
        <v>#REF!</v>
      </c>
      <c r="F133" s="4" t="e" cm="1">
        <f t="array" ref="F133">AVERAGE(B133:B1640-$I$4/252)/_xlfn.STDEV.S(B133:B1640-$I$4)</f>
        <v>#REF!</v>
      </c>
      <c r="G133" s="4"/>
      <c r="H133" s="4"/>
      <c r="I133" s="4"/>
      <c r="J133" s="4"/>
    </row>
    <row r="134" spans="1:10" x14ac:dyDescent="0.2">
      <c r="A134" t="e">
        <f>LEFT(#REF!,10)</f>
        <v>#REF!</v>
      </c>
      <c r="B134" s="4" t="e">
        <f>(#REF!-#REF!)/#REF!</f>
        <v>#REF!</v>
      </c>
      <c r="C134" s="4" t="e">
        <f>(#REF!-#REF!)/#REF!</f>
        <v>#REF!</v>
      </c>
      <c r="D134" s="4" t="e">
        <f>LN(#REF!/#REF!)</f>
        <v>#REF!</v>
      </c>
      <c r="E134" s="4" t="e">
        <f t="shared" si="3"/>
        <v>#REF!</v>
      </c>
      <c r="F134" s="4" t="e" cm="1">
        <f t="array" ref="F134">AVERAGE(B134:B1641-$I$4/252)/_xlfn.STDEV.S(B134:B1641-$I$4)</f>
        <v>#REF!</v>
      </c>
      <c r="G134" s="4"/>
      <c r="H134" s="4"/>
      <c r="I134" s="4"/>
      <c r="J134" s="4"/>
    </row>
    <row r="135" spans="1:10" x14ac:dyDescent="0.2">
      <c r="A135" t="e">
        <f>LEFT(#REF!,10)</f>
        <v>#REF!</v>
      </c>
      <c r="B135" s="4" t="e">
        <f>(#REF!-#REF!)/#REF!</f>
        <v>#REF!</v>
      </c>
      <c r="C135" s="4" t="e">
        <f>(#REF!-#REF!)/#REF!</f>
        <v>#REF!</v>
      </c>
      <c r="D135" s="4" t="e">
        <f>LN(#REF!/#REF!)</f>
        <v>#REF!</v>
      </c>
      <c r="E135" s="4" t="e">
        <f t="shared" si="3"/>
        <v>#REF!</v>
      </c>
      <c r="F135" s="4" t="e" cm="1">
        <f t="array" ref="F135">AVERAGE(B135:B1642-$I$4/252)/_xlfn.STDEV.S(B135:B1642-$I$4)</f>
        <v>#REF!</v>
      </c>
      <c r="G135" s="4"/>
      <c r="H135" s="4"/>
      <c r="I135" s="4"/>
      <c r="J135" s="4"/>
    </row>
    <row r="136" spans="1:10" x14ac:dyDescent="0.2">
      <c r="A136" t="e">
        <f>LEFT(#REF!,10)</f>
        <v>#REF!</v>
      </c>
      <c r="B136" s="4" t="e">
        <f>(#REF!-#REF!)/#REF!</f>
        <v>#REF!</v>
      </c>
      <c r="C136" s="4" t="e">
        <f>(#REF!-#REF!)/#REF!</f>
        <v>#REF!</v>
      </c>
      <c r="D136" s="4" t="e">
        <f>LN(#REF!/#REF!)</f>
        <v>#REF!</v>
      </c>
      <c r="E136" s="4" t="e">
        <f t="shared" si="3"/>
        <v>#REF!</v>
      </c>
      <c r="F136" s="4" t="e" cm="1">
        <f t="array" ref="F136">AVERAGE(B136:B1643-$I$4/252)/_xlfn.STDEV.S(B136:B1643-$I$4)</f>
        <v>#REF!</v>
      </c>
      <c r="G136" s="4"/>
      <c r="H136" s="4"/>
      <c r="I136" s="4"/>
      <c r="J136" s="4"/>
    </row>
    <row r="137" spans="1:10" x14ac:dyDescent="0.2">
      <c r="A137" t="e">
        <f>LEFT(#REF!,10)</f>
        <v>#REF!</v>
      </c>
      <c r="B137" s="4" t="e">
        <f>(#REF!-#REF!)/#REF!</f>
        <v>#REF!</v>
      </c>
      <c r="C137" s="4" t="e">
        <f>(#REF!-#REF!)/#REF!</f>
        <v>#REF!</v>
      </c>
      <c r="D137" s="4" t="e">
        <f>LN(#REF!/#REF!)</f>
        <v>#REF!</v>
      </c>
      <c r="E137" s="4" t="e">
        <f t="shared" si="3"/>
        <v>#REF!</v>
      </c>
      <c r="F137" s="4" t="e" cm="1">
        <f t="array" ref="F137">AVERAGE(B137:B1644-$I$4/252)/_xlfn.STDEV.S(B137:B1644-$I$4)</f>
        <v>#REF!</v>
      </c>
      <c r="G137" s="4"/>
      <c r="H137" s="4"/>
      <c r="I137" s="4"/>
      <c r="J137" s="4"/>
    </row>
    <row r="138" spans="1:10" x14ac:dyDescent="0.2">
      <c r="A138" t="e">
        <f>LEFT(#REF!,10)</f>
        <v>#REF!</v>
      </c>
      <c r="B138" s="4" t="e">
        <f>(#REF!-#REF!)/#REF!</f>
        <v>#REF!</v>
      </c>
      <c r="C138" s="4" t="e">
        <f>(#REF!-#REF!)/#REF!</f>
        <v>#REF!</v>
      </c>
      <c r="D138" s="4" t="e">
        <f>LN(#REF!/#REF!)</f>
        <v>#REF!</v>
      </c>
      <c r="E138" s="4" t="e">
        <f t="shared" si="3"/>
        <v>#REF!</v>
      </c>
      <c r="F138" s="4" t="e" cm="1">
        <f t="array" ref="F138">AVERAGE(B138:B1645-$I$4/252)/_xlfn.STDEV.S(B138:B1645-$I$4)</f>
        <v>#REF!</v>
      </c>
      <c r="G138" s="4"/>
      <c r="H138" s="4"/>
      <c r="I138" s="4"/>
      <c r="J138" s="4"/>
    </row>
    <row r="139" spans="1:10" x14ac:dyDescent="0.2">
      <c r="A139" t="e">
        <f>LEFT(#REF!,10)</f>
        <v>#REF!</v>
      </c>
      <c r="B139" s="4" t="e">
        <f>(#REF!-#REF!)/#REF!</f>
        <v>#REF!</v>
      </c>
      <c r="C139" s="4" t="e">
        <f>(#REF!-#REF!)/#REF!</f>
        <v>#REF!</v>
      </c>
      <c r="D139" s="4" t="e">
        <f>LN(#REF!/#REF!)</f>
        <v>#REF!</v>
      </c>
      <c r="E139" s="4" t="e">
        <f t="shared" si="3"/>
        <v>#REF!</v>
      </c>
      <c r="F139" s="4" t="e" cm="1">
        <f t="array" ref="F139">AVERAGE(B139:B1646-$I$4/252)/_xlfn.STDEV.S(B139:B1646-$I$4)</f>
        <v>#REF!</v>
      </c>
      <c r="G139" s="4"/>
      <c r="H139" s="4"/>
      <c r="I139" s="4"/>
      <c r="J139" s="4"/>
    </row>
    <row r="140" spans="1:10" x14ac:dyDescent="0.2">
      <c r="A140" t="e">
        <f>LEFT(#REF!,10)</f>
        <v>#REF!</v>
      </c>
      <c r="B140" s="4" t="e">
        <f>(#REF!-#REF!)/#REF!</f>
        <v>#REF!</v>
      </c>
      <c r="C140" s="4" t="e">
        <f>(#REF!-#REF!)/#REF!</f>
        <v>#REF!</v>
      </c>
      <c r="D140" s="4" t="e">
        <f>LN(#REF!/#REF!)</f>
        <v>#REF!</v>
      </c>
      <c r="E140" s="4" t="e">
        <f t="shared" si="3"/>
        <v>#REF!</v>
      </c>
      <c r="F140" s="4" t="e" cm="1">
        <f t="array" ref="F140">AVERAGE(B140:B1647-$I$4/252)/_xlfn.STDEV.S(B140:B1647-$I$4)</f>
        <v>#REF!</v>
      </c>
      <c r="G140" s="4"/>
      <c r="H140" s="4"/>
      <c r="I140" s="4"/>
      <c r="J140" s="4"/>
    </row>
    <row r="141" spans="1:10" x14ac:dyDescent="0.2">
      <c r="A141" t="e">
        <f>LEFT(#REF!,10)</f>
        <v>#REF!</v>
      </c>
      <c r="B141" s="4" t="e">
        <f>(#REF!-#REF!)/#REF!</f>
        <v>#REF!</v>
      </c>
      <c r="C141" s="4" t="e">
        <f>(#REF!-#REF!)/#REF!</f>
        <v>#REF!</v>
      </c>
      <c r="D141" s="4" t="e">
        <f>LN(#REF!/#REF!)</f>
        <v>#REF!</v>
      </c>
      <c r="E141" s="4" t="e">
        <f t="shared" si="3"/>
        <v>#REF!</v>
      </c>
      <c r="F141" s="4" t="e" cm="1">
        <f t="array" ref="F141">AVERAGE(B141:B1648-$I$4/252)/_xlfn.STDEV.S(B141:B1648-$I$4)</f>
        <v>#REF!</v>
      </c>
      <c r="G141" s="4"/>
      <c r="H141" s="4"/>
      <c r="I141" s="4"/>
      <c r="J141" s="4"/>
    </row>
    <row r="142" spans="1:10" x14ac:dyDescent="0.2">
      <c r="A142" t="e">
        <f>LEFT(#REF!,10)</f>
        <v>#REF!</v>
      </c>
      <c r="B142" s="4" t="e">
        <f>(#REF!-#REF!)/#REF!</f>
        <v>#REF!</v>
      </c>
      <c r="C142" s="4" t="e">
        <f>(#REF!-#REF!)/#REF!</f>
        <v>#REF!</v>
      </c>
      <c r="D142" s="4" t="e">
        <f>LN(#REF!/#REF!)</f>
        <v>#REF!</v>
      </c>
      <c r="E142" s="4" t="e">
        <f t="shared" si="3"/>
        <v>#REF!</v>
      </c>
      <c r="F142" s="4" t="e" cm="1">
        <f t="array" ref="F142">AVERAGE(B142:B1649-$I$4/252)/_xlfn.STDEV.S(B142:B1649-$I$4)</f>
        <v>#REF!</v>
      </c>
      <c r="G142" s="4"/>
      <c r="H142" s="4"/>
      <c r="I142" s="4"/>
      <c r="J142" s="4"/>
    </row>
    <row r="143" spans="1:10" x14ac:dyDescent="0.2">
      <c r="A143" t="e">
        <f>LEFT(#REF!,10)</f>
        <v>#REF!</v>
      </c>
      <c r="B143" s="4" t="e">
        <f>(#REF!-#REF!)/#REF!</f>
        <v>#REF!</v>
      </c>
      <c r="C143" s="4" t="e">
        <f>(#REF!-#REF!)/#REF!</f>
        <v>#REF!</v>
      </c>
      <c r="D143" s="4" t="e">
        <f>LN(#REF!/#REF!)</f>
        <v>#REF!</v>
      </c>
      <c r="E143" s="4" t="e">
        <f t="shared" si="3"/>
        <v>#REF!</v>
      </c>
      <c r="F143" s="4" t="e" cm="1">
        <f t="array" ref="F143">AVERAGE(B143:B1650-$I$4/252)/_xlfn.STDEV.S(B143:B1650-$I$4)</f>
        <v>#REF!</v>
      </c>
      <c r="G143" s="4"/>
      <c r="H143" s="4"/>
      <c r="I143" s="4"/>
      <c r="J143" s="4"/>
    </row>
    <row r="144" spans="1:10" x14ac:dyDescent="0.2">
      <c r="A144" t="e">
        <f>LEFT(#REF!,10)</f>
        <v>#REF!</v>
      </c>
      <c r="B144" s="4" t="e">
        <f>(#REF!-#REF!)/#REF!</f>
        <v>#REF!</v>
      </c>
      <c r="C144" s="4" t="e">
        <f>(#REF!-#REF!)/#REF!</f>
        <v>#REF!</v>
      </c>
      <c r="D144" s="4" t="e">
        <f>LN(#REF!/#REF!)</f>
        <v>#REF!</v>
      </c>
      <c r="E144" s="4" t="e">
        <f t="shared" si="3"/>
        <v>#REF!</v>
      </c>
      <c r="F144" s="4" t="e" cm="1">
        <f t="array" ref="F144">AVERAGE(B144:B1651-$I$4/252)/_xlfn.STDEV.S(B144:B1651-$I$4)</f>
        <v>#REF!</v>
      </c>
      <c r="G144" s="4"/>
      <c r="H144" s="4"/>
      <c r="I144" s="4"/>
      <c r="J144" s="4"/>
    </row>
    <row r="145" spans="1:10" x14ac:dyDescent="0.2">
      <c r="A145" t="e">
        <f>LEFT(#REF!,10)</f>
        <v>#REF!</v>
      </c>
      <c r="B145" s="4" t="e">
        <f>(#REF!-#REF!)/#REF!</f>
        <v>#REF!</v>
      </c>
      <c r="C145" s="4" t="e">
        <f>(#REF!-#REF!)/#REF!</f>
        <v>#REF!</v>
      </c>
      <c r="D145" s="4" t="e">
        <f>LN(#REF!/#REF!)</f>
        <v>#REF!</v>
      </c>
      <c r="E145" s="4" t="e">
        <f t="shared" si="3"/>
        <v>#REF!</v>
      </c>
      <c r="F145" s="4" t="e" cm="1">
        <f t="array" ref="F145">AVERAGE(B145:B1652-$I$4/252)/_xlfn.STDEV.S(B145:B1652-$I$4)</f>
        <v>#REF!</v>
      </c>
      <c r="G145" s="4"/>
      <c r="H145" s="4"/>
      <c r="I145" s="4"/>
      <c r="J145" s="4"/>
    </row>
    <row r="146" spans="1:10" x14ac:dyDescent="0.2">
      <c r="A146" t="e">
        <f>LEFT(#REF!,10)</f>
        <v>#REF!</v>
      </c>
      <c r="B146" s="4" t="e">
        <f>(#REF!-#REF!)/#REF!</f>
        <v>#REF!</v>
      </c>
      <c r="C146" s="4" t="e">
        <f>(#REF!-#REF!)/#REF!</f>
        <v>#REF!</v>
      </c>
      <c r="D146" s="4" t="e">
        <f>LN(#REF!/#REF!)</f>
        <v>#REF!</v>
      </c>
      <c r="E146" s="4" t="e">
        <f t="shared" si="3"/>
        <v>#REF!</v>
      </c>
      <c r="F146" s="4" t="e" cm="1">
        <f t="array" ref="F146">AVERAGE(B146:B1653-$I$4/252)/_xlfn.STDEV.S(B146:B1653-$I$4)</f>
        <v>#REF!</v>
      </c>
      <c r="G146" s="4"/>
      <c r="H146" s="4"/>
      <c r="I146" s="4"/>
      <c r="J146" s="4"/>
    </row>
    <row r="147" spans="1:10" x14ac:dyDescent="0.2">
      <c r="A147" t="e">
        <f>LEFT(#REF!,10)</f>
        <v>#REF!</v>
      </c>
      <c r="B147" s="4" t="e">
        <f>(#REF!-#REF!)/#REF!</f>
        <v>#REF!</v>
      </c>
      <c r="C147" s="4" t="e">
        <f>(#REF!-#REF!)/#REF!</f>
        <v>#REF!</v>
      </c>
      <c r="D147" s="4" t="e">
        <f>LN(#REF!/#REF!)</f>
        <v>#REF!</v>
      </c>
      <c r="E147" s="4" t="e">
        <f t="shared" si="3"/>
        <v>#REF!</v>
      </c>
      <c r="F147" s="4" t="e" cm="1">
        <f t="array" ref="F147">AVERAGE(B147:B1654-$I$4/252)/_xlfn.STDEV.S(B147:B1654-$I$4)</f>
        <v>#REF!</v>
      </c>
      <c r="G147" s="4"/>
      <c r="H147" s="4"/>
      <c r="I147" s="4"/>
      <c r="J147" s="4"/>
    </row>
    <row r="148" spans="1:10" x14ac:dyDescent="0.2">
      <c r="A148" t="e">
        <f>LEFT(#REF!,10)</f>
        <v>#REF!</v>
      </c>
      <c r="B148" s="4" t="e">
        <f>(#REF!-#REF!)/#REF!</f>
        <v>#REF!</v>
      </c>
      <c r="C148" s="4" t="e">
        <f>(#REF!-#REF!)/#REF!</f>
        <v>#REF!</v>
      </c>
      <c r="D148" s="4" t="e">
        <f>LN(#REF!/#REF!)</f>
        <v>#REF!</v>
      </c>
      <c r="E148" s="4" t="e">
        <f t="shared" si="3"/>
        <v>#REF!</v>
      </c>
      <c r="F148" s="4" t="e" cm="1">
        <f t="array" ref="F148">AVERAGE(B148:B1655-$I$4/252)/_xlfn.STDEV.S(B148:B1655-$I$4)</f>
        <v>#REF!</v>
      </c>
      <c r="G148" s="4"/>
      <c r="H148" s="4"/>
      <c r="I148" s="4"/>
      <c r="J148" s="4"/>
    </row>
    <row r="149" spans="1:10" x14ac:dyDescent="0.2">
      <c r="A149" t="e">
        <f>LEFT(#REF!,10)</f>
        <v>#REF!</v>
      </c>
      <c r="B149" s="4" t="e">
        <f>(#REF!-#REF!)/#REF!</f>
        <v>#REF!</v>
      </c>
      <c r="C149" s="4" t="e">
        <f>(#REF!-#REF!)/#REF!</f>
        <v>#REF!</v>
      </c>
      <c r="D149" s="4" t="e">
        <f>LN(#REF!/#REF!)</f>
        <v>#REF!</v>
      </c>
      <c r="E149" s="4" t="e">
        <f t="shared" si="3"/>
        <v>#REF!</v>
      </c>
      <c r="F149" s="4" t="e" cm="1">
        <f t="array" ref="F149">AVERAGE(B149:B1656-$I$4/252)/_xlfn.STDEV.S(B149:B1656-$I$4)</f>
        <v>#REF!</v>
      </c>
      <c r="G149" s="4"/>
      <c r="H149" s="4"/>
      <c r="I149" s="4"/>
      <c r="J149" s="4"/>
    </row>
    <row r="150" spans="1:10" x14ac:dyDescent="0.2">
      <c r="A150" t="e">
        <f>LEFT(#REF!,10)</f>
        <v>#REF!</v>
      </c>
      <c r="B150" s="4" t="e">
        <f>(#REF!-#REF!)/#REF!</f>
        <v>#REF!</v>
      </c>
      <c r="C150" s="4" t="e">
        <f>(#REF!-#REF!)/#REF!</f>
        <v>#REF!</v>
      </c>
      <c r="D150" s="4" t="e">
        <f>LN(#REF!/#REF!)</f>
        <v>#REF!</v>
      </c>
      <c r="E150" s="4" t="e">
        <f t="shared" si="3"/>
        <v>#REF!</v>
      </c>
      <c r="F150" s="4" t="e" cm="1">
        <f t="array" ref="F150">AVERAGE(B150:B1657-$I$4/252)/_xlfn.STDEV.S(B150:B1657-$I$4)</f>
        <v>#REF!</v>
      </c>
      <c r="G150" s="4"/>
      <c r="H150" s="4"/>
      <c r="I150" s="4"/>
      <c r="J150" s="4"/>
    </row>
    <row r="151" spans="1:10" x14ac:dyDescent="0.2">
      <c r="A151" t="e">
        <f>LEFT(#REF!,10)</f>
        <v>#REF!</v>
      </c>
      <c r="B151" s="4" t="e">
        <f>(#REF!-#REF!)/#REF!</f>
        <v>#REF!</v>
      </c>
      <c r="C151" s="4" t="e">
        <f>(#REF!-#REF!)/#REF!</f>
        <v>#REF!</v>
      </c>
      <c r="D151" s="4" t="e">
        <f>LN(#REF!/#REF!)</f>
        <v>#REF!</v>
      </c>
      <c r="E151" s="4" t="e">
        <f t="shared" si="3"/>
        <v>#REF!</v>
      </c>
      <c r="F151" s="4" t="e" cm="1">
        <f t="array" ref="F151">AVERAGE(B151:B1658-$I$4/252)/_xlfn.STDEV.S(B151:B1658-$I$4)</f>
        <v>#REF!</v>
      </c>
      <c r="G151" s="4"/>
      <c r="H151" s="4"/>
      <c r="I151" s="4"/>
      <c r="J151" s="4"/>
    </row>
    <row r="152" spans="1:10" x14ac:dyDescent="0.2">
      <c r="A152" t="e">
        <f>LEFT(#REF!,10)</f>
        <v>#REF!</v>
      </c>
      <c r="B152" s="4" t="e">
        <f>(#REF!-#REF!)/#REF!</f>
        <v>#REF!</v>
      </c>
      <c r="C152" s="4" t="e">
        <f>(#REF!-#REF!)/#REF!</f>
        <v>#REF!</v>
      </c>
      <c r="D152" s="4" t="e">
        <f>LN(#REF!/#REF!)</f>
        <v>#REF!</v>
      </c>
      <c r="E152" s="4" t="e">
        <f t="shared" si="3"/>
        <v>#REF!</v>
      </c>
      <c r="F152" s="4" t="e" cm="1">
        <f t="array" ref="F152">AVERAGE(B152:B1659-$I$4/252)/_xlfn.STDEV.S(B152:B1659-$I$4)</f>
        <v>#REF!</v>
      </c>
      <c r="G152" s="4"/>
      <c r="H152" s="4"/>
      <c r="I152" s="4"/>
      <c r="J152" s="4"/>
    </row>
    <row r="153" spans="1:10" x14ac:dyDescent="0.2">
      <c r="A153" t="e">
        <f>LEFT(#REF!,10)</f>
        <v>#REF!</v>
      </c>
      <c r="B153" s="4" t="e">
        <f>(#REF!-#REF!)/#REF!</f>
        <v>#REF!</v>
      </c>
      <c r="C153" s="4" t="e">
        <f>(#REF!-#REF!)/#REF!</f>
        <v>#REF!</v>
      </c>
      <c r="D153" s="4" t="e">
        <f>LN(#REF!/#REF!)</f>
        <v>#REF!</v>
      </c>
      <c r="E153" s="4" t="e">
        <f t="shared" si="3"/>
        <v>#REF!</v>
      </c>
      <c r="F153" s="4" t="e" cm="1">
        <f t="array" ref="F153">AVERAGE(B153:B1660-$I$4/252)/_xlfn.STDEV.S(B153:B1660-$I$4)</f>
        <v>#REF!</v>
      </c>
      <c r="G153" s="4"/>
      <c r="H153" s="4"/>
      <c r="I153" s="4"/>
      <c r="J153" s="4"/>
    </row>
    <row r="154" spans="1:10" x14ac:dyDescent="0.2">
      <c r="A154" t="e">
        <f>LEFT(#REF!,10)</f>
        <v>#REF!</v>
      </c>
      <c r="B154" s="4" t="e">
        <f>(#REF!-#REF!)/#REF!</f>
        <v>#REF!</v>
      </c>
      <c r="C154" s="4" t="e">
        <f>(#REF!-#REF!)/#REF!</f>
        <v>#REF!</v>
      </c>
      <c r="D154" s="4" t="e">
        <f>LN(#REF!/#REF!)</f>
        <v>#REF!</v>
      </c>
      <c r="E154" s="4" t="e">
        <f t="shared" si="3"/>
        <v>#REF!</v>
      </c>
      <c r="F154" s="4" t="e" cm="1">
        <f t="array" ref="F154">AVERAGE(B154:B1661-$I$4/252)/_xlfn.STDEV.S(B154:B1661-$I$4)</f>
        <v>#REF!</v>
      </c>
      <c r="G154" s="4"/>
      <c r="H154" s="4"/>
      <c r="I154" s="4"/>
      <c r="J154" s="4"/>
    </row>
    <row r="155" spans="1:10" x14ac:dyDescent="0.2">
      <c r="A155" t="e">
        <f>LEFT(#REF!,10)</f>
        <v>#REF!</v>
      </c>
      <c r="B155" s="4" t="e">
        <f>(#REF!-#REF!)/#REF!</f>
        <v>#REF!</v>
      </c>
      <c r="C155" s="4" t="e">
        <f>(#REF!-#REF!)/#REF!</f>
        <v>#REF!</v>
      </c>
      <c r="D155" s="4" t="e">
        <f>LN(#REF!/#REF!)</f>
        <v>#REF!</v>
      </c>
      <c r="E155" s="4" t="e">
        <f t="shared" si="3"/>
        <v>#REF!</v>
      </c>
      <c r="F155" s="4" t="e" cm="1">
        <f t="array" ref="F155">AVERAGE(B155:B1662-$I$4/252)/_xlfn.STDEV.S(B155:B1662-$I$4)</f>
        <v>#REF!</v>
      </c>
      <c r="G155" s="4"/>
      <c r="H155" s="4"/>
      <c r="I155" s="4"/>
      <c r="J155" s="4"/>
    </row>
    <row r="156" spans="1:10" x14ac:dyDescent="0.2">
      <c r="A156" t="e">
        <f>LEFT(#REF!,10)</f>
        <v>#REF!</v>
      </c>
      <c r="B156" s="4" t="e">
        <f>(#REF!-#REF!)/#REF!</f>
        <v>#REF!</v>
      </c>
      <c r="C156" s="4" t="e">
        <f>(#REF!-#REF!)/#REF!</f>
        <v>#REF!</v>
      </c>
      <c r="D156" s="4" t="e">
        <f>LN(#REF!/#REF!)</f>
        <v>#REF!</v>
      </c>
      <c r="E156" s="4" t="e">
        <f t="shared" si="3"/>
        <v>#REF!</v>
      </c>
      <c r="F156" s="4" t="e" cm="1">
        <f t="array" ref="F156">AVERAGE(B156:B1663-$I$4/252)/_xlfn.STDEV.S(B156:B1663-$I$4)</f>
        <v>#REF!</v>
      </c>
      <c r="G156" s="4"/>
      <c r="H156" s="4"/>
      <c r="I156" s="4"/>
      <c r="J156" s="4"/>
    </row>
    <row r="157" spans="1:10" x14ac:dyDescent="0.2">
      <c r="A157" t="e">
        <f>LEFT(#REF!,10)</f>
        <v>#REF!</v>
      </c>
      <c r="B157" s="4" t="e">
        <f>(#REF!-#REF!)/#REF!</f>
        <v>#REF!</v>
      </c>
      <c r="C157" s="4" t="e">
        <f>(#REF!-#REF!)/#REF!</f>
        <v>#REF!</v>
      </c>
      <c r="D157" s="4" t="e">
        <f>LN(#REF!/#REF!)</f>
        <v>#REF!</v>
      </c>
      <c r="E157" s="4" t="e">
        <f t="shared" si="3"/>
        <v>#REF!</v>
      </c>
      <c r="F157" s="4" t="e" cm="1">
        <f t="array" ref="F157">AVERAGE(B157:B1664-$I$4/252)/_xlfn.STDEV.S(B157:B1664-$I$4)</f>
        <v>#REF!</v>
      </c>
      <c r="G157" s="4"/>
      <c r="H157" s="4"/>
      <c r="I157" s="4"/>
      <c r="J157" s="4"/>
    </row>
    <row r="158" spans="1:10" x14ac:dyDescent="0.2">
      <c r="A158" t="e">
        <f>LEFT(#REF!,10)</f>
        <v>#REF!</v>
      </c>
      <c r="B158" s="4" t="e">
        <f>(#REF!-#REF!)/#REF!</f>
        <v>#REF!</v>
      </c>
      <c r="C158" s="4" t="e">
        <f>(#REF!-#REF!)/#REF!</f>
        <v>#REF!</v>
      </c>
      <c r="D158" s="4" t="e">
        <f>LN(#REF!/#REF!)</f>
        <v>#REF!</v>
      </c>
      <c r="E158" s="4" t="e">
        <f t="shared" si="3"/>
        <v>#REF!</v>
      </c>
      <c r="F158" s="4" t="e" cm="1">
        <f t="array" ref="F158">AVERAGE(B158:B1665-$I$4/252)/_xlfn.STDEV.S(B158:B1665-$I$4)</f>
        <v>#REF!</v>
      </c>
      <c r="G158" s="4"/>
      <c r="H158" s="4"/>
      <c r="I158" s="4"/>
      <c r="J158" s="4"/>
    </row>
    <row r="159" spans="1:10" x14ac:dyDescent="0.2">
      <c r="A159" t="e">
        <f>LEFT(#REF!,10)</f>
        <v>#REF!</v>
      </c>
      <c r="B159" s="4" t="e">
        <f>(#REF!-#REF!)/#REF!</f>
        <v>#REF!</v>
      </c>
      <c r="C159" s="4" t="e">
        <f>(#REF!-#REF!)/#REF!</f>
        <v>#REF!</v>
      </c>
      <c r="D159" s="4" t="e">
        <f>LN(#REF!/#REF!)</f>
        <v>#REF!</v>
      </c>
      <c r="E159" s="4" t="e">
        <f t="shared" si="3"/>
        <v>#REF!</v>
      </c>
      <c r="F159" s="4" t="e" cm="1">
        <f t="array" ref="F159">AVERAGE(B159:B1666-$I$4/252)/_xlfn.STDEV.S(B159:B1666-$I$4)</f>
        <v>#REF!</v>
      </c>
      <c r="G159" s="4"/>
      <c r="H159" s="4"/>
      <c r="I159" s="4"/>
      <c r="J159" s="4"/>
    </row>
    <row r="160" spans="1:10" x14ac:dyDescent="0.2">
      <c r="A160" t="e">
        <f>LEFT(#REF!,10)</f>
        <v>#REF!</v>
      </c>
      <c r="B160" s="4" t="e">
        <f>(#REF!-#REF!)/#REF!</f>
        <v>#REF!</v>
      </c>
      <c r="C160" s="4" t="e">
        <f>(#REF!-#REF!)/#REF!</f>
        <v>#REF!</v>
      </c>
      <c r="D160" s="4" t="e">
        <f>LN(#REF!/#REF!)</f>
        <v>#REF!</v>
      </c>
      <c r="E160" s="4" t="e">
        <f t="shared" si="3"/>
        <v>#REF!</v>
      </c>
      <c r="F160" s="4" t="e" cm="1">
        <f t="array" ref="F160">AVERAGE(B160:B1667-$I$4/252)/_xlfn.STDEV.S(B160:B1667-$I$4)</f>
        <v>#REF!</v>
      </c>
      <c r="G160" s="4"/>
      <c r="H160" s="4"/>
      <c r="I160" s="4"/>
      <c r="J160" s="4"/>
    </row>
    <row r="161" spans="1:10" x14ac:dyDescent="0.2">
      <c r="A161" t="e">
        <f>LEFT(#REF!,10)</f>
        <v>#REF!</v>
      </c>
      <c r="B161" s="4" t="e">
        <f>(#REF!-#REF!)/#REF!</f>
        <v>#REF!</v>
      </c>
      <c r="C161" s="4" t="e">
        <f>(#REF!-#REF!)/#REF!</f>
        <v>#REF!</v>
      </c>
      <c r="D161" s="4" t="e">
        <f>LN(#REF!/#REF!)</f>
        <v>#REF!</v>
      </c>
      <c r="E161" s="4" t="e">
        <f t="shared" si="3"/>
        <v>#REF!</v>
      </c>
      <c r="F161" s="4" t="e" cm="1">
        <f t="array" ref="F161">AVERAGE(B161:B1668-$I$4/252)/_xlfn.STDEV.S(B161:B1668-$I$4)</f>
        <v>#REF!</v>
      </c>
      <c r="G161" s="4"/>
      <c r="H161" s="4"/>
      <c r="I161" s="4"/>
      <c r="J161" s="4"/>
    </row>
    <row r="162" spans="1:10" x14ac:dyDescent="0.2">
      <c r="A162" t="e">
        <f>LEFT(#REF!,10)</f>
        <v>#REF!</v>
      </c>
      <c r="B162" s="4" t="e">
        <f>(#REF!-#REF!)/#REF!</f>
        <v>#REF!</v>
      </c>
      <c r="C162" s="4" t="e">
        <f>(#REF!-#REF!)/#REF!</f>
        <v>#REF!</v>
      </c>
      <c r="D162" s="4" t="e">
        <f>LN(#REF!/#REF!)</f>
        <v>#REF!</v>
      </c>
      <c r="E162" s="4" t="e">
        <f t="shared" si="3"/>
        <v>#REF!</v>
      </c>
      <c r="F162" s="4" t="e" cm="1">
        <f t="array" ref="F162">AVERAGE(B162:B1669-$I$4/252)/_xlfn.STDEV.S(B162:B1669-$I$4)</f>
        <v>#REF!</v>
      </c>
      <c r="G162" s="4"/>
      <c r="H162" s="4"/>
      <c r="I162" s="4"/>
      <c r="J162" s="4"/>
    </row>
    <row r="163" spans="1:10" x14ac:dyDescent="0.2">
      <c r="A163" t="e">
        <f>LEFT(#REF!,10)</f>
        <v>#REF!</v>
      </c>
      <c r="B163" s="4" t="e">
        <f>(#REF!-#REF!)/#REF!</f>
        <v>#REF!</v>
      </c>
      <c r="C163" s="4" t="e">
        <f>(#REF!-#REF!)/#REF!</f>
        <v>#REF!</v>
      </c>
      <c r="D163" s="4" t="e">
        <f>LN(#REF!/#REF!)</f>
        <v>#REF!</v>
      </c>
      <c r="E163" s="4" t="e">
        <f t="shared" si="3"/>
        <v>#REF!</v>
      </c>
      <c r="F163" s="4" t="e" cm="1">
        <f t="array" ref="F163">AVERAGE(B163:B1670-$I$4/252)/_xlfn.STDEV.S(B163:B1670-$I$4)</f>
        <v>#REF!</v>
      </c>
      <c r="G163" s="4"/>
      <c r="H163" s="4"/>
      <c r="I163" s="4"/>
      <c r="J163" s="4"/>
    </row>
    <row r="164" spans="1:10" x14ac:dyDescent="0.2">
      <c r="A164" t="e">
        <f>LEFT(#REF!,10)</f>
        <v>#REF!</v>
      </c>
      <c r="B164" s="4" t="e">
        <f>(#REF!-#REF!)/#REF!</f>
        <v>#REF!</v>
      </c>
      <c r="C164" s="4" t="e">
        <f>(#REF!-#REF!)/#REF!</f>
        <v>#REF!</v>
      </c>
      <c r="D164" s="4" t="e">
        <f>LN(#REF!/#REF!)</f>
        <v>#REF!</v>
      </c>
      <c r="E164" s="4" t="e">
        <f t="shared" si="3"/>
        <v>#REF!</v>
      </c>
      <c r="F164" s="4" t="e" cm="1">
        <f t="array" ref="F164">AVERAGE(B164:B1671-$I$4/252)/_xlfn.STDEV.S(B164:B1671-$I$4)</f>
        <v>#REF!</v>
      </c>
      <c r="G164" s="4"/>
      <c r="H164" s="4"/>
      <c r="I164" s="4"/>
      <c r="J164" s="4"/>
    </row>
    <row r="165" spans="1:10" x14ac:dyDescent="0.2">
      <c r="A165" t="e">
        <f>LEFT(#REF!,10)</f>
        <v>#REF!</v>
      </c>
      <c r="B165" s="4" t="e">
        <f>(#REF!-#REF!)/#REF!</f>
        <v>#REF!</v>
      </c>
      <c r="C165" s="4" t="e">
        <f>(#REF!-#REF!)/#REF!</f>
        <v>#REF!</v>
      </c>
      <c r="D165" s="4" t="e">
        <f>LN(#REF!/#REF!)</f>
        <v>#REF!</v>
      </c>
      <c r="E165" s="4" t="e">
        <f t="shared" si="3"/>
        <v>#REF!</v>
      </c>
      <c r="F165" s="4" t="e" cm="1">
        <f t="array" ref="F165">AVERAGE(B165:B1672-$I$4/252)/_xlfn.STDEV.S(B165:B1672-$I$4)</f>
        <v>#REF!</v>
      </c>
      <c r="G165" s="4"/>
      <c r="H165" s="4"/>
      <c r="I165" s="4"/>
      <c r="J165" s="4"/>
    </row>
    <row r="166" spans="1:10" x14ac:dyDescent="0.2">
      <c r="A166" t="e">
        <f>LEFT(#REF!,10)</f>
        <v>#REF!</v>
      </c>
      <c r="B166" s="4" t="e">
        <f>(#REF!-#REF!)/#REF!</f>
        <v>#REF!</v>
      </c>
      <c r="C166" s="4" t="e">
        <f>(#REF!-#REF!)/#REF!</f>
        <v>#REF!</v>
      </c>
      <c r="D166" s="4" t="e">
        <f>LN(#REF!/#REF!)</f>
        <v>#REF!</v>
      </c>
      <c r="E166" s="4" t="e">
        <f t="shared" si="3"/>
        <v>#REF!</v>
      </c>
      <c r="F166" s="4" t="e" cm="1">
        <f t="array" ref="F166">AVERAGE(B166:B1673-$I$4/252)/_xlfn.STDEV.S(B166:B1673-$I$4)</f>
        <v>#REF!</v>
      </c>
      <c r="G166" s="4"/>
      <c r="H166" s="4"/>
      <c r="I166" s="4"/>
      <c r="J166" s="4"/>
    </row>
    <row r="167" spans="1:10" x14ac:dyDescent="0.2">
      <c r="A167" t="e">
        <f>LEFT(#REF!,10)</f>
        <v>#REF!</v>
      </c>
      <c r="B167" s="4" t="e">
        <f>(#REF!-#REF!)/#REF!</f>
        <v>#REF!</v>
      </c>
      <c r="C167" s="4" t="e">
        <f>(#REF!-#REF!)/#REF!</f>
        <v>#REF!</v>
      </c>
      <c r="D167" s="4" t="e">
        <f>LN(#REF!/#REF!)</f>
        <v>#REF!</v>
      </c>
      <c r="E167" s="4" t="e">
        <f t="shared" si="3"/>
        <v>#REF!</v>
      </c>
      <c r="F167" s="4" t="e" cm="1">
        <f t="array" ref="F167">AVERAGE(B167:B1674-$I$4/252)/_xlfn.STDEV.S(B167:B1674-$I$4)</f>
        <v>#REF!</v>
      </c>
      <c r="G167" s="4"/>
      <c r="H167" s="4"/>
      <c r="I167" s="4"/>
      <c r="J167" s="4"/>
    </row>
    <row r="168" spans="1:10" x14ac:dyDescent="0.2">
      <c r="A168" t="e">
        <f>LEFT(#REF!,10)</f>
        <v>#REF!</v>
      </c>
      <c r="B168" s="4" t="e">
        <f>(#REF!-#REF!)/#REF!</f>
        <v>#REF!</v>
      </c>
      <c r="C168" s="4" t="e">
        <f>(#REF!-#REF!)/#REF!</f>
        <v>#REF!</v>
      </c>
      <c r="D168" s="4" t="e">
        <f>LN(#REF!/#REF!)</f>
        <v>#REF!</v>
      </c>
      <c r="E168" s="4" t="e">
        <f t="shared" si="3"/>
        <v>#REF!</v>
      </c>
      <c r="F168" s="4" t="e" cm="1">
        <f t="array" ref="F168">AVERAGE(B168:B1675-$I$4/252)/_xlfn.STDEV.S(B168:B1675-$I$4)</f>
        <v>#REF!</v>
      </c>
      <c r="G168" s="4"/>
      <c r="H168" s="4"/>
      <c r="I168" s="4"/>
      <c r="J168" s="4"/>
    </row>
    <row r="169" spans="1:10" x14ac:dyDescent="0.2">
      <c r="A169" t="e">
        <f>LEFT(#REF!,10)</f>
        <v>#REF!</v>
      </c>
      <c r="B169" s="4" t="e">
        <f>(#REF!-#REF!)/#REF!</f>
        <v>#REF!</v>
      </c>
      <c r="C169" s="4" t="e">
        <f>(#REF!-#REF!)/#REF!</f>
        <v>#REF!</v>
      </c>
      <c r="D169" s="4" t="e">
        <f>LN(#REF!/#REF!)</f>
        <v>#REF!</v>
      </c>
      <c r="E169" s="4" t="e">
        <f t="shared" si="3"/>
        <v>#REF!</v>
      </c>
      <c r="F169" s="4" t="e" cm="1">
        <f t="array" ref="F169">AVERAGE(B169:B1676-$I$4/252)/_xlfn.STDEV.S(B169:B1676-$I$4)</f>
        <v>#REF!</v>
      </c>
      <c r="G169" s="4"/>
      <c r="H169" s="4"/>
      <c r="I169" s="4"/>
      <c r="J169" s="4"/>
    </row>
    <row r="170" spans="1:10" x14ac:dyDescent="0.2">
      <c r="A170" t="e">
        <f>LEFT(#REF!,10)</f>
        <v>#REF!</v>
      </c>
      <c r="B170" s="4" t="e">
        <f>(#REF!-#REF!)/#REF!</f>
        <v>#REF!</v>
      </c>
      <c r="C170" s="4" t="e">
        <f>(#REF!-#REF!)/#REF!</f>
        <v>#REF!</v>
      </c>
      <c r="D170" s="4" t="e">
        <f>LN(#REF!/#REF!)</f>
        <v>#REF!</v>
      </c>
      <c r="E170" s="4" t="e">
        <f t="shared" si="3"/>
        <v>#REF!</v>
      </c>
      <c r="F170" s="4" t="e" cm="1">
        <f t="array" ref="F170">AVERAGE(B170:B1677-$I$4/252)/_xlfn.STDEV.S(B170:B1677-$I$4)</f>
        <v>#REF!</v>
      </c>
      <c r="G170" s="4"/>
      <c r="H170" s="4"/>
      <c r="I170" s="4"/>
      <c r="J170" s="4"/>
    </row>
    <row r="171" spans="1:10" x14ac:dyDescent="0.2">
      <c r="A171" t="e">
        <f>LEFT(#REF!,10)</f>
        <v>#REF!</v>
      </c>
      <c r="B171" s="4" t="e">
        <f>(#REF!-#REF!)/#REF!</f>
        <v>#REF!</v>
      </c>
      <c r="C171" s="4" t="e">
        <f>(#REF!-#REF!)/#REF!</f>
        <v>#REF!</v>
      </c>
      <c r="D171" s="4" t="e">
        <f>LN(#REF!/#REF!)</f>
        <v>#REF!</v>
      </c>
      <c r="E171" s="4" t="e">
        <f t="shared" si="3"/>
        <v>#REF!</v>
      </c>
      <c r="F171" s="4" t="e" cm="1">
        <f t="array" ref="F171">AVERAGE(B171:B1678-$I$4/252)/_xlfn.STDEV.S(B171:B1678-$I$4)</f>
        <v>#REF!</v>
      </c>
      <c r="G171" s="4"/>
      <c r="H171" s="4"/>
      <c r="I171" s="4"/>
      <c r="J171" s="4"/>
    </row>
    <row r="172" spans="1:10" x14ac:dyDescent="0.2">
      <c r="A172" t="e">
        <f>LEFT(#REF!,10)</f>
        <v>#REF!</v>
      </c>
      <c r="B172" s="4" t="e">
        <f>(#REF!-#REF!)/#REF!</f>
        <v>#REF!</v>
      </c>
      <c r="C172" s="4" t="e">
        <f>(#REF!-#REF!)/#REF!</f>
        <v>#REF!</v>
      </c>
      <c r="D172" s="4" t="e">
        <f>LN(#REF!/#REF!)</f>
        <v>#REF!</v>
      </c>
      <c r="E172" s="4" t="e">
        <f t="shared" si="3"/>
        <v>#REF!</v>
      </c>
      <c r="F172" s="4" t="e" cm="1">
        <f t="array" ref="F172">AVERAGE(B172:B1679-$I$4/252)/_xlfn.STDEV.S(B172:B1679-$I$4)</f>
        <v>#REF!</v>
      </c>
      <c r="G172" s="4"/>
      <c r="H172" s="4"/>
      <c r="I172" s="4"/>
      <c r="J172" s="4"/>
    </row>
    <row r="173" spans="1:10" x14ac:dyDescent="0.2">
      <c r="A173" t="e">
        <f>LEFT(#REF!,10)</f>
        <v>#REF!</v>
      </c>
      <c r="B173" s="4" t="e">
        <f>(#REF!-#REF!)/#REF!</f>
        <v>#REF!</v>
      </c>
      <c r="C173" s="4" t="e">
        <f>(#REF!-#REF!)/#REF!</f>
        <v>#REF!</v>
      </c>
      <c r="D173" s="4" t="e">
        <f>LN(#REF!/#REF!)</f>
        <v>#REF!</v>
      </c>
      <c r="E173" s="4" t="e">
        <f t="shared" si="3"/>
        <v>#REF!</v>
      </c>
      <c r="F173" s="4" t="e" cm="1">
        <f t="array" ref="F173">AVERAGE(B173:B1680-$I$4/252)/_xlfn.STDEV.S(B173:B1680-$I$4)</f>
        <v>#REF!</v>
      </c>
      <c r="G173" s="4"/>
      <c r="H173" s="4"/>
      <c r="I173" s="4"/>
      <c r="J173" s="4"/>
    </row>
    <row r="174" spans="1:10" x14ac:dyDescent="0.2">
      <c r="A174" t="e">
        <f>LEFT(#REF!,10)</f>
        <v>#REF!</v>
      </c>
      <c r="B174" s="4" t="e">
        <f>(#REF!-#REF!)/#REF!</f>
        <v>#REF!</v>
      </c>
      <c r="C174" s="4" t="e">
        <f>(#REF!-#REF!)/#REF!</f>
        <v>#REF!</v>
      </c>
      <c r="D174" s="4" t="e">
        <f>LN(#REF!/#REF!)</f>
        <v>#REF!</v>
      </c>
      <c r="E174" s="4" t="e">
        <f t="shared" si="3"/>
        <v>#REF!</v>
      </c>
      <c r="F174" s="4" t="e" cm="1">
        <f t="array" ref="F174">AVERAGE(B174:B1681-$I$4/252)/_xlfn.STDEV.S(B174:B1681-$I$4)</f>
        <v>#REF!</v>
      </c>
      <c r="G174" s="4"/>
      <c r="H174" s="4"/>
      <c r="I174" s="4"/>
      <c r="J174" s="4"/>
    </row>
    <row r="175" spans="1:10" x14ac:dyDescent="0.2">
      <c r="A175" t="e">
        <f>LEFT(#REF!,10)</f>
        <v>#REF!</v>
      </c>
      <c r="B175" s="4" t="e">
        <f>(#REF!-#REF!)/#REF!</f>
        <v>#REF!</v>
      </c>
      <c r="C175" s="4" t="e">
        <f>(#REF!-#REF!)/#REF!</f>
        <v>#REF!</v>
      </c>
      <c r="D175" s="4" t="e">
        <f>LN(#REF!/#REF!)</f>
        <v>#REF!</v>
      </c>
      <c r="E175" s="4" t="e">
        <f t="shared" si="3"/>
        <v>#REF!</v>
      </c>
      <c r="F175" s="4" t="e" cm="1">
        <f t="array" ref="F175">AVERAGE(B175:B1682-$I$4/252)/_xlfn.STDEV.S(B175:B1682-$I$4)</f>
        <v>#REF!</v>
      </c>
      <c r="G175" s="4"/>
      <c r="H175" s="4"/>
      <c r="I175" s="4"/>
      <c r="J175" s="4"/>
    </row>
    <row r="176" spans="1:10" x14ac:dyDescent="0.2">
      <c r="A176" t="e">
        <f>LEFT(#REF!,10)</f>
        <v>#REF!</v>
      </c>
      <c r="B176" s="4" t="e">
        <f>(#REF!-#REF!)/#REF!</f>
        <v>#REF!</v>
      </c>
      <c r="C176" s="4" t="e">
        <f>(#REF!-#REF!)/#REF!</f>
        <v>#REF!</v>
      </c>
      <c r="D176" s="4" t="e">
        <f>LN(#REF!/#REF!)</f>
        <v>#REF!</v>
      </c>
      <c r="E176" s="4" t="e">
        <f t="shared" si="3"/>
        <v>#REF!</v>
      </c>
      <c r="F176" s="4" t="e" cm="1">
        <f t="array" ref="F176">AVERAGE(B176:B1683-$I$4/252)/_xlfn.STDEV.S(B176:B1683-$I$4)</f>
        <v>#REF!</v>
      </c>
      <c r="G176" s="4"/>
      <c r="H176" s="4"/>
      <c r="I176" s="4"/>
      <c r="J176" s="4"/>
    </row>
    <row r="177" spans="1:10" x14ac:dyDescent="0.2">
      <c r="A177" t="e">
        <f>LEFT(#REF!,10)</f>
        <v>#REF!</v>
      </c>
      <c r="B177" s="4" t="e">
        <f>(#REF!-#REF!)/#REF!</f>
        <v>#REF!</v>
      </c>
      <c r="C177" s="4" t="e">
        <f>(#REF!-#REF!)/#REF!</f>
        <v>#REF!</v>
      </c>
      <c r="D177" s="4" t="e">
        <f>LN(#REF!/#REF!)</f>
        <v>#REF!</v>
      </c>
      <c r="E177" s="4" t="e">
        <f t="shared" si="3"/>
        <v>#REF!</v>
      </c>
      <c r="F177" s="4" t="e" cm="1">
        <f t="array" ref="F177">AVERAGE(B177:B1684-$I$4/252)/_xlfn.STDEV.S(B177:B1684-$I$4)</f>
        <v>#REF!</v>
      </c>
      <c r="G177" s="4"/>
      <c r="H177" s="4"/>
      <c r="I177" s="4"/>
      <c r="J177" s="4"/>
    </row>
    <row r="178" spans="1:10" x14ac:dyDescent="0.2">
      <c r="A178" t="e">
        <f>LEFT(#REF!,10)</f>
        <v>#REF!</v>
      </c>
      <c r="B178" s="4" t="e">
        <f>(#REF!-#REF!)/#REF!</f>
        <v>#REF!</v>
      </c>
      <c r="C178" s="4" t="e">
        <f>(#REF!-#REF!)/#REF!</f>
        <v>#REF!</v>
      </c>
      <c r="D178" s="4" t="e">
        <f>LN(#REF!/#REF!)</f>
        <v>#REF!</v>
      </c>
      <c r="E178" s="4" t="e">
        <f t="shared" si="3"/>
        <v>#REF!</v>
      </c>
      <c r="F178" s="4" t="e" cm="1">
        <f t="array" ref="F178">AVERAGE(B178:B1685-$I$4/252)/_xlfn.STDEV.S(B178:B1685-$I$4)</f>
        <v>#REF!</v>
      </c>
      <c r="G178" s="4"/>
      <c r="H178" s="4"/>
      <c r="I178" s="4"/>
      <c r="J178" s="4"/>
    </row>
    <row r="179" spans="1:10" x14ac:dyDescent="0.2">
      <c r="A179" t="e">
        <f>LEFT(#REF!,10)</f>
        <v>#REF!</v>
      </c>
      <c r="B179" s="4" t="e">
        <f>(#REF!-#REF!)/#REF!</f>
        <v>#REF!</v>
      </c>
      <c r="C179" s="4" t="e">
        <f>(#REF!-#REF!)/#REF!</f>
        <v>#REF!</v>
      </c>
      <c r="D179" s="4" t="e">
        <f>LN(#REF!/#REF!)</f>
        <v>#REF!</v>
      </c>
      <c r="E179" s="4" t="e">
        <f t="shared" si="3"/>
        <v>#REF!</v>
      </c>
      <c r="F179" s="4" t="e" cm="1">
        <f t="array" ref="F179">AVERAGE(B179:B1686-$I$4/252)/_xlfn.STDEV.S(B179:B1686-$I$4)</f>
        <v>#REF!</v>
      </c>
      <c r="G179" s="4"/>
      <c r="H179" s="4"/>
      <c r="I179" s="4"/>
      <c r="J179" s="4"/>
    </row>
    <row r="180" spans="1:10" x14ac:dyDescent="0.2">
      <c r="A180" t="e">
        <f>LEFT(#REF!,10)</f>
        <v>#REF!</v>
      </c>
      <c r="B180" s="4" t="e">
        <f>(#REF!-#REF!)/#REF!</f>
        <v>#REF!</v>
      </c>
      <c r="C180" s="4" t="e">
        <f>(#REF!-#REF!)/#REF!</f>
        <v>#REF!</v>
      </c>
      <c r="D180" s="4" t="e">
        <f>LN(#REF!/#REF!)</f>
        <v>#REF!</v>
      </c>
      <c r="E180" s="4" t="e">
        <f t="shared" si="3"/>
        <v>#REF!</v>
      </c>
      <c r="F180" s="4" t="e" cm="1">
        <f t="array" ref="F180">AVERAGE(B180:B1687-$I$4/252)/_xlfn.STDEV.S(B180:B1687-$I$4)</f>
        <v>#REF!</v>
      </c>
      <c r="G180" s="4"/>
      <c r="H180" s="4"/>
      <c r="I180" s="4"/>
      <c r="J180" s="4"/>
    </row>
    <row r="181" spans="1:10" x14ac:dyDescent="0.2">
      <c r="A181" t="e">
        <f>LEFT(#REF!,10)</f>
        <v>#REF!</v>
      </c>
      <c r="B181" s="4" t="e">
        <f>(#REF!-#REF!)/#REF!</f>
        <v>#REF!</v>
      </c>
      <c r="C181" s="4" t="e">
        <f>(#REF!-#REF!)/#REF!</f>
        <v>#REF!</v>
      </c>
      <c r="D181" s="4" t="e">
        <f>LN(#REF!/#REF!)</f>
        <v>#REF!</v>
      </c>
      <c r="E181" s="4" t="e">
        <f t="shared" si="3"/>
        <v>#REF!</v>
      </c>
      <c r="F181" s="4" t="e" cm="1">
        <f t="array" ref="F181">AVERAGE(B181:B1688-$I$4/252)/_xlfn.STDEV.S(B181:B1688-$I$4)</f>
        <v>#REF!</v>
      </c>
      <c r="G181" s="4"/>
      <c r="H181" s="4"/>
      <c r="I181" s="4"/>
      <c r="J181" s="4"/>
    </row>
    <row r="182" spans="1:10" x14ac:dyDescent="0.2">
      <c r="A182" t="e">
        <f>LEFT(#REF!,10)</f>
        <v>#REF!</v>
      </c>
      <c r="B182" s="4" t="e">
        <f>(#REF!-#REF!)/#REF!</f>
        <v>#REF!</v>
      </c>
      <c r="C182" s="4" t="e">
        <f>(#REF!-#REF!)/#REF!</f>
        <v>#REF!</v>
      </c>
      <c r="D182" s="4" t="e">
        <f>LN(#REF!/#REF!)</f>
        <v>#REF!</v>
      </c>
      <c r="E182" s="4" t="e">
        <f t="shared" si="3"/>
        <v>#REF!</v>
      </c>
      <c r="F182" s="4" t="e" cm="1">
        <f t="array" ref="F182">AVERAGE(B182:B1689-$I$4/252)/_xlfn.STDEV.S(B182:B1689-$I$4)</f>
        <v>#REF!</v>
      </c>
      <c r="G182" s="4"/>
      <c r="H182" s="4"/>
      <c r="I182" s="4"/>
      <c r="J182" s="4"/>
    </row>
    <row r="183" spans="1:10" x14ac:dyDescent="0.2">
      <c r="A183" t="e">
        <f>LEFT(#REF!,10)</f>
        <v>#REF!</v>
      </c>
      <c r="B183" s="4" t="e">
        <f>(#REF!-#REF!)/#REF!</f>
        <v>#REF!</v>
      </c>
      <c r="C183" s="4" t="e">
        <f>(#REF!-#REF!)/#REF!</f>
        <v>#REF!</v>
      </c>
      <c r="D183" s="4" t="e">
        <f>LN(#REF!/#REF!)</f>
        <v>#REF!</v>
      </c>
      <c r="E183" s="4" t="e">
        <f t="shared" si="3"/>
        <v>#REF!</v>
      </c>
      <c r="F183" s="4" t="e" cm="1">
        <f t="array" ref="F183">AVERAGE(B183:B1690-$I$4/252)/_xlfn.STDEV.S(B183:B1690-$I$4)</f>
        <v>#REF!</v>
      </c>
      <c r="G183" s="4"/>
      <c r="H183" s="4"/>
      <c r="I183" s="4"/>
      <c r="J183" s="4"/>
    </row>
    <row r="184" spans="1:10" x14ac:dyDescent="0.2">
      <c r="A184" t="e">
        <f>LEFT(#REF!,10)</f>
        <v>#REF!</v>
      </c>
      <c r="B184" s="4" t="e">
        <f>(#REF!-#REF!)/#REF!</f>
        <v>#REF!</v>
      </c>
      <c r="C184" s="4" t="e">
        <f>(#REF!-#REF!)/#REF!</f>
        <v>#REF!</v>
      </c>
      <c r="D184" s="4" t="e">
        <f>LN(#REF!/#REF!)</f>
        <v>#REF!</v>
      </c>
      <c r="E184" s="4" t="e">
        <f t="shared" si="3"/>
        <v>#REF!</v>
      </c>
      <c r="F184" s="4" t="e" cm="1">
        <f t="array" ref="F184">AVERAGE(B184:B1691-$I$4/252)/_xlfn.STDEV.S(B184:B1691-$I$4)</f>
        <v>#REF!</v>
      </c>
      <c r="G184" s="4"/>
      <c r="H184" s="4"/>
      <c r="I184" s="4"/>
      <c r="J184" s="4"/>
    </row>
    <row r="185" spans="1:10" x14ac:dyDescent="0.2">
      <c r="A185" t="e">
        <f>LEFT(#REF!,10)</f>
        <v>#REF!</v>
      </c>
      <c r="B185" s="4" t="e">
        <f>(#REF!-#REF!)/#REF!</f>
        <v>#REF!</v>
      </c>
      <c r="C185" s="4" t="e">
        <f>(#REF!-#REF!)/#REF!</f>
        <v>#REF!</v>
      </c>
      <c r="D185" s="4" t="e">
        <f>LN(#REF!/#REF!)</f>
        <v>#REF!</v>
      </c>
      <c r="E185" s="4" t="e">
        <f t="shared" si="3"/>
        <v>#REF!</v>
      </c>
      <c r="F185" s="4" t="e" cm="1">
        <f t="array" ref="F185">AVERAGE(B185:B1692-$I$4/252)/_xlfn.STDEV.S(B185:B1692-$I$4)</f>
        <v>#REF!</v>
      </c>
      <c r="G185" s="4"/>
      <c r="H185" s="4"/>
      <c r="I185" s="4"/>
      <c r="J185" s="4"/>
    </row>
    <row r="186" spans="1:10" x14ac:dyDescent="0.2">
      <c r="A186" t="e">
        <f>LEFT(#REF!,10)</f>
        <v>#REF!</v>
      </c>
      <c r="B186" s="4" t="e">
        <f>(#REF!-#REF!)/#REF!</f>
        <v>#REF!</v>
      </c>
      <c r="C186" s="4" t="e">
        <f>(#REF!-#REF!)/#REF!</f>
        <v>#REF!</v>
      </c>
      <c r="D186" s="4" t="e">
        <f>LN(#REF!/#REF!)</f>
        <v>#REF!</v>
      </c>
      <c r="E186" s="4" t="e">
        <f t="shared" si="3"/>
        <v>#REF!</v>
      </c>
      <c r="F186" s="4" t="e" cm="1">
        <f t="array" ref="F186">AVERAGE(B186:B1693-$I$4/252)/_xlfn.STDEV.S(B186:B1693-$I$4)</f>
        <v>#REF!</v>
      </c>
      <c r="G186" s="4"/>
      <c r="H186" s="4"/>
      <c r="I186" s="4"/>
      <c r="J186" s="4"/>
    </row>
    <row r="187" spans="1:10" x14ac:dyDescent="0.2">
      <c r="A187" t="e">
        <f>LEFT(#REF!,10)</f>
        <v>#REF!</v>
      </c>
      <c r="B187" s="4" t="e">
        <f>(#REF!-#REF!)/#REF!</f>
        <v>#REF!</v>
      </c>
      <c r="C187" s="4" t="e">
        <f>(#REF!-#REF!)/#REF!</f>
        <v>#REF!</v>
      </c>
      <c r="D187" s="4" t="e">
        <f>LN(#REF!/#REF!)</f>
        <v>#REF!</v>
      </c>
      <c r="E187" s="4" t="e">
        <f t="shared" si="3"/>
        <v>#REF!</v>
      </c>
      <c r="F187" s="4" t="e" cm="1">
        <f t="array" ref="F187">AVERAGE(B187:B1694-$I$4/252)/_xlfn.STDEV.S(B187:B1694-$I$4)</f>
        <v>#REF!</v>
      </c>
      <c r="G187" s="4"/>
      <c r="H187" s="4"/>
      <c r="I187" s="4"/>
      <c r="J187" s="4"/>
    </row>
    <row r="188" spans="1:10" x14ac:dyDescent="0.2">
      <c r="A188" t="e">
        <f>LEFT(#REF!,10)</f>
        <v>#REF!</v>
      </c>
      <c r="B188" s="4" t="e">
        <f>(#REF!-#REF!)/#REF!</f>
        <v>#REF!</v>
      </c>
      <c r="C188" s="4" t="e">
        <f>(#REF!-#REF!)/#REF!</f>
        <v>#REF!</v>
      </c>
      <c r="D188" s="4" t="e">
        <f>LN(#REF!/#REF!)</f>
        <v>#REF!</v>
      </c>
      <c r="E188" s="4" t="e">
        <f t="shared" si="3"/>
        <v>#REF!</v>
      </c>
      <c r="F188" s="4" t="e" cm="1">
        <f t="array" ref="F188">AVERAGE(B188:B1695-$I$4/252)/_xlfn.STDEV.S(B188:B1695-$I$4)</f>
        <v>#REF!</v>
      </c>
      <c r="G188" s="4"/>
      <c r="H188" s="4"/>
      <c r="I188" s="4"/>
      <c r="J188" s="4"/>
    </row>
    <row r="189" spans="1:10" x14ac:dyDescent="0.2">
      <c r="A189" t="e">
        <f>LEFT(#REF!,10)</f>
        <v>#REF!</v>
      </c>
      <c r="B189" s="4" t="e">
        <f>(#REF!-#REF!)/#REF!</f>
        <v>#REF!</v>
      </c>
      <c r="C189" s="4" t="e">
        <f>(#REF!-#REF!)/#REF!</f>
        <v>#REF!</v>
      </c>
      <c r="D189" s="4" t="e">
        <f>LN(#REF!/#REF!)</f>
        <v>#REF!</v>
      </c>
      <c r="E189" s="4" t="e">
        <f t="shared" si="3"/>
        <v>#REF!</v>
      </c>
      <c r="F189" s="4" t="e" cm="1">
        <f t="array" ref="F189">AVERAGE(B189:B1696-$I$4/252)/_xlfn.STDEV.S(B189:B1696-$I$4)</f>
        <v>#REF!</v>
      </c>
      <c r="G189" s="4"/>
      <c r="H189" s="4"/>
      <c r="I189" s="4"/>
      <c r="J189" s="4"/>
    </row>
    <row r="190" spans="1:10" x14ac:dyDescent="0.2">
      <c r="A190" t="e">
        <f>LEFT(#REF!,10)</f>
        <v>#REF!</v>
      </c>
      <c r="B190" s="4" t="e">
        <f>(#REF!-#REF!)/#REF!</f>
        <v>#REF!</v>
      </c>
      <c r="C190" s="4" t="e">
        <f>(#REF!-#REF!)/#REF!</f>
        <v>#REF!</v>
      </c>
      <c r="D190" s="4" t="e">
        <f>LN(#REF!/#REF!)</f>
        <v>#REF!</v>
      </c>
      <c r="E190" s="4" t="e">
        <f t="shared" si="3"/>
        <v>#REF!</v>
      </c>
      <c r="F190" s="4" t="e" cm="1">
        <f t="array" ref="F190">AVERAGE(B190:B1697-$I$4/252)/_xlfn.STDEV.S(B190:B1697-$I$4)</f>
        <v>#REF!</v>
      </c>
      <c r="G190" s="4"/>
      <c r="H190" s="4"/>
      <c r="I190" s="4"/>
      <c r="J190" s="4"/>
    </row>
    <row r="191" spans="1:10" x14ac:dyDescent="0.2">
      <c r="A191" t="e">
        <f>LEFT(#REF!,10)</f>
        <v>#REF!</v>
      </c>
      <c r="B191" s="4" t="e">
        <f>(#REF!-#REF!)/#REF!</f>
        <v>#REF!</v>
      </c>
      <c r="C191" s="4" t="e">
        <f>(#REF!-#REF!)/#REF!</f>
        <v>#REF!</v>
      </c>
      <c r="D191" s="4" t="e">
        <f>LN(#REF!/#REF!)</f>
        <v>#REF!</v>
      </c>
      <c r="E191" s="4" t="e">
        <f t="shared" si="3"/>
        <v>#REF!</v>
      </c>
      <c r="F191" s="4" t="e" cm="1">
        <f t="array" ref="F191">AVERAGE(B191:B1698-$I$4/252)/_xlfn.STDEV.S(B191:B1698-$I$4)</f>
        <v>#REF!</v>
      </c>
      <c r="G191" s="4"/>
      <c r="H191" s="4"/>
      <c r="I191" s="4"/>
      <c r="J191" s="4"/>
    </row>
    <row r="192" spans="1:10" x14ac:dyDescent="0.2">
      <c r="A192" t="e">
        <f>LEFT(#REF!,10)</f>
        <v>#REF!</v>
      </c>
      <c r="B192" s="4" t="e">
        <f>(#REF!-#REF!)/#REF!</f>
        <v>#REF!</v>
      </c>
      <c r="C192" s="4" t="e">
        <f>(#REF!-#REF!)/#REF!</f>
        <v>#REF!</v>
      </c>
      <c r="D192" s="4" t="e">
        <f>LN(#REF!/#REF!)</f>
        <v>#REF!</v>
      </c>
      <c r="E192" s="4" t="e">
        <f t="shared" si="3"/>
        <v>#REF!</v>
      </c>
      <c r="F192" s="4" t="e" cm="1">
        <f t="array" ref="F192">AVERAGE(B192:B1699-$I$4/252)/_xlfn.STDEV.S(B192:B1699-$I$4)</f>
        <v>#REF!</v>
      </c>
      <c r="G192" s="4"/>
      <c r="H192" s="4"/>
      <c r="I192" s="4"/>
      <c r="J192" s="4"/>
    </row>
    <row r="193" spans="1:10" x14ac:dyDescent="0.2">
      <c r="A193" t="e">
        <f>LEFT(#REF!,10)</f>
        <v>#REF!</v>
      </c>
      <c r="B193" s="4" t="e">
        <f>(#REF!-#REF!)/#REF!</f>
        <v>#REF!</v>
      </c>
      <c r="C193" s="4" t="e">
        <f>(#REF!-#REF!)/#REF!</f>
        <v>#REF!</v>
      </c>
      <c r="D193" s="4" t="e">
        <f>LN(#REF!/#REF!)</f>
        <v>#REF!</v>
      </c>
      <c r="E193" s="4" t="e">
        <f t="shared" si="3"/>
        <v>#REF!</v>
      </c>
      <c r="F193" s="4" t="e" cm="1">
        <f t="array" ref="F193">AVERAGE(B193:B1700-$I$4/252)/_xlfn.STDEV.S(B193:B1700-$I$4)</f>
        <v>#REF!</v>
      </c>
      <c r="G193" s="4"/>
      <c r="H193" s="4"/>
      <c r="I193" s="4"/>
      <c r="J193" s="4"/>
    </row>
    <row r="194" spans="1:10" x14ac:dyDescent="0.2">
      <c r="A194" t="e">
        <f>LEFT(#REF!,10)</f>
        <v>#REF!</v>
      </c>
      <c r="B194" s="4" t="e">
        <f>(#REF!-#REF!)/#REF!</f>
        <v>#REF!</v>
      </c>
      <c r="C194" s="4" t="e">
        <f>(#REF!-#REF!)/#REF!</f>
        <v>#REF!</v>
      </c>
      <c r="D194" s="4" t="e">
        <f>LN(#REF!/#REF!)</f>
        <v>#REF!</v>
      </c>
      <c r="E194" s="4" t="e">
        <f t="shared" si="3"/>
        <v>#REF!</v>
      </c>
      <c r="F194" s="4" t="e" cm="1">
        <f t="array" ref="F194">AVERAGE(B194:B1701-$I$4/252)/_xlfn.STDEV.S(B194:B1701-$I$4)</f>
        <v>#REF!</v>
      </c>
      <c r="G194" s="4"/>
      <c r="H194" s="4"/>
      <c r="I194" s="4"/>
      <c r="J194" s="4"/>
    </row>
    <row r="195" spans="1:10" x14ac:dyDescent="0.2">
      <c r="A195" t="e">
        <f>LEFT(#REF!,10)</f>
        <v>#REF!</v>
      </c>
      <c r="B195" s="4" t="e">
        <f>(#REF!-#REF!)/#REF!</f>
        <v>#REF!</v>
      </c>
      <c r="C195" s="4" t="e">
        <f>(#REF!-#REF!)/#REF!</f>
        <v>#REF!</v>
      </c>
      <c r="D195" s="4" t="e">
        <f>LN(#REF!/#REF!)</f>
        <v>#REF!</v>
      </c>
      <c r="E195" s="4" t="e">
        <f t="shared" si="3"/>
        <v>#REF!</v>
      </c>
      <c r="F195" s="4" t="e" cm="1">
        <f t="array" ref="F195">AVERAGE(B195:B1702-$I$4/252)/_xlfn.STDEV.S(B195:B1702-$I$4)</f>
        <v>#REF!</v>
      </c>
      <c r="G195" s="4"/>
      <c r="H195" s="4"/>
      <c r="I195" s="4"/>
      <c r="J195" s="4"/>
    </row>
    <row r="196" spans="1:10" x14ac:dyDescent="0.2">
      <c r="A196" t="e">
        <f>LEFT(#REF!,10)</f>
        <v>#REF!</v>
      </c>
      <c r="B196" s="4" t="e">
        <f>(#REF!-#REF!)/#REF!</f>
        <v>#REF!</v>
      </c>
      <c r="C196" s="4" t="e">
        <f>(#REF!-#REF!)/#REF!</f>
        <v>#REF!</v>
      </c>
      <c r="D196" s="4" t="e">
        <f>LN(#REF!/#REF!)</f>
        <v>#REF!</v>
      </c>
      <c r="E196" s="4" t="e">
        <f t="shared" si="3"/>
        <v>#REF!</v>
      </c>
      <c r="F196" s="4" t="e" cm="1">
        <f t="array" ref="F196">AVERAGE(B196:B1703-$I$4/252)/_xlfn.STDEV.S(B196:B1703-$I$4)</f>
        <v>#REF!</v>
      </c>
      <c r="G196" s="4"/>
      <c r="H196" s="4"/>
      <c r="I196" s="4"/>
      <c r="J196" s="4"/>
    </row>
    <row r="197" spans="1:10" x14ac:dyDescent="0.2">
      <c r="A197" t="e">
        <f>LEFT(#REF!,10)</f>
        <v>#REF!</v>
      </c>
      <c r="B197" s="4" t="e">
        <f>(#REF!-#REF!)/#REF!</f>
        <v>#REF!</v>
      </c>
      <c r="C197" s="4" t="e">
        <f>(#REF!-#REF!)/#REF!</f>
        <v>#REF!</v>
      </c>
      <c r="D197" s="4" t="e">
        <f>LN(#REF!/#REF!)</f>
        <v>#REF!</v>
      </c>
      <c r="E197" s="4" t="e">
        <f t="shared" ref="E197:E260" si="4">_xlfn.STDEV.S(D197:D216)</f>
        <v>#REF!</v>
      </c>
      <c r="F197" s="4" t="e" cm="1">
        <f t="array" ref="F197">AVERAGE(B197:B1704-$I$4/252)/_xlfn.STDEV.S(B197:B1704-$I$4)</f>
        <v>#REF!</v>
      </c>
      <c r="G197" s="4"/>
      <c r="H197" s="4"/>
      <c r="I197" s="4"/>
      <c r="J197" s="4"/>
    </row>
    <row r="198" spans="1:10" x14ac:dyDescent="0.2">
      <c r="A198" t="e">
        <f>LEFT(#REF!,10)</f>
        <v>#REF!</v>
      </c>
      <c r="B198" s="4" t="e">
        <f>(#REF!-#REF!)/#REF!</f>
        <v>#REF!</v>
      </c>
      <c r="C198" s="4" t="e">
        <f>(#REF!-#REF!)/#REF!</f>
        <v>#REF!</v>
      </c>
      <c r="D198" s="4" t="e">
        <f>LN(#REF!/#REF!)</f>
        <v>#REF!</v>
      </c>
      <c r="E198" s="4" t="e">
        <f t="shared" si="4"/>
        <v>#REF!</v>
      </c>
      <c r="F198" s="4" t="e" cm="1">
        <f t="array" ref="F198">AVERAGE(B198:B1705-$I$4/252)/_xlfn.STDEV.S(B198:B1705-$I$4)</f>
        <v>#REF!</v>
      </c>
      <c r="G198" s="4"/>
      <c r="H198" s="4"/>
      <c r="I198" s="4"/>
      <c r="J198" s="4"/>
    </row>
    <row r="199" spans="1:10" x14ac:dyDescent="0.2">
      <c r="A199" t="e">
        <f>LEFT(#REF!,10)</f>
        <v>#REF!</v>
      </c>
      <c r="B199" s="4" t="e">
        <f>(#REF!-#REF!)/#REF!</f>
        <v>#REF!</v>
      </c>
      <c r="C199" s="4" t="e">
        <f>(#REF!-#REF!)/#REF!</f>
        <v>#REF!</v>
      </c>
      <c r="D199" s="4" t="e">
        <f>LN(#REF!/#REF!)</f>
        <v>#REF!</v>
      </c>
      <c r="E199" s="4" t="e">
        <f t="shared" si="4"/>
        <v>#REF!</v>
      </c>
      <c r="F199" s="4" t="e" cm="1">
        <f t="array" ref="F199">AVERAGE(B199:B1706-$I$4/252)/_xlfn.STDEV.S(B199:B1706-$I$4)</f>
        <v>#REF!</v>
      </c>
      <c r="G199" s="4"/>
      <c r="H199" s="4"/>
      <c r="I199" s="4"/>
      <c r="J199" s="4"/>
    </row>
    <row r="200" spans="1:10" x14ac:dyDescent="0.2">
      <c r="A200" t="e">
        <f>LEFT(#REF!,10)</f>
        <v>#REF!</v>
      </c>
      <c r="B200" s="4" t="e">
        <f>(#REF!-#REF!)/#REF!</f>
        <v>#REF!</v>
      </c>
      <c r="C200" s="4" t="e">
        <f>(#REF!-#REF!)/#REF!</f>
        <v>#REF!</v>
      </c>
      <c r="D200" s="4" t="e">
        <f>LN(#REF!/#REF!)</f>
        <v>#REF!</v>
      </c>
      <c r="E200" s="4" t="e">
        <f t="shared" si="4"/>
        <v>#REF!</v>
      </c>
      <c r="F200" s="4" t="e" cm="1">
        <f t="array" ref="F200">AVERAGE(B200:B1707-$I$4/252)/_xlfn.STDEV.S(B200:B1707-$I$4)</f>
        <v>#REF!</v>
      </c>
      <c r="G200" s="4"/>
      <c r="H200" s="4"/>
      <c r="I200" s="4"/>
      <c r="J200" s="4"/>
    </row>
    <row r="201" spans="1:10" x14ac:dyDescent="0.2">
      <c r="A201" t="e">
        <f>LEFT(#REF!,10)</f>
        <v>#REF!</v>
      </c>
      <c r="B201" s="4" t="e">
        <f>(#REF!-#REF!)/#REF!</f>
        <v>#REF!</v>
      </c>
      <c r="C201" s="4" t="e">
        <f>(#REF!-#REF!)/#REF!</f>
        <v>#REF!</v>
      </c>
      <c r="D201" s="4" t="e">
        <f>LN(#REF!/#REF!)</f>
        <v>#REF!</v>
      </c>
      <c r="E201" s="4" t="e">
        <f t="shared" si="4"/>
        <v>#REF!</v>
      </c>
      <c r="F201" s="4" t="e" cm="1">
        <f t="array" ref="F201">AVERAGE(B201:B1708-$I$4/252)/_xlfn.STDEV.S(B201:B1708-$I$4)</f>
        <v>#REF!</v>
      </c>
      <c r="G201" s="4"/>
      <c r="H201" s="4"/>
      <c r="I201" s="4"/>
      <c r="J201" s="4"/>
    </row>
    <row r="202" spans="1:10" x14ac:dyDescent="0.2">
      <c r="A202" t="e">
        <f>LEFT(#REF!,10)</f>
        <v>#REF!</v>
      </c>
      <c r="B202" s="4" t="e">
        <f>(#REF!-#REF!)/#REF!</f>
        <v>#REF!</v>
      </c>
      <c r="C202" s="4" t="e">
        <f>(#REF!-#REF!)/#REF!</f>
        <v>#REF!</v>
      </c>
      <c r="D202" s="4" t="e">
        <f>LN(#REF!/#REF!)</f>
        <v>#REF!</v>
      </c>
      <c r="E202" s="4" t="e">
        <f t="shared" si="4"/>
        <v>#REF!</v>
      </c>
      <c r="F202" s="4" t="e" cm="1">
        <f t="array" ref="F202">AVERAGE(B202:B1709-$I$4/252)/_xlfn.STDEV.S(B202:B1709-$I$4)</f>
        <v>#REF!</v>
      </c>
      <c r="G202" s="4"/>
      <c r="H202" s="4"/>
      <c r="I202" s="4"/>
      <c r="J202" s="4"/>
    </row>
    <row r="203" spans="1:10" x14ac:dyDescent="0.2">
      <c r="A203" t="e">
        <f>LEFT(#REF!,10)</f>
        <v>#REF!</v>
      </c>
      <c r="B203" s="4" t="e">
        <f>(#REF!-#REF!)/#REF!</f>
        <v>#REF!</v>
      </c>
      <c r="C203" s="4" t="e">
        <f>(#REF!-#REF!)/#REF!</f>
        <v>#REF!</v>
      </c>
      <c r="D203" s="4" t="e">
        <f>LN(#REF!/#REF!)</f>
        <v>#REF!</v>
      </c>
      <c r="E203" s="4" t="e">
        <f t="shared" si="4"/>
        <v>#REF!</v>
      </c>
      <c r="F203" s="4" t="e" cm="1">
        <f t="array" ref="F203">AVERAGE(B203:B1710-$I$4/252)/_xlfn.STDEV.S(B203:B1710-$I$4)</f>
        <v>#REF!</v>
      </c>
      <c r="G203" s="4"/>
      <c r="H203" s="4"/>
      <c r="I203" s="4"/>
      <c r="J203" s="4"/>
    </row>
    <row r="204" spans="1:10" x14ac:dyDescent="0.2">
      <c r="A204" t="e">
        <f>LEFT(#REF!,10)</f>
        <v>#REF!</v>
      </c>
      <c r="B204" s="4" t="e">
        <f>(#REF!-#REF!)/#REF!</f>
        <v>#REF!</v>
      </c>
      <c r="C204" s="4" t="e">
        <f>(#REF!-#REF!)/#REF!</f>
        <v>#REF!</v>
      </c>
      <c r="D204" s="4" t="e">
        <f>LN(#REF!/#REF!)</f>
        <v>#REF!</v>
      </c>
      <c r="E204" s="4" t="e">
        <f t="shared" si="4"/>
        <v>#REF!</v>
      </c>
      <c r="F204" s="4" t="e" cm="1">
        <f t="array" ref="F204">AVERAGE(B204:B1711-$I$4/252)/_xlfn.STDEV.S(B204:B1711-$I$4)</f>
        <v>#REF!</v>
      </c>
      <c r="G204" s="4"/>
      <c r="H204" s="4"/>
      <c r="I204" s="4"/>
      <c r="J204" s="4"/>
    </row>
    <row r="205" spans="1:10" x14ac:dyDescent="0.2">
      <c r="A205" t="e">
        <f>LEFT(#REF!,10)</f>
        <v>#REF!</v>
      </c>
      <c r="B205" s="4" t="e">
        <f>(#REF!-#REF!)/#REF!</f>
        <v>#REF!</v>
      </c>
      <c r="C205" s="4" t="e">
        <f>(#REF!-#REF!)/#REF!</f>
        <v>#REF!</v>
      </c>
      <c r="D205" s="4" t="e">
        <f>LN(#REF!/#REF!)</f>
        <v>#REF!</v>
      </c>
      <c r="E205" s="4" t="e">
        <f t="shared" si="4"/>
        <v>#REF!</v>
      </c>
      <c r="F205" s="4" t="e" cm="1">
        <f t="array" ref="F205">AVERAGE(B205:B1712-$I$4/252)/_xlfn.STDEV.S(B205:B1712-$I$4)</f>
        <v>#REF!</v>
      </c>
      <c r="G205" s="4"/>
      <c r="H205" s="4"/>
      <c r="I205" s="4"/>
      <c r="J205" s="4"/>
    </row>
    <row r="206" spans="1:10" x14ac:dyDescent="0.2">
      <c r="A206" t="e">
        <f>LEFT(#REF!,10)</f>
        <v>#REF!</v>
      </c>
      <c r="B206" s="4" t="e">
        <f>(#REF!-#REF!)/#REF!</f>
        <v>#REF!</v>
      </c>
      <c r="C206" s="4" t="e">
        <f>(#REF!-#REF!)/#REF!</f>
        <v>#REF!</v>
      </c>
      <c r="D206" s="4" t="e">
        <f>LN(#REF!/#REF!)</f>
        <v>#REF!</v>
      </c>
      <c r="E206" s="4" t="e">
        <f t="shared" si="4"/>
        <v>#REF!</v>
      </c>
      <c r="F206" s="4" t="e" cm="1">
        <f t="array" ref="F206">AVERAGE(B206:B1713-$I$4/252)/_xlfn.STDEV.S(B206:B1713-$I$4)</f>
        <v>#REF!</v>
      </c>
      <c r="G206" s="4"/>
      <c r="H206" s="4"/>
      <c r="I206" s="4"/>
      <c r="J206" s="4"/>
    </row>
    <row r="207" spans="1:10" x14ac:dyDescent="0.2">
      <c r="A207" t="e">
        <f>LEFT(#REF!,10)</f>
        <v>#REF!</v>
      </c>
      <c r="B207" s="4" t="e">
        <f>(#REF!-#REF!)/#REF!</f>
        <v>#REF!</v>
      </c>
      <c r="C207" s="4" t="e">
        <f>(#REF!-#REF!)/#REF!</f>
        <v>#REF!</v>
      </c>
      <c r="D207" s="4" t="e">
        <f>LN(#REF!/#REF!)</f>
        <v>#REF!</v>
      </c>
      <c r="E207" s="4" t="e">
        <f t="shared" si="4"/>
        <v>#REF!</v>
      </c>
      <c r="F207" s="4" t="e" cm="1">
        <f t="array" ref="F207">AVERAGE(B207:B1714-$I$4/252)/_xlfn.STDEV.S(B207:B1714-$I$4)</f>
        <v>#REF!</v>
      </c>
      <c r="G207" s="4"/>
      <c r="H207" s="4"/>
      <c r="I207" s="4"/>
      <c r="J207" s="4"/>
    </row>
    <row r="208" spans="1:10" x14ac:dyDescent="0.2">
      <c r="A208" t="e">
        <f>LEFT(#REF!,10)</f>
        <v>#REF!</v>
      </c>
      <c r="B208" s="4" t="e">
        <f>(#REF!-#REF!)/#REF!</f>
        <v>#REF!</v>
      </c>
      <c r="C208" s="4" t="e">
        <f>(#REF!-#REF!)/#REF!</f>
        <v>#REF!</v>
      </c>
      <c r="D208" s="4" t="e">
        <f>LN(#REF!/#REF!)</f>
        <v>#REF!</v>
      </c>
      <c r="E208" s="4" t="e">
        <f t="shared" si="4"/>
        <v>#REF!</v>
      </c>
      <c r="F208" s="4" t="e" cm="1">
        <f t="array" ref="F208">AVERAGE(B208:B1715-$I$4/252)/_xlfn.STDEV.S(B208:B1715-$I$4)</f>
        <v>#REF!</v>
      </c>
      <c r="G208" s="4"/>
      <c r="H208" s="4"/>
      <c r="I208" s="4"/>
      <c r="J208" s="4"/>
    </row>
    <row r="209" spans="1:10" x14ac:dyDescent="0.2">
      <c r="A209" t="e">
        <f>LEFT(#REF!,10)</f>
        <v>#REF!</v>
      </c>
      <c r="B209" s="4" t="e">
        <f>(#REF!-#REF!)/#REF!</f>
        <v>#REF!</v>
      </c>
      <c r="C209" s="4" t="e">
        <f>(#REF!-#REF!)/#REF!</f>
        <v>#REF!</v>
      </c>
      <c r="D209" s="4" t="e">
        <f>LN(#REF!/#REF!)</f>
        <v>#REF!</v>
      </c>
      <c r="E209" s="4" t="e">
        <f t="shared" si="4"/>
        <v>#REF!</v>
      </c>
      <c r="F209" s="4" t="e" cm="1">
        <f t="array" ref="F209">AVERAGE(B209:B1716-$I$4/252)/_xlfn.STDEV.S(B209:B1716-$I$4)</f>
        <v>#REF!</v>
      </c>
      <c r="G209" s="4"/>
      <c r="H209" s="4"/>
      <c r="I209" s="4"/>
      <c r="J209" s="4"/>
    </row>
    <row r="210" spans="1:10" x14ac:dyDescent="0.2">
      <c r="A210" t="e">
        <f>LEFT(#REF!,10)</f>
        <v>#REF!</v>
      </c>
      <c r="B210" s="4" t="e">
        <f>(#REF!-#REF!)/#REF!</f>
        <v>#REF!</v>
      </c>
      <c r="C210" s="4" t="e">
        <f>(#REF!-#REF!)/#REF!</f>
        <v>#REF!</v>
      </c>
      <c r="D210" s="4" t="e">
        <f>LN(#REF!/#REF!)</f>
        <v>#REF!</v>
      </c>
      <c r="E210" s="4" t="e">
        <f t="shared" si="4"/>
        <v>#REF!</v>
      </c>
      <c r="F210" s="4" t="e" cm="1">
        <f t="array" ref="F210">AVERAGE(B210:B1717-$I$4/252)/_xlfn.STDEV.S(B210:B1717-$I$4)</f>
        <v>#REF!</v>
      </c>
      <c r="G210" s="4"/>
      <c r="H210" s="4"/>
      <c r="I210" s="4"/>
      <c r="J210" s="4"/>
    </row>
    <row r="211" spans="1:10" x14ac:dyDescent="0.2">
      <c r="A211" t="e">
        <f>LEFT(#REF!,10)</f>
        <v>#REF!</v>
      </c>
      <c r="B211" s="4" t="e">
        <f>(#REF!-#REF!)/#REF!</f>
        <v>#REF!</v>
      </c>
      <c r="C211" s="4" t="e">
        <f>(#REF!-#REF!)/#REF!</f>
        <v>#REF!</v>
      </c>
      <c r="D211" s="4" t="e">
        <f>LN(#REF!/#REF!)</f>
        <v>#REF!</v>
      </c>
      <c r="E211" s="4" t="e">
        <f t="shared" si="4"/>
        <v>#REF!</v>
      </c>
      <c r="F211" s="4" t="e" cm="1">
        <f t="array" ref="F211">AVERAGE(B211:B1718-$I$4/252)/_xlfn.STDEV.S(B211:B1718-$I$4)</f>
        <v>#REF!</v>
      </c>
      <c r="G211" s="4"/>
      <c r="H211" s="4"/>
      <c r="I211" s="4"/>
      <c r="J211" s="4"/>
    </row>
    <row r="212" spans="1:10" x14ac:dyDescent="0.2">
      <c r="A212" t="e">
        <f>LEFT(#REF!,10)</f>
        <v>#REF!</v>
      </c>
      <c r="B212" s="4" t="e">
        <f>(#REF!-#REF!)/#REF!</f>
        <v>#REF!</v>
      </c>
      <c r="C212" s="4" t="e">
        <f>(#REF!-#REF!)/#REF!</f>
        <v>#REF!</v>
      </c>
      <c r="D212" s="4" t="e">
        <f>LN(#REF!/#REF!)</f>
        <v>#REF!</v>
      </c>
      <c r="E212" s="4" t="e">
        <f t="shared" si="4"/>
        <v>#REF!</v>
      </c>
      <c r="F212" s="4" t="e" cm="1">
        <f t="array" ref="F212">AVERAGE(B212:B1719-$I$4/252)/_xlfn.STDEV.S(B212:B1719-$I$4)</f>
        <v>#REF!</v>
      </c>
      <c r="G212" s="4"/>
      <c r="H212" s="4"/>
      <c r="I212" s="4"/>
      <c r="J212" s="4"/>
    </row>
    <row r="213" spans="1:10" x14ac:dyDescent="0.2">
      <c r="A213" t="e">
        <f>LEFT(#REF!,10)</f>
        <v>#REF!</v>
      </c>
      <c r="B213" s="4" t="e">
        <f>(#REF!-#REF!)/#REF!</f>
        <v>#REF!</v>
      </c>
      <c r="C213" s="4" t="e">
        <f>(#REF!-#REF!)/#REF!</f>
        <v>#REF!</v>
      </c>
      <c r="D213" s="4" t="e">
        <f>LN(#REF!/#REF!)</f>
        <v>#REF!</v>
      </c>
      <c r="E213" s="4" t="e">
        <f t="shared" si="4"/>
        <v>#REF!</v>
      </c>
      <c r="F213" s="4" t="e" cm="1">
        <f t="array" ref="F213">AVERAGE(B213:B1720-$I$4/252)/_xlfn.STDEV.S(B213:B1720-$I$4)</f>
        <v>#REF!</v>
      </c>
      <c r="G213" s="4"/>
      <c r="H213" s="4"/>
      <c r="I213" s="4"/>
      <c r="J213" s="4"/>
    </row>
    <row r="214" spans="1:10" x14ac:dyDescent="0.2">
      <c r="A214" t="e">
        <f>LEFT(#REF!,10)</f>
        <v>#REF!</v>
      </c>
      <c r="B214" s="4" t="e">
        <f>(#REF!-#REF!)/#REF!</f>
        <v>#REF!</v>
      </c>
      <c r="C214" s="4" t="e">
        <f>(#REF!-#REF!)/#REF!</f>
        <v>#REF!</v>
      </c>
      <c r="D214" s="4" t="e">
        <f>LN(#REF!/#REF!)</f>
        <v>#REF!</v>
      </c>
      <c r="E214" s="4" t="e">
        <f t="shared" si="4"/>
        <v>#REF!</v>
      </c>
      <c r="F214" s="4" t="e" cm="1">
        <f t="array" ref="F214">AVERAGE(B214:B1721-$I$4/252)/_xlfn.STDEV.S(B214:B1721-$I$4)</f>
        <v>#REF!</v>
      </c>
      <c r="G214" s="4"/>
      <c r="H214" s="4"/>
      <c r="I214" s="4"/>
      <c r="J214" s="4"/>
    </row>
    <row r="215" spans="1:10" x14ac:dyDescent="0.2">
      <c r="A215" t="e">
        <f>LEFT(#REF!,10)</f>
        <v>#REF!</v>
      </c>
      <c r="B215" s="4" t="e">
        <f>(#REF!-#REF!)/#REF!</f>
        <v>#REF!</v>
      </c>
      <c r="C215" s="4" t="e">
        <f>(#REF!-#REF!)/#REF!</f>
        <v>#REF!</v>
      </c>
      <c r="D215" s="4" t="e">
        <f>LN(#REF!/#REF!)</f>
        <v>#REF!</v>
      </c>
      <c r="E215" s="4" t="e">
        <f t="shared" si="4"/>
        <v>#REF!</v>
      </c>
      <c r="F215" s="4" t="e" cm="1">
        <f t="array" ref="F215">AVERAGE(B215:B1722-$I$4/252)/_xlfn.STDEV.S(B215:B1722-$I$4)</f>
        <v>#REF!</v>
      </c>
      <c r="G215" s="4"/>
      <c r="H215" s="4"/>
      <c r="I215" s="4"/>
      <c r="J215" s="4"/>
    </row>
    <row r="216" spans="1:10" x14ac:dyDescent="0.2">
      <c r="A216" t="e">
        <f>LEFT(#REF!,10)</f>
        <v>#REF!</v>
      </c>
      <c r="B216" s="4" t="e">
        <f>(#REF!-#REF!)/#REF!</f>
        <v>#REF!</v>
      </c>
      <c r="C216" s="4" t="e">
        <f>(#REF!-#REF!)/#REF!</f>
        <v>#REF!</v>
      </c>
      <c r="D216" s="4" t="e">
        <f>LN(#REF!/#REF!)</f>
        <v>#REF!</v>
      </c>
      <c r="E216" s="4" t="e">
        <f t="shared" si="4"/>
        <v>#REF!</v>
      </c>
      <c r="F216" s="4" t="e" cm="1">
        <f t="array" ref="F216">AVERAGE(B216:B1723-$I$4/252)/_xlfn.STDEV.S(B216:B1723-$I$4)</f>
        <v>#REF!</v>
      </c>
      <c r="G216" s="4"/>
      <c r="H216" s="4"/>
      <c r="I216" s="4"/>
      <c r="J216" s="4"/>
    </row>
    <row r="217" spans="1:10" x14ac:dyDescent="0.2">
      <c r="A217" t="e">
        <f>LEFT(#REF!,10)</f>
        <v>#REF!</v>
      </c>
      <c r="B217" s="4" t="e">
        <f>(#REF!-#REF!)/#REF!</f>
        <v>#REF!</v>
      </c>
      <c r="C217" s="4" t="e">
        <f>(#REF!-#REF!)/#REF!</f>
        <v>#REF!</v>
      </c>
      <c r="D217" s="4" t="e">
        <f>LN(#REF!/#REF!)</f>
        <v>#REF!</v>
      </c>
      <c r="E217" s="4" t="e">
        <f t="shared" si="4"/>
        <v>#REF!</v>
      </c>
      <c r="F217" s="4" t="e" cm="1">
        <f t="array" ref="F217">AVERAGE(B217:B1724-$I$4/252)/_xlfn.STDEV.S(B217:B1724-$I$4)</f>
        <v>#REF!</v>
      </c>
      <c r="G217" s="4"/>
      <c r="H217" s="4"/>
      <c r="I217" s="4"/>
      <c r="J217" s="4"/>
    </row>
    <row r="218" spans="1:10" x14ac:dyDescent="0.2">
      <c r="A218" t="e">
        <f>LEFT(#REF!,10)</f>
        <v>#REF!</v>
      </c>
      <c r="B218" s="4" t="e">
        <f>(#REF!-#REF!)/#REF!</f>
        <v>#REF!</v>
      </c>
      <c r="C218" s="4" t="e">
        <f>(#REF!-#REF!)/#REF!</f>
        <v>#REF!</v>
      </c>
      <c r="D218" s="4" t="e">
        <f>LN(#REF!/#REF!)</f>
        <v>#REF!</v>
      </c>
      <c r="E218" s="4" t="e">
        <f t="shared" si="4"/>
        <v>#REF!</v>
      </c>
      <c r="F218" s="4" t="e" cm="1">
        <f t="array" ref="F218">AVERAGE(B218:B1725-$I$4/252)/_xlfn.STDEV.S(B218:B1725-$I$4)</f>
        <v>#REF!</v>
      </c>
      <c r="G218" s="4"/>
      <c r="H218" s="4"/>
      <c r="I218" s="4"/>
      <c r="J218" s="4"/>
    </row>
    <row r="219" spans="1:10" x14ac:dyDescent="0.2">
      <c r="A219" t="e">
        <f>LEFT(#REF!,10)</f>
        <v>#REF!</v>
      </c>
      <c r="B219" s="4" t="e">
        <f>(#REF!-#REF!)/#REF!</f>
        <v>#REF!</v>
      </c>
      <c r="C219" s="4" t="e">
        <f>(#REF!-#REF!)/#REF!</f>
        <v>#REF!</v>
      </c>
      <c r="D219" s="4" t="e">
        <f>LN(#REF!/#REF!)</f>
        <v>#REF!</v>
      </c>
      <c r="E219" s="4" t="e">
        <f t="shared" si="4"/>
        <v>#REF!</v>
      </c>
      <c r="F219" s="4" t="e" cm="1">
        <f t="array" ref="F219">AVERAGE(B219:B1726-$I$4/252)/_xlfn.STDEV.S(B219:B1726-$I$4)</f>
        <v>#REF!</v>
      </c>
      <c r="G219" s="4"/>
      <c r="H219" s="4"/>
      <c r="I219" s="4"/>
      <c r="J219" s="4"/>
    </row>
    <row r="220" spans="1:10" x14ac:dyDescent="0.2">
      <c r="A220" t="e">
        <f>LEFT(#REF!,10)</f>
        <v>#REF!</v>
      </c>
      <c r="B220" s="4" t="e">
        <f>(#REF!-#REF!)/#REF!</f>
        <v>#REF!</v>
      </c>
      <c r="C220" s="4" t="e">
        <f>(#REF!-#REF!)/#REF!</f>
        <v>#REF!</v>
      </c>
      <c r="D220" s="4" t="e">
        <f>LN(#REF!/#REF!)</f>
        <v>#REF!</v>
      </c>
      <c r="E220" s="4" t="e">
        <f t="shared" si="4"/>
        <v>#REF!</v>
      </c>
      <c r="F220" s="4" t="e" cm="1">
        <f t="array" ref="F220">AVERAGE(B220:B1727-$I$4/252)/_xlfn.STDEV.S(B220:B1727-$I$4)</f>
        <v>#REF!</v>
      </c>
      <c r="G220" s="4"/>
      <c r="H220" s="4"/>
      <c r="I220" s="4"/>
      <c r="J220" s="4"/>
    </row>
    <row r="221" spans="1:10" x14ac:dyDescent="0.2">
      <c r="A221" t="e">
        <f>LEFT(#REF!,10)</f>
        <v>#REF!</v>
      </c>
      <c r="B221" s="4" t="e">
        <f>(#REF!-#REF!)/#REF!</f>
        <v>#REF!</v>
      </c>
      <c r="C221" s="4" t="e">
        <f>(#REF!-#REF!)/#REF!</f>
        <v>#REF!</v>
      </c>
      <c r="D221" s="4" t="e">
        <f>LN(#REF!/#REF!)</f>
        <v>#REF!</v>
      </c>
      <c r="E221" s="4" t="e">
        <f t="shared" si="4"/>
        <v>#REF!</v>
      </c>
      <c r="F221" s="4" t="e" cm="1">
        <f t="array" ref="F221">AVERAGE(B221:B1728-$I$4/252)/_xlfn.STDEV.S(B221:B1728-$I$4)</f>
        <v>#REF!</v>
      </c>
      <c r="G221" s="4"/>
      <c r="H221" s="4"/>
      <c r="I221" s="4"/>
      <c r="J221" s="4"/>
    </row>
    <row r="222" spans="1:10" x14ac:dyDescent="0.2">
      <c r="A222" t="e">
        <f>LEFT(#REF!,10)</f>
        <v>#REF!</v>
      </c>
      <c r="B222" s="4" t="e">
        <f>(#REF!-#REF!)/#REF!</f>
        <v>#REF!</v>
      </c>
      <c r="C222" s="4" t="e">
        <f>(#REF!-#REF!)/#REF!</f>
        <v>#REF!</v>
      </c>
      <c r="D222" s="4" t="e">
        <f>LN(#REF!/#REF!)</f>
        <v>#REF!</v>
      </c>
      <c r="E222" s="4" t="e">
        <f t="shared" si="4"/>
        <v>#REF!</v>
      </c>
      <c r="F222" s="4" t="e" cm="1">
        <f t="array" ref="F222">AVERAGE(B222:B1729-$I$4/252)/_xlfn.STDEV.S(B222:B1729-$I$4)</f>
        <v>#REF!</v>
      </c>
      <c r="G222" s="4"/>
      <c r="H222" s="4"/>
      <c r="I222" s="4"/>
      <c r="J222" s="4"/>
    </row>
    <row r="223" spans="1:10" x14ac:dyDescent="0.2">
      <c r="A223" t="e">
        <f>LEFT(#REF!,10)</f>
        <v>#REF!</v>
      </c>
      <c r="B223" s="4" t="e">
        <f>(#REF!-#REF!)/#REF!</f>
        <v>#REF!</v>
      </c>
      <c r="C223" s="4" t="e">
        <f>(#REF!-#REF!)/#REF!</f>
        <v>#REF!</v>
      </c>
      <c r="D223" s="4" t="e">
        <f>LN(#REF!/#REF!)</f>
        <v>#REF!</v>
      </c>
      <c r="E223" s="4" t="e">
        <f t="shared" si="4"/>
        <v>#REF!</v>
      </c>
      <c r="F223" s="4" t="e" cm="1">
        <f t="array" ref="F223">AVERAGE(B223:B1730-$I$4/252)/_xlfn.STDEV.S(B223:B1730-$I$4)</f>
        <v>#REF!</v>
      </c>
      <c r="G223" s="4"/>
      <c r="H223" s="4"/>
      <c r="I223" s="4"/>
      <c r="J223" s="4"/>
    </row>
    <row r="224" spans="1:10" x14ac:dyDescent="0.2">
      <c r="A224" t="e">
        <f>LEFT(#REF!,10)</f>
        <v>#REF!</v>
      </c>
      <c r="B224" s="4" t="e">
        <f>(#REF!-#REF!)/#REF!</f>
        <v>#REF!</v>
      </c>
      <c r="C224" s="4" t="e">
        <f>(#REF!-#REF!)/#REF!</f>
        <v>#REF!</v>
      </c>
      <c r="D224" s="4" t="e">
        <f>LN(#REF!/#REF!)</f>
        <v>#REF!</v>
      </c>
      <c r="E224" s="4" t="e">
        <f t="shared" si="4"/>
        <v>#REF!</v>
      </c>
      <c r="F224" s="4" t="e" cm="1">
        <f t="array" ref="F224">AVERAGE(B224:B1731-$I$4/252)/_xlfn.STDEV.S(B224:B1731-$I$4)</f>
        <v>#REF!</v>
      </c>
      <c r="G224" s="4"/>
      <c r="H224" s="4"/>
      <c r="I224" s="4"/>
      <c r="J224" s="4"/>
    </row>
    <row r="225" spans="1:10" x14ac:dyDescent="0.2">
      <c r="A225" t="e">
        <f>LEFT(#REF!,10)</f>
        <v>#REF!</v>
      </c>
      <c r="B225" s="4" t="e">
        <f>(#REF!-#REF!)/#REF!</f>
        <v>#REF!</v>
      </c>
      <c r="C225" s="4" t="e">
        <f>(#REF!-#REF!)/#REF!</f>
        <v>#REF!</v>
      </c>
      <c r="D225" s="4" t="e">
        <f>LN(#REF!/#REF!)</f>
        <v>#REF!</v>
      </c>
      <c r="E225" s="4" t="e">
        <f t="shared" si="4"/>
        <v>#REF!</v>
      </c>
      <c r="F225" s="4" t="e" cm="1">
        <f t="array" ref="F225">AVERAGE(B225:B1732-$I$4/252)/_xlfn.STDEV.S(B225:B1732-$I$4)</f>
        <v>#REF!</v>
      </c>
      <c r="G225" s="4"/>
      <c r="H225" s="4"/>
      <c r="I225" s="4"/>
      <c r="J225" s="4"/>
    </row>
    <row r="226" spans="1:10" x14ac:dyDescent="0.2">
      <c r="A226" t="e">
        <f>LEFT(#REF!,10)</f>
        <v>#REF!</v>
      </c>
      <c r="B226" s="4" t="e">
        <f>(#REF!-#REF!)/#REF!</f>
        <v>#REF!</v>
      </c>
      <c r="C226" s="4" t="e">
        <f>(#REF!-#REF!)/#REF!</f>
        <v>#REF!</v>
      </c>
      <c r="D226" s="4" t="e">
        <f>LN(#REF!/#REF!)</f>
        <v>#REF!</v>
      </c>
      <c r="E226" s="4" t="e">
        <f t="shared" si="4"/>
        <v>#REF!</v>
      </c>
      <c r="F226" s="4" t="e" cm="1">
        <f t="array" ref="F226">AVERAGE(B226:B1733-$I$4/252)/_xlfn.STDEV.S(B226:B1733-$I$4)</f>
        <v>#REF!</v>
      </c>
      <c r="G226" s="4"/>
      <c r="H226" s="4"/>
      <c r="I226" s="4"/>
      <c r="J226" s="4"/>
    </row>
    <row r="227" spans="1:10" x14ac:dyDescent="0.2">
      <c r="A227" t="e">
        <f>LEFT(#REF!,10)</f>
        <v>#REF!</v>
      </c>
      <c r="B227" s="4" t="e">
        <f>(#REF!-#REF!)/#REF!</f>
        <v>#REF!</v>
      </c>
      <c r="C227" s="4" t="e">
        <f>(#REF!-#REF!)/#REF!</f>
        <v>#REF!</v>
      </c>
      <c r="D227" s="4" t="e">
        <f>LN(#REF!/#REF!)</f>
        <v>#REF!</v>
      </c>
      <c r="E227" s="4" t="e">
        <f t="shared" si="4"/>
        <v>#REF!</v>
      </c>
      <c r="F227" s="4" t="e" cm="1">
        <f t="array" ref="F227">AVERAGE(B227:B1734-$I$4/252)/_xlfn.STDEV.S(B227:B1734-$I$4)</f>
        <v>#REF!</v>
      </c>
      <c r="G227" s="4"/>
      <c r="H227" s="4"/>
      <c r="I227" s="4"/>
      <c r="J227" s="4"/>
    </row>
    <row r="228" spans="1:10" x14ac:dyDescent="0.2">
      <c r="A228" t="e">
        <f>LEFT(#REF!,10)</f>
        <v>#REF!</v>
      </c>
      <c r="B228" s="4" t="e">
        <f>(#REF!-#REF!)/#REF!</f>
        <v>#REF!</v>
      </c>
      <c r="C228" s="4" t="e">
        <f>(#REF!-#REF!)/#REF!</f>
        <v>#REF!</v>
      </c>
      <c r="D228" s="4" t="e">
        <f>LN(#REF!/#REF!)</f>
        <v>#REF!</v>
      </c>
      <c r="E228" s="4" t="e">
        <f t="shared" si="4"/>
        <v>#REF!</v>
      </c>
      <c r="F228" s="4" t="e" cm="1">
        <f t="array" ref="F228">AVERAGE(B228:B1735-$I$4/252)/_xlfn.STDEV.S(B228:B1735-$I$4)</f>
        <v>#REF!</v>
      </c>
      <c r="G228" s="4"/>
      <c r="H228" s="4"/>
      <c r="I228" s="4"/>
      <c r="J228" s="4"/>
    </row>
    <row r="229" spans="1:10" x14ac:dyDescent="0.2">
      <c r="A229" t="e">
        <f>LEFT(#REF!,10)</f>
        <v>#REF!</v>
      </c>
      <c r="B229" s="4" t="e">
        <f>(#REF!-#REF!)/#REF!</f>
        <v>#REF!</v>
      </c>
      <c r="C229" s="4" t="e">
        <f>(#REF!-#REF!)/#REF!</f>
        <v>#REF!</v>
      </c>
      <c r="D229" s="4" t="e">
        <f>LN(#REF!/#REF!)</f>
        <v>#REF!</v>
      </c>
      <c r="E229" s="4" t="e">
        <f t="shared" si="4"/>
        <v>#REF!</v>
      </c>
      <c r="F229" s="4" t="e" cm="1">
        <f t="array" ref="F229">AVERAGE(B229:B1736-$I$4/252)/_xlfn.STDEV.S(B229:B1736-$I$4)</f>
        <v>#REF!</v>
      </c>
      <c r="G229" s="4"/>
      <c r="H229" s="4"/>
      <c r="I229" s="4"/>
      <c r="J229" s="4"/>
    </row>
    <row r="230" spans="1:10" x14ac:dyDescent="0.2">
      <c r="A230" t="e">
        <f>LEFT(#REF!,10)</f>
        <v>#REF!</v>
      </c>
      <c r="B230" s="4" t="e">
        <f>(#REF!-#REF!)/#REF!</f>
        <v>#REF!</v>
      </c>
      <c r="C230" s="4" t="e">
        <f>(#REF!-#REF!)/#REF!</f>
        <v>#REF!</v>
      </c>
      <c r="D230" s="4" t="e">
        <f>LN(#REF!/#REF!)</f>
        <v>#REF!</v>
      </c>
      <c r="E230" s="4" t="e">
        <f t="shared" si="4"/>
        <v>#REF!</v>
      </c>
      <c r="F230" s="4" t="e" cm="1">
        <f t="array" ref="F230">AVERAGE(B230:B1737-$I$4/252)/_xlfn.STDEV.S(B230:B1737-$I$4)</f>
        <v>#REF!</v>
      </c>
      <c r="G230" s="4"/>
      <c r="H230" s="4"/>
      <c r="I230" s="4"/>
      <c r="J230" s="4"/>
    </row>
    <row r="231" spans="1:10" x14ac:dyDescent="0.2">
      <c r="A231" t="e">
        <f>LEFT(#REF!,10)</f>
        <v>#REF!</v>
      </c>
      <c r="B231" s="4" t="e">
        <f>(#REF!-#REF!)/#REF!</f>
        <v>#REF!</v>
      </c>
      <c r="C231" s="4" t="e">
        <f>(#REF!-#REF!)/#REF!</f>
        <v>#REF!</v>
      </c>
      <c r="D231" s="4" t="e">
        <f>LN(#REF!/#REF!)</f>
        <v>#REF!</v>
      </c>
      <c r="E231" s="4" t="e">
        <f t="shared" si="4"/>
        <v>#REF!</v>
      </c>
      <c r="F231" s="4" t="e" cm="1">
        <f t="array" ref="F231">AVERAGE(B231:B1738-$I$4/252)/_xlfn.STDEV.S(B231:B1738-$I$4)</f>
        <v>#REF!</v>
      </c>
      <c r="G231" s="4"/>
      <c r="H231" s="4"/>
      <c r="I231" s="4"/>
      <c r="J231" s="4"/>
    </row>
    <row r="232" spans="1:10" x14ac:dyDescent="0.2">
      <c r="A232" t="e">
        <f>LEFT(#REF!,10)</f>
        <v>#REF!</v>
      </c>
      <c r="B232" s="4" t="e">
        <f>(#REF!-#REF!)/#REF!</f>
        <v>#REF!</v>
      </c>
      <c r="C232" s="4" t="e">
        <f>(#REF!-#REF!)/#REF!</f>
        <v>#REF!</v>
      </c>
      <c r="D232" s="4" t="e">
        <f>LN(#REF!/#REF!)</f>
        <v>#REF!</v>
      </c>
      <c r="E232" s="4" t="e">
        <f t="shared" si="4"/>
        <v>#REF!</v>
      </c>
      <c r="F232" s="4" t="e" cm="1">
        <f t="array" ref="F232">AVERAGE(B232:B1739-$I$4/252)/_xlfn.STDEV.S(B232:B1739-$I$4)</f>
        <v>#REF!</v>
      </c>
      <c r="G232" s="4"/>
      <c r="H232" s="4"/>
      <c r="I232" s="4"/>
      <c r="J232" s="4"/>
    </row>
    <row r="233" spans="1:10" x14ac:dyDescent="0.2">
      <c r="A233" t="e">
        <f>LEFT(#REF!,10)</f>
        <v>#REF!</v>
      </c>
      <c r="B233" s="4" t="e">
        <f>(#REF!-#REF!)/#REF!</f>
        <v>#REF!</v>
      </c>
      <c r="C233" s="4" t="e">
        <f>(#REF!-#REF!)/#REF!</f>
        <v>#REF!</v>
      </c>
      <c r="D233" s="4" t="e">
        <f>LN(#REF!/#REF!)</f>
        <v>#REF!</v>
      </c>
      <c r="E233" s="4" t="e">
        <f t="shared" si="4"/>
        <v>#REF!</v>
      </c>
      <c r="F233" s="4" t="e" cm="1">
        <f t="array" ref="F233">AVERAGE(B233:B1740-$I$4/252)/_xlfn.STDEV.S(B233:B1740-$I$4)</f>
        <v>#REF!</v>
      </c>
      <c r="G233" s="4"/>
      <c r="H233" s="4"/>
      <c r="I233" s="4"/>
      <c r="J233" s="4"/>
    </row>
    <row r="234" spans="1:10" x14ac:dyDescent="0.2">
      <c r="A234" t="e">
        <f>LEFT(#REF!,10)</f>
        <v>#REF!</v>
      </c>
      <c r="B234" s="4" t="e">
        <f>(#REF!-#REF!)/#REF!</f>
        <v>#REF!</v>
      </c>
      <c r="C234" s="4" t="e">
        <f>(#REF!-#REF!)/#REF!</f>
        <v>#REF!</v>
      </c>
      <c r="D234" s="4" t="e">
        <f>LN(#REF!/#REF!)</f>
        <v>#REF!</v>
      </c>
      <c r="E234" s="4" t="e">
        <f t="shared" si="4"/>
        <v>#REF!</v>
      </c>
      <c r="F234" s="4" t="e" cm="1">
        <f t="array" ref="F234">AVERAGE(B234:B1741-$I$4/252)/_xlfn.STDEV.S(B234:B1741-$I$4)</f>
        <v>#REF!</v>
      </c>
      <c r="G234" s="4"/>
      <c r="H234" s="4"/>
      <c r="I234" s="4"/>
      <c r="J234" s="4"/>
    </row>
    <row r="235" spans="1:10" x14ac:dyDescent="0.2">
      <c r="A235" t="e">
        <f>LEFT(#REF!,10)</f>
        <v>#REF!</v>
      </c>
      <c r="B235" s="4" t="e">
        <f>(#REF!-#REF!)/#REF!</f>
        <v>#REF!</v>
      </c>
      <c r="C235" s="4" t="e">
        <f>(#REF!-#REF!)/#REF!</f>
        <v>#REF!</v>
      </c>
      <c r="D235" s="4" t="e">
        <f>LN(#REF!/#REF!)</f>
        <v>#REF!</v>
      </c>
      <c r="E235" s="4" t="e">
        <f t="shared" si="4"/>
        <v>#REF!</v>
      </c>
      <c r="F235" s="4" t="e" cm="1">
        <f t="array" ref="F235">AVERAGE(B235:B1742-$I$4/252)/_xlfn.STDEV.S(B235:B1742-$I$4)</f>
        <v>#REF!</v>
      </c>
      <c r="G235" s="4"/>
      <c r="H235" s="4"/>
      <c r="I235" s="4"/>
      <c r="J235" s="4"/>
    </row>
    <row r="236" spans="1:10" x14ac:dyDescent="0.2">
      <c r="A236" t="e">
        <f>LEFT(#REF!,10)</f>
        <v>#REF!</v>
      </c>
      <c r="B236" s="4" t="e">
        <f>(#REF!-#REF!)/#REF!</f>
        <v>#REF!</v>
      </c>
      <c r="C236" s="4" t="e">
        <f>(#REF!-#REF!)/#REF!</f>
        <v>#REF!</v>
      </c>
      <c r="D236" s="4" t="e">
        <f>LN(#REF!/#REF!)</f>
        <v>#REF!</v>
      </c>
      <c r="E236" s="4" t="e">
        <f t="shared" si="4"/>
        <v>#REF!</v>
      </c>
      <c r="F236" s="4" t="e" cm="1">
        <f t="array" ref="F236">AVERAGE(B236:B1743-$I$4/252)/_xlfn.STDEV.S(B236:B1743-$I$4)</f>
        <v>#REF!</v>
      </c>
      <c r="G236" s="4"/>
      <c r="H236" s="4"/>
      <c r="I236" s="4"/>
      <c r="J236" s="4"/>
    </row>
    <row r="237" spans="1:10" x14ac:dyDescent="0.2">
      <c r="A237" t="e">
        <f>LEFT(#REF!,10)</f>
        <v>#REF!</v>
      </c>
      <c r="B237" s="4" t="e">
        <f>(#REF!-#REF!)/#REF!</f>
        <v>#REF!</v>
      </c>
      <c r="C237" s="4" t="e">
        <f>(#REF!-#REF!)/#REF!</f>
        <v>#REF!</v>
      </c>
      <c r="D237" s="4" t="e">
        <f>LN(#REF!/#REF!)</f>
        <v>#REF!</v>
      </c>
      <c r="E237" s="4" t="e">
        <f t="shared" si="4"/>
        <v>#REF!</v>
      </c>
      <c r="F237" s="4" t="e" cm="1">
        <f t="array" ref="F237">AVERAGE(B237:B1744-$I$4/252)/_xlfn.STDEV.S(B237:B1744-$I$4)</f>
        <v>#REF!</v>
      </c>
      <c r="G237" s="4"/>
      <c r="H237" s="4"/>
      <c r="I237" s="4"/>
      <c r="J237" s="4"/>
    </row>
    <row r="238" spans="1:10" x14ac:dyDescent="0.2">
      <c r="A238" t="e">
        <f>LEFT(#REF!,10)</f>
        <v>#REF!</v>
      </c>
      <c r="B238" s="4" t="e">
        <f>(#REF!-#REF!)/#REF!</f>
        <v>#REF!</v>
      </c>
      <c r="C238" s="4" t="e">
        <f>(#REF!-#REF!)/#REF!</f>
        <v>#REF!</v>
      </c>
      <c r="D238" s="4" t="e">
        <f>LN(#REF!/#REF!)</f>
        <v>#REF!</v>
      </c>
      <c r="E238" s="4" t="e">
        <f t="shared" si="4"/>
        <v>#REF!</v>
      </c>
      <c r="F238" s="4" t="e" cm="1">
        <f t="array" ref="F238">AVERAGE(B238:B1745-$I$4/252)/_xlfn.STDEV.S(B238:B1745-$I$4)</f>
        <v>#REF!</v>
      </c>
      <c r="G238" s="4"/>
      <c r="H238" s="4"/>
      <c r="I238" s="4"/>
      <c r="J238" s="4"/>
    </row>
    <row r="239" spans="1:10" x14ac:dyDescent="0.2">
      <c r="A239" t="e">
        <f>LEFT(#REF!,10)</f>
        <v>#REF!</v>
      </c>
      <c r="B239" s="4" t="e">
        <f>(#REF!-#REF!)/#REF!</f>
        <v>#REF!</v>
      </c>
      <c r="C239" s="4" t="e">
        <f>(#REF!-#REF!)/#REF!</f>
        <v>#REF!</v>
      </c>
      <c r="D239" s="4" t="e">
        <f>LN(#REF!/#REF!)</f>
        <v>#REF!</v>
      </c>
      <c r="E239" s="4" t="e">
        <f t="shared" si="4"/>
        <v>#REF!</v>
      </c>
      <c r="F239" s="4" t="e" cm="1">
        <f t="array" ref="F239">AVERAGE(B239:B1746-$I$4/252)/_xlfn.STDEV.S(B239:B1746-$I$4)</f>
        <v>#REF!</v>
      </c>
      <c r="G239" s="4"/>
      <c r="H239" s="4"/>
      <c r="I239" s="4"/>
      <c r="J239" s="4"/>
    </row>
    <row r="240" spans="1:10" x14ac:dyDescent="0.2">
      <c r="A240" t="e">
        <f>LEFT(#REF!,10)</f>
        <v>#REF!</v>
      </c>
      <c r="B240" s="4" t="e">
        <f>(#REF!-#REF!)/#REF!</f>
        <v>#REF!</v>
      </c>
      <c r="C240" s="4" t="e">
        <f>(#REF!-#REF!)/#REF!</f>
        <v>#REF!</v>
      </c>
      <c r="D240" s="4" t="e">
        <f>LN(#REF!/#REF!)</f>
        <v>#REF!</v>
      </c>
      <c r="E240" s="4" t="e">
        <f t="shared" si="4"/>
        <v>#REF!</v>
      </c>
      <c r="F240" s="4" t="e" cm="1">
        <f t="array" ref="F240">AVERAGE(B240:B1747-$I$4/252)/_xlfn.STDEV.S(B240:B1747-$I$4)</f>
        <v>#REF!</v>
      </c>
      <c r="G240" s="4"/>
      <c r="H240" s="4"/>
      <c r="I240" s="4"/>
      <c r="J240" s="4"/>
    </row>
    <row r="241" spans="1:10" x14ac:dyDescent="0.2">
      <c r="A241" t="e">
        <f>LEFT(#REF!,10)</f>
        <v>#REF!</v>
      </c>
      <c r="B241" s="4" t="e">
        <f>(#REF!-#REF!)/#REF!</f>
        <v>#REF!</v>
      </c>
      <c r="C241" s="4" t="e">
        <f>(#REF!-#REF!)/#REF!</f>
        <v>#REF!</v>
      </c>
      <c r="D241" s="4" t="e">
        <f>LN(#REF!/#REF!)</f>
        <v>#REF!</v>
      </c>
      <c r="E241" s="4" t="e">
        <f t="shared" si="4"/>
        <v>#REF!</v>
      </c>
      <c r="F241" s="4" t="e" cm="1">
        <f t="array" ref="F241">AVERAGE(B241:B1748-$I$4/252)/_xlfn.STDEV.S(B241:B1748-$I$4)</f>
        <v>#REF!</v>
      </c>
      <c r="G241" s="4"/>
      <c r="H241" s="4"/>
      <c r="I241" s="4"/>
      <c r="J241" s="4"/>
    </row>
    <row r="242" spans="1:10" x14ac:dyDescent="0.2">
      <c r="A242" t="e">
        <f>LEFT(#REF!,10)</f>
        <v>#REF!</v>
      </c>
      <c r="B242" s="4" t="e">
        <f>(#REF!-#REF!)/#REF!</f>
        <v>#REF!</v>
      </c>
      <c r="C242" s="4" t="e">
        <f>(#REF!-#REF!)/#REF!</f>
        <v>#REF!</v>
      </c>
      <c r="D242" s="4" t="e">
        <f>LN(#REF!/#REF!)</f>
        <v>#REF!</v>
      </c>
      <c r="E242" s="4" t="e">
        <f t="shared" si="4"/>
        <v>#REF!</v>
      </c>
      <c r="F242" s="4" t="e" cm="1">
        <f t="array" ref="F242">AVERAGE(B242:B1749-$I$4/252)/_xlfn.STDEV.S(B242:B1749-$I$4)</f>
        <v>#REF!</v>
      </c>
      <c r="G242" s="4"/>
      <c r="H242" s="4"/>
      <c r="I242" s="4"/>
      <c r="J242" s="4"/>
    </row>
    <row r="243" spans="1:10" x14ac:dyDescent="0.2">
      <c r="A243" t="e">
        <f>LEFT(#REF!,10)</f>
        <v>#REF!</v>
      </c>
      <c r="B243" s="4" t="e">
        <f>(#REF!-#REF!)/#REF!</f>
        <v>#REF!</v>
      </c>
      <c r="C243" s="4" t="e">
        <f>(#REF!-#REF!)/#REF!</f>
        <v>#REF!</v>
      </c>
      <c r="D243" s="4" t="e">
        <f>LN(#REF!/#REF!)</f>
        <v>#REF!</v>
      </c>
      <c r="E243" s="4" t="e">
        <f t="shared" si="4"/>
        <v>#REF!</v>
      </c>
      <c r="F243" s="4" t="e" cm="1">
        <f t="array" ref="F243">AVERAGE(B243:B1750-$I$4/252)/_xlfn.STDEV.S(B243:B1750-$I$4)</f>
        <v>#REF!</v>
      </c>
      <c r="G243" s="4"/>
      <c r="H243" s="4"/>
      <c r="I243" s="4"/>
      <c r="J243" s="4"/>
    </row>
    <row r="244" spans="1:10" x14ac:dyDescent="0.2">
      <c r="A244" t="e">
        <f>LEFT(#REF!,10)</f>
        <v>#REF!</v>
      </c>
      <c r="B244" s="4" t="e">
        <f>(#REF!-#REF!)/#REF!</f>
        <v>#REF!</v>
      </c>
      <c r="C244" s="4" t="e">
        <f>(#REF!-#REF!)/#REF!</f>
        <v>#REF!</v>
      </c>
      <c r="D244" s="4" t="e">
        <f>LN(#REF!/#REF!)</f>
        <v>#REF!</v>
      </c>
      <c r="E244" s="4" t="e">
        <f t="shared" si="4"/>
        <v>#REF!</v>
      </c>
      <c r="F244" s="4" t="e" cm="1">
        <f t="array" ref="F244">AVERAGE(B244:B1751-$I$4/252)/_xlfn.STDEV.S(B244:B1751-$I$4)</f>
        <v>#REF!</v>
      </c>
      <c r="G244" s="4"/>
      <c r="H244" s="4"/>
      <c r="I244" s="4"/>
      <c r="J244" s="4"/>
    </row>
    <row r="245" spans="1:10" x14ac:dyDescent="0.2">
      <c r="A245" t="e">
        <f>LEFT(#REF!,10)</f>
        <v>#REF!</v>
      </c>
      <c r="B245" s="4" t="e">
        <f>(#REF!-#REF!)/#REF!</f>
        <v>#REF!</v>
      </c>
      <c r="C245" s="4" t="e">
        <f>(#REF!-#REF!)/#REF!</f>
        <v>#REF!</v>
      </c>
      <c r="D245" s="4" t="e">
        <f>LN(#REF!/#REF!)</f>
        <v>#REF!</v>
      </c>
      <c r="E245" s="4" t="e">
        <f t="shared" si="4"/>
        <v>#REF!</v>
      </c>
      <c r="F245" s="4" t="e" cm="1">
        <f t="array" ref="F245">AVERAGE(B245:B1752-$I$4/252)/_xlfn.STDEV.S(B245:B1752-$I$4)</f>
        <v>#REF!</v>
      </c>
      <c r="G245" s="4"/>
      <c r="H245" s="4"/>
      <c r="I245" s="4"/>
      <c r="J245" s="4"/>
    </row>
    <row r="246" spans="1:10" x14ac:dyDescent="0.2">
      <c r="A246" t="e">
        <f>LEFT(#REF!,10)</f>
        <v>#REF!</v>
      </c>
      <c r="B246" s="4" t="e">
        <f>(#REF!-#REF!)/#REF!</f>
        <v>#REF!</v>
      </c>
      <c r="C246" s="4" t="e">
        <f>(#REF!-#REF!)/#REF!</f>
        <v>#REF!</v>
      </c>
      <c r="D246" s="4" t="e">
        <f>LN(#REF!/#REF!)</f>
        <v>#REF!</v>
      </c>
      <c r="E246" s="4" t="e">
        <f t="shared" si="4"/>
        <v>#REF!</v>
      </c>
      <c r="F246" s="4" t="e" cm="1">
        <f t="array" ref="F246">AVERAGE(B246:B1753-$I$4/252)/_xlfn.STDEV.S(B246:B1753-$I$4)</f>
        <v>#REF!</v>
      </c>
      <c r="G246" s="4"/>
      <c r="H246" s="4"/>
      <c r="I246" s="4"/>
      <c r="J246" s="4"/>
    </row>
    <row r="247" spans="1:10" x14ac:dyDescent="0.2">
      <c r="A247" t="e">
        <f>LEFT(#REF!,10)</f>
        <v>#REF!</v>
      </c>
      <c r="B247" s="4" t="e">
        <f>(#REF!-#REF!)/#REF!</f>
        <v>#REF!</v>
      </c>
      <c r="C247" s="4" t="e">
        <f>(#REF!-#REF!)/#REF!</f>
        <v>#REF!</v>
      </c>
      <c r="D247" s="4" t="e">
        <f>LN(#REF!/#REF!)</f>
        <v>#REF!</v>
      </c>
      <c r="E247" s="4" t="e">
        <f t="shared" si="4"/>
        <v>#REF!</v>
      </c>
      <c r="F247" s="4" t="e" cm="1">
        <f t="array" ref="F247">AVERAGE(B247:B1754-$I$4/252)/_xlfn.STDEV.S(B247:B1754-$I$4)</f>
        <v>#REF!</v>
      </c>
      <c r="G247" s="4"/>
      <c r="H247" s="4"/>
      <c r="I247" s="4"/>
      <c r="J247" s="4"/>
    </row>
    <row r="248" spans="1:10" x14ac:dyDescent="0.2">
      <c r="A248" t="e">
        <f>LEFT(#REF!,10)</f>
        <v>#REF!</v>
      </c>
      <c r="B248" s="4" t="e">
        <f>(#REF!-#REF!)/#REF!</f>
        <v>#REF!</v>
      </c>
      <c r="C248" s="4" t="e">
        <f>(#REF!-#REF!)/#REF!</f>
        <v>#REF!</v>
      </c>
      <c r="D248" s="4" t="e">
        <f>LN(#REF!/#REF!)</f>
        <v>#REF!</v>
      </c>
      <c r="E248" s="4" t="e">
        <f t="shared" si="4"/>
        <v>#REF!</v>
      </c>
      <c r="F248" s="4" t="e" cm="1">
        <f t="array" ref="F248">AVERAGE(B248:B1755-$I$4/252)/_xlfn.STDEV.S(B248:B1755-$I$4)</f>
        <v>#REF!</v>
      </c>
      <c r="G248" s="4"/>
      <c r="H248" s="4"/>
      <c r="I248" s="4"/>
      <c r="J248" s="4"/>
    </row>
    <row r="249" spans="1:10" x14ac:dyDescent="0.2">
      <c r="A249" t="e">
        <f>LEFT(#REF!,10)</f>
        <v>#REF!</v>
      </c>
      <c r="B249" s="4" t="e">
        <f>(#REF!-#REF!)/#REF!</f>
        <v>#REF!</v>
      </c>
      <c r="C249" s="4" t="e">
        <f>(#REF!-#REF!)/#REF!</f>
        <v>#REF!</v>
      </c>
      <c r="D249" s="4" t="e">
        <f>LN(#REF!/#REF!)</f>
        <v>#REF!</v>
      </c>
      <c r="E249" s="4" t="e">
        <f t="shared" si="4"/>
        <v>#REF!</v>
      </c>
      <c r="F249" s="4" t="e" cm="1">
        <f t="array" ref="F249">AVERAGE(B249:B1756-$I$4/252)/_xlfn.STDEV.S(B249:B1756-$I$4)</f>
        <v>#REF!</v>
      </c>
      <c r="G249" s="4"/>
      <c r="H249" s="4"/>
      <c r="I249" s="4"/>
      <c r="J249" s="4"/>
    </row>
    <row r="250" spans="1:10" x14ac:dyDescent="0.2">
      <c r="A250" t="e">
        <f>LEFT(#REF!,10)</f>
        <v>#REF!</v>
      </c>
      <c r="B250" s="4" t="e">
        <f>(#REF!-#REF!)/#REF!</f>
        <v>#REF!</v>
      </c>
      <c r="C250" s="4" t="e">
        <f>(#REF!-#REF!)/#REF!</f>
        <v>#REF!</v>
      </c>
      <c r="D250" s="4" t="e">
        <f>LN(#REF!/#REF!)</f>
        <v>#REF!</v>
      </c>
      <c r="E250" s="4" t="e">
        <f t="shared" si="4"/>
        <v>#REF!</v>
      </c>
      <c r="F250" s="4" t="e" cm="1">
        <f t="array" ref="F250">AVERAGE(B250:B1757-$I$4/252)/_xlfn.STDEV.S(B250:B1757-$I$4)</f>
        <v>#REF!</v>
      </c>
      <c r="G250" s="4"/>
      <c r="H250" s="4"/>
      <c r="I250" s="4"/>
      <c r="J250" s="4"/>
    </row>
    <row r="251" spans="1:10" x14ac:dyDescent="0.2">
      <c r="A251" t="e">
        <f>LEFT(#REF!,10)</f>
        <v>#REF!</v>
      </c>
      <c r="B251" s="4" t="e">
        <f>(#REF!-#REF!)/#REF!</f>
        <v>#REF!</v>
      </c>
      <c r="C251" s="4" t="e">
        <f>(#REF!-#REF!)/#REF!</f>
        <v>#REF!</v>
      </c>
      <c r="D251" s="4" t="e">
        <f>LN(#REF!/#REF!)</f>
        <v>#REF!</v>
      </c>
      <c r="E251" s="4" t="e">
        <f t="shared" si="4"/>
        <v>#REF!</v>
      </c>
      <c r="F251" s="4" t="e" cm="1">
        <f t="array" ref="F251">AVERAGE(B251:B1758-$I$4/252)/_xlfn.STDEV.S(B251:B1758-$I$4)</f>
        <v>#REF!</v>
      </c>
      <c r="G251" s="4"/>
      <c r="H251" s="4"/>
      <c r="I251" s="4"/>
      <c r="J251" s="4"/>
    </row>
    <row r="252" spans="1:10" x14ac:dyDescent="0.2">
      <c r="A252" t="e">
        <f>LEFT(#REF!,10)</f>
        <v>#REF!</v>
      </c>
      <c r="B252" s="4" t="e">
        <f>(#REF!-#REF!)/#REF!</f>
        <v>#REF!</v>
      </c>
      <c r="C252" s="4" t="e">
        <f>(#REF!-#REF!)/#REF!</f>
        <v>#REF!</v>
      </c>
      <c r="D252" s="4" t="e">
        <f>LN(#REF!/#REF!)</f>
        <v>#REF!</v>
      </c>
      <c r="E252" s="4" t="e">
        <f t="shared" si="4"/>
        <v>#REF!</v>
      </c>
      <c r="F252" s="4" t="e" cm="1">
        <f t="array" ref="F252">AVERAGE(B252:B1759-$I$4/252)/_xlfn.STDEV.S(B252:B1759-$I$4)</f>
        <v>#REF!</v>
      </c>
      <c r="G252" s="4"/>
      <c r="H252" s="4"/>
      <c r="I252" s="4"/>
      <c r="J252" s="4"/>
    </row>
    <row r="253" spans="1:10" x14ac:dyDescent="0.2">
      <c r="A253" t="e">
        <f>LEFT(#REF!,10)</f>
        <v>#REF!</v>
      </c>
      <c r="B253" s="4" t="e">
        <f>(#REF!-#REF!)/#REF!</f>
        <v>#REF!</v>
      </c>
      <c r="C253" s="4" t="e">
        <f>(#REF!-#REF!)/#REF!</f>
        <v>#REF!</v>
      </c>
      <c r="D253" s="4" t="e">
        <f>LN(#REF!/#REF!)</f>
        <v>#REF!</v>
      </c>
      <c r="E253" s="4" t="e">
        <f t="shared" si="4"/>
        <v>#REF!</v>
      </c>
      <c r="F253" s="4" t="e" cm="1">
        <f t="array" ref="F253">AVERAGE(B253:B1760-$I$4/252)/_xlfn.STDEV.S(B253:B1760-$I$4)</f>
        <v>#REF!</v>
      </c>
      <c r="G253" s="4"/>
      <c r="H253" s="4"/>
      <c r="I253" s="4"/>
      <c r="J253" s="4"/>
    </row>
    <row r="254" spans="1:10" x14ac:dyDescent="0.2">
      <c r="A254" t="e">
        <f>LEFT(#REF!,10)</f>
        <v>#REF!</v>
      </c>
      <c r="B254" s="4" t="e">
        <f>(#REF!-#REF!)/#REF!</f>
        <v>#REF!</v>
      </c>
      <c r="C254" s="4" t="e">
        <f>(#REF!-#REF!)/#REF!</f>
        <v>#REF!</v>
      </c>
      <c r="D254" s="4" t="e">
        <f>LN(#REF!/#REF!)</f>
        <v>#REF!</v>
      </c>
      <c r="E254" s="4" t="e">
        <f t="shared" si="4"/>
        <v>#REF!</v>
      </c>
      <c r="F254" s="4" t="e" cm="1">
        <f t="array" ref="F254">AVERAGE(B254:B1761-$I$4/252)/_xlfn.STDEV.S(B254:B1761-$I$4)</f>
        <v>#REF!</v>
      </c>
      <c r="G254" s="4"/>
      <c r="H254" s="4"/>
      <c r="I254" s="4"/>
      <c r="J254" s="4"/>
    </row>
    <row r="255" spans="1:10" x14ac:dyDescent="0.2">
      <c r="A255" t="e">
        <f>LEFT(#REF!,10)</f>
        <v>#REF!</v>
      </c>
      <c r="B255" s="4" t="e">
        <f>(#REF!-#REF!)/#REF!</f>
        <v>#REF!</v>
      </c>
      <c r="C255" s="4" t="e">
        <f>(#REF!-#REF!)/#REF!</f>
        <v>#REF!</v>
      </c>
      <c r="D255" s="4" t="e">
        <f>LN(#REF!/#REF!)</f>
        <v>#REF!</v>
      </c>
      <c r="E255" s="4" t="e">
        <f t="shared" si="4"/>
        <v>#REF!</v>
      </c>
      <c r="F255" s="4" t="e" cm="1">
        <f t="array" ref="F255">AVERAGE(B255:B1762-$I$4/252)/_xlfn.STDEV.S(B255:B1762-$I$4)</f>
        <v>#REF!</v>
      </c>
      <c r="G255" s="6" t="e">
        <f>M16-($I$4+M8*(N16-$I$4))</f>
        <v>#REF!</v>
      </c>
      <c r="H255" s="6" t="e">
        <f>_xlfn.COVARIANCE.S(B255:B507,C255:C507)/_xlfn.VAR.S(C255:C507)</f>
        <v>#REF!</v>
      </c>
      <c r="I255" s="4"/>
      <c r="J255" s="6" t="e">
        <f>(M16-$I$4)/M8</f>
        <v>#REF!</v>
      </c>
    </row>
    <row r="256" spans="1:10" x14ac:dyDescent="0.2">
      <c r="A256" t="e">
        <f>LEFT(#REF!,10)</f>
        <v>#REF!</v>
      </c>
      <c r="B256" s="4" t="e">
        <f>(#REF!-#REF!)/#REF!</f>
        <v>#REF!</v>
      </c>
      <c r="C256" s="4" t="e">
        <f>(#REF!-#REF!)/#REF!</f>
        <v>#REF!</v>
      </c>
      <c r="D256" s="4" t="e">
        <f>LN(#REF!/#REF!)</f>
        <v>#REF!</v>
      </c>
      <c r="E256" s="4" t="e">
        <f t="shared" si="4"/>
        <v>#REF!</v>
      </c>
      <c r="F256" s="4" t="e" cm="1">
        <f t="array" ref="F256">AVERAGE(B256:B1763-$I$4/252)/_xlfn.STDEV.S(B256:B1763-$I$4)</f>
        <v>#REF!</v>
      </c>
      <c r="G256" s="4"/>
      <c r="H256" s="4"/>
      <c r="I256" s="4"/>
      <c r="J256" s="4"/>
    </row>
    <row r="257" spans="1:10" x14ac:dyDescent="0.2">
      <c r="A257" t="e">
        <f>LEFT(#REF!,10)</f>
        <v>#REF!</v>
      </c>
      <c r="B257" s="4" t="e">
        <f>(#REF!-#REF!)/#REF!</f>
        <v>#REF!</v>
      </c>
      <c r="C257" s="4" t="e">
        <f>(#REF!-#REF!)/#REF!</f>
        <v>#REF!</v>
      </c>
      <c r="D257" s="4" t="e">
        <f>LN(#REF!/#REF!)</f>
        <v>#REF!</v>
      </c>
      <c r="E257" s="4" t="e">
        <f t="shared" si="4"/>
        <v>#REF!</v>
      </c>
      <c r="F257" s="4" t="e" cm="1">
        <f t="array" ref="F257">AVERAGE(B257:B1764-$I$4/252)/_xlfn.STDEV.S(B257:B1764-$I$4)</f>
        <v>#REF!</v>
      </c>
      <c r="G257" s="4"/>
      <c r="H257" s="4"/>
      <c r="I257" s="4"/>
      <c r="J257" s="4"/>
    </row>
    <row r="258" spans="1:10" x14ac:dyDescent="0.2">
      <c r="A258" t="e">
        <f>LEFT(#REF!,10)</f>
        <v>#REF!</v>
      </c>
      <c r="B258" s="4" t="e">
        <f>(#REF!-#REF!)/#REF!</f>
        <v>#REF!</v>
      </c>
      <c r="C258" s="4" t="e">
        <f>(#REF!-#REF!)/#REF!</f>
        <v>#REF!</v>
      </c>
      <c r="D258" s="4" t="e">
        <f>LN(#REF!/#REF!)</f>
        <v>#REF!</v>
      </c>
      <c r="E258" s="4" t="e">
        <f t="shared" si="4"/>
        <v>#REF!</v>
      </c>
      <c r="F258" s="4" t="e" cm="1">
        <f t="array" ref="F258">AVERAGE(B258:B1765-$I$4/252)/_xlfn.STDEV.S(B258:B1765-$I$4)</f>
        <v>#REF!</v>
      </c>
      <c r="G258" s="4"/>
      <c r="H258" s="4"/>
      <c r="I258" s="4"/>
      <c r="J258" s="4"/>
    </row>
    <row r="259" spans="1:10" x14ac:dyDescent="0.2">
      <c r="A259" t="e">
        <f>LEFT(#REF!,10)</f>
        <v>#REF!</v>
      </c>
      <c r="B259" s="4" t="e">
        <f>(#REF!-#REF!)/#REF!</f>
        <v>#REF!</v>
      </c>
      <c r="C259" s="4" t="e">
        <f>(#REF!-#REF!)/#REF!</f>
        <v>#REF!</v>
      </c>
      <c r="D259" s="4" t="e">
        <f>LN(#REF!/#REF!)</f>
        <v>#REF!</v>
      </c>
      <c r="E259" s="4" t="e">
        <f t="shared" si="4"/>
        <v>#REF!</v>
      </c>
      <c r="F259" s="4" t="e" cm="1">
        <f t="array" ref="F259">AVERAGE(B259:B1766-$I$4/252)/_xlfn.STDEV.S(B259:B1766-$I$4)</f>
        <v>#REF!</v>
      </c>
      <c r="G259" s="4"/>
      <c r="H259" s="4"/>
      <c r="I259" s="4"/>
      <c r="J259" s="4"/>
    </row>
    <row r="260" spans="1:10" x14ac:dyDescent="0.2">
      <c r="A260" t="e">
        <f>LEFT(#REF!,10)</f>
        <v>#REF!</v>
      </c>
      <c r="B260" s="4" t="e">
        <f>(#REF!-#REF!)/#REF!</f>
        <v>#REF!</v>
      </c>
      <c r="C260" s="4" t="e">
        <f>(#REF!-#REF!)/#REF!</f>
        <v>#REF!</v>
      </c>
      <c r="D260" s="4" t="e">
        <f>LN(#REF!/#REF!)</f>
        <v>#REF!</v>
      </c>
      <c r="E260" s="4" t="e">
        <f t="shared" si="4"/>
        <v>#REF!</v>
      </c>
      <c r="F260" s="4" t="e" cm="1">
        <f t="array" ref="F260">AVERAGE(B260:B1767-$I$4/252)/_xlfn.STDEV.S(B260:B1767-$I$4)</f>
        <v>#REF!</v>
      </c>
      <c r="G260" s="4"/>
      <c r="H260" s="4"/>
      <c r="I260" s="4"/>
      <c r="J260" s="4"/>
    </row>
    <row r="261" spans="1:10" x14ac:dyDescent="0.2">
      <c r="A261" t="e">
        <f>LEFT(#REF!,10)</f>
        <v>#REF!</v>
      </c>
      <c r="B261" s="4" t="e">
        <f>(#REF!-#REF!)/#REF!</f>
        <v>#REF!</v>
      </c>
      <c r="C261" s="4" t="e">
        <f>(#REF!-#REF!)/#REF!</f>
        <v>#REF!</v>
      </c>
      <c r="D261" s="4" t="e">
        <f>LN(#REF!/#REF!)</f>
        <v>#REF!</v>
      </c>
      <c r="E261" s="4" t="e">
        <f t="shared" ref="E261:E324" si="5">_xlfn.STDEV.S(D261:D280)</f>
        <v>#REF!</v>
      </c>
      <c r="F261" s="4" t="e" cm="1">
        <f t="array" ref="F261">AVERAGE(B261:B1768-$I$4/252)/_xlfn.STDEV.S(B261:B1768-$I$4)</f>
        <v>#REF!</v>
      </c>
      <c r="G261" s="4"/>
      <c r="H261" s="4"/>
      <c r="I261" s="4"/>
      <c r="J261" s="4"/>
    </row>
    <row r="262" spans="1:10" x14ac:dyDescent="0.2">
      <c r="A262" t="e">
        <f>LEFT(#REF!,10)</f>
        <v>#REF!</v>
      </c>
      <c r="B262" s="4" t="e">
        <f>(#REF!-#REF!)/#REF!</f>
        <v>#REF!</v>
      </c>
      <c r="C262" s="4" t="e">
        <f>(#REF!-#REF!)/#REF!</f>
        <v>#REF!</v>
      </c>
      <c r="D262" s="4" t="e">
        <f>LN(#REF!/#REF!)</f>
        <v>#REF!</v>
      </c>
      <c r="E262" s="4" t="e">
        <f t="shared" si="5"/>
        <v>#REF!</v>
      </c>
      <c r="F262" s="4" t="e" cm="1">
        <f t="array" ref="F262">AVERAGE(B262:B1769-$I$4/252)/_xlfn.STDEV.S(B262:B1769-$I$4)</f>
        <v>#REF!</v>
      </c>
      <c r="G262" s="4"/>
      <c r="H262" s="4"/>
      <c r="I262" s="4"/>
      <c r="J262" s="4"/>
    </row>
    <row r="263" spans="1:10" x14ac:dyDescent="0.2">
      <c r="A263" t="e">
        <f>LEFT(#REF!,10)</f>
        <v>#REF!</v>
      </c>
      <c r="B263" s="4" t="e">
        <f>(#REF!-#REF!)/#REF!</f>
        <v>#REF!</v>
      </c>
      <c r="C263" s="4" t="e">
        <f>(#REF!-#REF!)/#REF!</f>
        <v>#REF!</v>
      </c>
      <c r="D263" s="4" t="e">
        <f>LN(#REF!/#REF!)</f>
        <v>#REF!</v>
      </c>
      <c r="E263" s="4" t="e">
        <f t="shared" si="5"/>
        <v>#REF!</v>
      </c>
      <c r="F263" s="4" t="e" cm="1">
        <f t="array" ref="F263">AVERAGE(B263:B1770-$I$4/252)/_xlfn.STDEV.S(B263:B1770-$I$4)</f>
        <v>#REF!</v>
      </c>
      <c r="G263" s="4"/>
      <c r="H263" s="4"/>
      <c r="I263" s="4"/>
      <c r="J263" s="4"/>
    </row>
    <row r="264" spans="1:10" x14ac:dyDescent="0.2">
      <c r="A264" t="e">
        <f>LEFT(#REF!,10)</f>
        <v>#REF!</v>
      </c>
      <c r="B264" s="4" t="e">
        <f>(#REF!-#REF!)/#REF!</f>
        <v>#REF!</v>
      </c>
      <c r="C264" s="4" t="e">
        <f>(#REF!-#REF!)/#REF!</f>
        <v>#REF!</v>
      </c>
      <c r="D264" s="4" t="e">
        <f>LN(#REF!/#REF!)</f>
        <v>#REF!</v>
      </c>
      <c r="E264" s="4" t="e">
        <f t="shared" si="5"/>
        <v>#REF!</v>
      </c>
      <c r="F264" s="4" t="e" cm="1">
        <f t="array" ref="F264">AVERAGE(B264:B1771-$I$4/252)/_xlfn.STDEV.S(B264:B1771-$I$4)</f>
        <v>#REF!</v>
      </c>
      <c r="G264" s="4"/>
      <c r="H264" s="4"/>
      <c r="I264" s="4"/>
      <c r="J264" s="4"/>
    </row>
    <row r="265" spans="1:10" x14ac:dyDescent="0.2">
      <c r="A265" t="e">
        <f>LEFT(#REF!,10)</f>
        <v>#REF!</v>
      </c>
      <c r="B265" s="4" t="e">
        <f>(#REF!-#REF!)/#REF!</f>
        <v>#REF!</v>
      </c>
      <c r="C265" s="4" t="e">
        <f>(#REF!-#REF!)/#REF!</f>
        <v>#REF!</v>
      </c>
      <c r="D265" s="4" t="e">
        <f>LN(#REF!/#REF!)</f>
        <v>#REF!</v>
      </c>
      <c r="E265" s="4" t="e">
        <f t="shared" si="5"/>
        <v>#REF!</v>
      </c>
      <c r="F265" s="4" t="e" cm="1">
        <f t="array" ref="F265">AVERAGE(B265:B1772-$I$4/252)/_xlfn.STDEV.S(B265:B1772-$I$4)</f>
        <v>#REF!</v>
      </c>
      <c r="G265" s="4"/>
      <c r="H265" s="4"/>
      <c r="I265" s="4"/>
      <c r="J265" s="4"/>
    </row>
    <row r="266" spans="1:10" x14ac:dyDescent="0.2">
      <c r="A266" t="e">
        <f>LEFT(#REF!,10)</f>
        <v>#REF!</v>
      </c>
      <c r="B266" s="4" t="e">
        <f>(#REF!-#REF!)/#REF!</f>
        <v>#REF!</v>
      </c>
      <c r="C266" s="4" t="e">
        <f>(#REF!-#REF!)/#REF!</f>
        <v>#REF!</v>
      </c>
      <c r="D266" s="4" t="e">
        <f>LN(#REF!/#REF!)</f>
        <v>#REF!</v>
      </c>
      <c r="E266" s="4" t="e">
        <f t="shared" si="5"/>
        <v>#REF!</v>
      </c>
      <c r="F266" s="4" t="e" cm="1">
        <f t="array" ref="F266">AVERAGE(B266:B1773-$I$4/252)/_xlfn.STDEV.S(B266:B1773-$I$4)</f>
        <v>#REF!</v>
      </c>
      <c r="G266" s="4"/>
      <c r="H266" s="4"/>
      <c r="I266" s="4"/>
      <c r="J266" s="4"/>
    </row>
    <row r="267" spans="1:10" x14ac:dyDescent="0.2">
      <c r="A267" t="e">
        <f>LEFT(#REF!,10)</f>
        <v>#REF!</v>
      </c>
      <c r="B267" s="4" t="e">
        <f>(#REF!-#REF!)/#REF!</f>
        <v>#REF!</v>
      </c>
      <c r="C267" s="4" t="e">
        <f>(#REF!-#REF!)/#REF!</f>
        <v>#REF!</v>
      </c>
      <c r="D267" s="4" t="e">
        <f>LN(#REF!/#REF!)</f>
        <v>#REF!</v>
      </c>
      <c r="E267" s="4" t="e">
        <f t="shared" si="5"/>
        <v>#REF!</v>
      </c>
      <c r="F267" s="4" t="e" cm="1">
        <f t="array" ref="F267">AVERAGE(B267:B1774-$I$4/252)/_xlfn.STDEV.S(B267:B1774-$I$4)</f>
        <v>#REF!</v>
      </c>
      <c r="G267" s="4"/>
      <c r="H267" s="4"/>
      <c r="I267" s="4"/>
      <c r="J267" s="4"/>
    </row>
    <row r="268" spans="1:10" x14ac:dyDescent="0.2">
      <c r="A268" t="e">
        <f>LEFT(#REF!,10)</f>
        <v>#REF!</v>
      </c>
      <c r="B268" s="4" t="e">
        <f>(#REF!-#REF!)/#REF!</f>
        <v>#REF!</v>
      </c>
      <c r="C268" s="4" t="e">
        <f>(#REF!-#REF!)/#REF!</f>
        <v>#REF!</v>
      </c>
      <c r="D268" s="4" t="e">
        <f>LN(#REF!/#REF!)</f>
        <v>#REF!</v>
      </c>
      <c r="E268" s="4" t="e">
        <f t="shared" si="5"/>
        <v>#REF!</v>
      </c>
      <c r="F268" s="4" t="e" cm="1">
        <f t="array" ref="F268">AVERAGE(B268:B1775-$I$4/252)/_xlfn.STDEV.S(B268:B1775-$I$4)</f>
        <v>#REF!</v>
      </c>
      <c r="G268" s="4"/>
      <c r="H268" s="4"/>
      <c r="I268" s="4"/>
      <c r="J268" s="4"/>
    </row>
    <row r="269" spans="1:10" x14ac:dyDescent="0.2">
      <c r="A269" t="e">
        <f>LEFT(#REF!,10)</f>
        <v>#REF!</v>
      </c>
      <c r="B269" s="4" t="e">
        <f>(#REF!-#REF!)/#REF!</f>
        <v>#REF!</v>
      </c>
      <c r="C269" s="4" t="e">
        <f>(#REF!-#REF!)/#REF!</f>
        <v>#REF!</v>
      </c>
      <c r="D269" s="4" t="e">
        <f>LN(#REF!/#REF!)</f>
        <v>#REF!</v>
      </c>
      <c r="E269" s="4" t="e">
        <f t="shared" si="5"/>
        <v>#REF!</v>
      </c>
      <c r="F269" s="4" t="e" cm="1">
        <f t="array" ref="F269">AVERAGE(B269:B1776-$I$4/252)/_xlfn.STDEV.S(B269:B1776-$I$4)</f>
        <v>#REF!</v>
      </c>
      <c r="G269" s="4"/>
      <c r="H269" s="4"/>
      <c r="I269" s="4"/>
      <c r="J269" s="4"/>
    </row>
    <row r="270" spans="1:10" x14ac:dyDescent="0.2">
      <c r="A270" t="e">
        <f>LEFT(#REF!,10)</f>
        <v>#REF!</v>
      </c>
      <c r="B270" s="4" t="e">
        <f>(#REF!-#REF!)/#REF!</f>
        <v>#REF!</v>
      </c>
      <c r="C270" s="4" t="e">
        <f>(#REF!-#REF!)/#REF!</f>
        <v>#REF!</v>
      </c>
      <c r="D270" s="4" t="e">
        <f>LN(#REF!/#REF!)</f>
        <v>#REF!</v>
      </c>
      <c r="E270" s="4" t="e">
        <f t="shared" si="5"/>
        <v>#REF!</v>
      </c>
      <c r="F270" s="4" t="e" cm="1">
        <f t="array" ref="F270">AVERAGE(B270:B1777-$I$4/252)/_xlfn.STDEV.S(B270:B1777-$I$4)</f>
        <v>#REF!</v>
      </c>
      <c r="G270" s="4"/>
      <c r="H270" s="4"/>
      <c r="I270" s="4"/>
      <c r="J270" s="4"/>
    </row>
    <row r="271" spans="1:10" x14ac:dyDescent="0.2">
      <c r="A271" t="e">
        <f>LEFT(#REF!,10)</f>
        <v>#REF!</v>
      </c>
      <c r="B271" s="4" t="e">
        <f>(#REF!-#REF!)/#REF!</f>
        <v>#REF!</v>
      </c>
      <c r="C271" s="4" t="e">
        <f>(#REF!-#REF!)/#REF!</f>
        <v>#REF!</v>
      </c>
      <c r="D271" s="4" t="e">
        <f>LN(#REF!/#REF!)</f>
        <v>#REF!</v>
      </c>
      <c r="E271" s="4" t="e">
        <f t="shared" si="5"/>
        <v>#REF!</v>
      </c>
      <c r="F271" s="4" t="e" cm="1">
        <f t="array" ref="F271">AVERAGE(B271:B1778-$I$4/252)/_xlfn.STDEV.S(B271:B1778-$I$4)</f>
        <v>#REF!</v>
      </c>
      <c r="G271" s="4"/>
      <c r="H271" s="4"/>
      <c r="I271" s="4"/>
      <c r="J271" s="4"/>
    </row>
    <row r="272" spans="1:10" x14ac:dyDescent="0.2">
      <c r="A272" t="e">
        <f>LEFT(#REF!,10)</f>
        <v>#REF!</v>
      </c>
      <c r="B272" s="4" t="e">
        <f>(#REF!-#REF!)/#REF!</f>
        <v>#REF!</v>
      </c>
      <c r="C272" s="4" t="e">
        <f>(#REF!-#REF!)/#REF!</f>
        <v>#REF!</v>
      </c>
      <c r="D272" s="4" t="e">
        <f>LN(#REF!/#REF!)</f>
        <v>#REF!</v>
      </c>
      <c r="E272" s="4" t="e">
        <f t="shared" si="5"/>
        <v>#REF!</v>
      </c>
      <c r="F272" s="4" t="e" cm="1">
        <f t="array" ref="F272">AVERAGE(B272:B1779-$I$4/252)/_xlfn.STDEV.S(B272:B1779-$I$4)</f>
        <v>#REF!</v>
      </c>
      <c r="G272" s="4"/>
      <c r="H272" s="4"/>
      <c r="I272" s="4"/>
      <c r="J272" s="4"/>
    </row>
    <row r="273" spans="1:10" x14ac:dyDescent="0.2">
      <c r="A273" t="e">
        <f>LEFT(#REF!,10)</f>
        <v>#REF!</v>
      </c>
      <c r="B273" s="4" t="e">
        <f>(#REF!-#REF!)/#REF!</f>
        <v>#REF!</v>
      </c>
      <c r="C273" s="4" t="e">
        <f>(#REF!-#REF!)/#REF!</f>
        <v>#REF!</v>
      </c>
      <c r="D273" s="4" t="e">
        <f>LN(#REF!/#REF!)</f>
        <v>#REF!</v>
      </c>
      <c r="E273" s="4" t="e">
        <f t="shared" si="5"/>
        <v>#REF!</v>
      </c>
      <c r="F273" s="4" t="e" cm="1">
        <f t="array" ref="F273">AVERAGE(B273:B1780-$I$4/252)/_xlfn.STDEV.S(B273:B1780-$I$4)</f>
        <v>#REF!</v>
      </c>
      <c r="G273" s="4"/>
      <c r="H273" s="4"/>
      <c r="I273" s="4"/>
      <c r="J273" s="4"/>
    </row>
    <row r="274" spans="1:10" x14ac:dyDescent="0.2">
      <c r="A274" t="e">
        <f>LEFT(#REF!,10)</f>
        <v>#REF!</v>
      </c>
      <c r="B274" s="4" t="e">
        <f>(#REF!-#REF!)/#REF!</f>
        <v>#REF!</v>
      </c>
      <c r="C274" s="4" t="e">
        <f>(#REF!-#REF!)/#REF!</f>
        <v>#REF!</v>
      </c>
      <c r="D274" s="4" t="e">
        <f>LN(#REF!/#REF!)</f>
        <v>#REF!</v>
      </c>
      <c r="E274" s="4" t="e">
        <f t="shared" si="5"/>
        <v>#REF!</v>
      </c>
      <c r="F274" s="4" t="e" cm="1">
        <f t="array" ref="F274">AVERAGE(B274:B1781-$I$4/252)/_xlfn.STDEV.S(B274:B1781-$I$4)</f>
        <v>#REF!</v>
      </c>
      <c r="G274" s="4"/>
      <c r="H274" s="4"/>
      <c r="I274" s="4"/>
      <c r="J274" s="4"/>
    </row>
    <row r="275" spans="1:10" x14ac:dyDescent="0.2">
      <c r="A275" t="e">
        <f>LEFT(#REF!,10)</f>
        <v>#REF!</v>
      </c>
      <c r="B275" s="4" t="e">
        <f>(#REF!-#REF!)/#REF!</f>
        <v>#REF!</v>
      </c>
      <c r="C275" s="4" t="e">
        <f>(#REF!-#REF!)/#REF!</f>
        <v>#REF!</v>
      </c>
      <c r="D275" s="4" t="e">
        <f>LN(#REF!/#REF!)</f>
        <v>#REF!</v>
      </c>
      <c r="E275" s="4" t="e">
        <f t="shared" si="5"/>
        <v>#REF!</v>
      </c>
      <c r="F275" s="4" t="e" cm="1">
        <f t="array" ref="F275">AVERAGE(B275:B1782-$I$4/252)/_xlfn.STDEV.S(B275:B1782-$I$4)</f>
        <v>#REF!</v>
      </c>
      <c r="G275" s="4"/>
      <c r="H275" s="4"/>
      <c r="I275" s="4"/>
      <c r="J275" s="4"/>
    </row>
    <row r="276" spans="1:10" x14ac:dyDescent="0.2">
      <c r="A276" t="e">
        <f>LEFT(#REF!,10)</f>
        <v>#REF!</v>
      </c>
      <c r="B276" s="4" t="e">
        <f>(#REF!-#REF!)/#REF!</f>
        <v>#REF!</v>
      </c>
      <c r="C276" s="4" t="e">
        <f>(#REF!-#REF!)/#REF!</f>
        <v>#REF!</v>
      </c>
      <c r="D276" s="4" t="e">
        <f>LN(#REF!/#REF!)</f>
        <v>#REF!</v>
      </c>
      <c r="E276" s="4" t="e">
        <f t="shared" si="5"/>
        <v>#REF!</v>
      </c>
      <c r="F276" s="4" t="e" cm="1">
        <f t="array" ref="F276">AVERAGE(B276:B1783-$I$4/252)/_xlfn.STDEV.S(B276:B1783-$I$4)</f>
        <v>#REF!</v>
      </c>
      <c r="G276" s="4"/>
      <c r="H276" s="4"/>
      <c r="I276" s="4"/>
      <c r="J276" s="4"/>
    </row>
    <row r="277" spans="1:10" x14ac:dyDescent="0.2">
      <c r="A277" t="e">
        <f>LEFT(#REF!,10)</f>
        <v>#REF!</v>
      </c>
      <c r="B277" s="4" t="e">
        <f>(#REF!-#REF!)/#REF!</f>
        <v>#REF!</v>
      </c>
      <c r="C277" s="4" t="e">
        <f>(#REF!-#REF!)/#REF!</f>
        <v>#REF!</v>
      </c>
      <c r="D277" s="4" t="e">
        <f>LN(#REF!/#REF!)</f>
        <v>#REF!</v>
      </c>
      <c r="E277" s="4" t="e">
        <f t="shared" si="5"/>
        <v>#REF!</v>
      </c>
      <c r="F277" s="4" t="e" cm="1">
        <f t="array" ref="F277">AVERAGE(B277:B1784-$I$4/252)/_xlfn.STDEV.S(B277:B1784-$I$4)</f>
        <v>#REF!</v>
      </c>
      <c r="G277" s="4"/>
      <c r="H277" s="4"/>
      <c r="I277" s="4"/>
      <c r="J277" s="4"/>
    </row>
    <row r="278" spans="1:10" x14ac:dyDescent="0.2">
      <c r="A278" t="e">
        <f>LEFT(#REF!,10)</f>
        <v>#REF!</v>
      </c>
      <c r="B278" s="4" t="e">
        <f>(#REF!-#REF!)/#REF!</f>
        <v>#REF!</v>
      </c>
      <c r="C278" s="4" t="e">
        <f>(#REF!-#REF!)/#REF!</f>
        <v>#REF!</v>
      </c>
      <c r="D278" s="4" t="e">
        <f>LN(#REF!/#REF!)</f>
        <v>#REF!</v>
      </c>
      <c r="E278" s="4" t="e">
        <f t="shared" si="5"/>
        <v>#REF!</v>
      </c>
      <c r="F278" s="4" t="e" cm="1">
        <f t="array" ref="F278">AVERAGE(B278:B1785-$I$4/252)/_xlfn.STDEV.S(B278:B1785-$I$4)</f>
        <v>#REF!</v>
      </c>
      <c r="G278" s="4"/>
      <c r="H278" s="4"/>
      <c r="I278" s="4"/>
      <c r="J278" s="4"/>
    </row>
    <row r="279" spans="1:10" x14ac:dyDescent="0.2">
      <c r="A279" t="e">
        <f>LEFT(#REF!,10)</f>
        <v>#REF!</v>
      </c>
      <c r="B279" s="4" t="e">
        <f>(#REF!-#REF!)/#REF!</f>
        <v>#REF!</v>
      </c>
      <c r="C279" s="4" t="e">
        <f>(#REF!-#REF!)/#REF!</f>
        <v>#REF!</v>
      </c>
      <c r="D279" s="4" t="e">
        <f>LN(#REF!/#REF!)</f>
        <v>#REF!</v>
      </c>
      <c r="E279" s="4" t="e">
        <f t="shared" si="5"/>
        <v>#REF!</v>
      </c>
      <c r="F279" s="4" t="e" cm="1">
        <f t="array" ref="F279">AVERAGE(B279:B1786-$I$4/252)/_xlfn.STDEV.S(B279:B1786-$I$4)</f>
        <v>#REF!</v>
      </c>
      <c r="G279" s="4"/>
      <c r="H279" s="4"/>
      <c r="I279" s="4"/>
      <c r="J279" s="4"/>
    </row>
    <row r="280" spans="1:10" x14ac:dyDescent="0.2">
      <c r="A280" t="e">
        <f>LEFT(#REF!,10)</f>
        <v>#REF!</v>
      </c>
      <c r="B280" s="4" t="e">
        <f>(#REF!-#REF!)/#REF!</f>
        <v>#REF!</v>
      </c>
      <c r="C280" s="4" t="e">
        <f>(#REF!-#REF!)/#REF!</f>
        <v>#REF!</v>
      </c>
      <c r="D280" s="4" t="e">
        <f>LN(#REF!/#REF!)</f>
        <v>#REF!</v>
      </c>
      <c r="E280" s="4" t="e">
        <f t="shared" si="5"/>
        <v>#REF!</v>
      </c>
      <c r="F280" s="4" t="e" cm="1">
        <f t="array" ref="F280">AVERAGE(B280:B1787-$I$4/252)/_xlfn.STDEV.S(B280:B1787-$I$4)</f>
        <v>#REF!</v>
      </c>
      <c r="G280" s="4"/>
      <c r="H280" s="4"/>
      <c r="I280" s="4"/>
      <c r="J280" s="4"/>
    </row>
    <row r="281" spans="1:10" x14ac:dyDescent="0.2">
      <c r="A281" t="e">
        <f>LEFT(#REF!,10)</f>
        <v>#REF!</v>
      </c>
      <c r="B281" s="4" t="e">
        <f>(#REF!-#REF!)/#REF!</f>
        <v>#REF!</v>
      </c>
      <c r="C281" s="4" t="e">
        <f>(#REF!-#REF!)/#REF!</f>
        <v>#REF!</v>
      </c>
      <c r="D281" s="4" t="e">
        <f>LN(#REF!/#REF!)</f>
        <v>#REF!</v>
      </c>
      <c r="E281" s="4" t="e">
        <f t="shared" si="5"/>
        <v>#REF!</v>
      </c>
      <c r="F281" s="4" t="e" cm="1">
        <f t="array" ref="F281">AVERAGE(B281:B1788-$I$4/252)/_xlfn.STDEV.S(B281:B1788-$I$4)</f>
        <v>#REF!</v>
      </c>
      <c r="G281" s="4"/>
      <c r="H281" s="4"/>
      <c r="I281" s="4"/>
      <c r="J281" s="4"/>
    </row>
    <row r="282" spans="1:10" x14ac:dyDescent="0.2">
      <c r="A282" t="e">
        <f>LEFT(#REF!,10)</f>
        <v>#REF!</v>
      </c>
      <c r="B282" s="4" t="e">
        <f>(#REF!-#REF!)/#REF!</f>
        <v>#REF!</v>
      </c>
      <c r="C282" s="4" t="e">
        <f>(#REF!-#REF!)/#REF!</f>
        <v>#REF!</v>
      </c>
      <c r="D282" s="4" t="e">
        <f>LN(#REF!/#REF!)</f>
        <v>#REF!</v>
      </c>
      <c r="E282" s="4" t="e">
        <f t="shared" si="5"/>
        <v>#REF!</v>
      </c>
      <c r="F282" s="4" t="e" cm="1">
        <f t="array" ref="F282">AVERAGE(B282:B1789-$I$4/252)/_xlfn.STDEV.S(B282:B1789-$I$4)</f>
        <v>#REF!</v>
      </c>
      <c r="G282" s="4"/>
      <c r="H282" s="4"/>
      <c r="I282" s="4"/>
      <c r="J282" s="4"/>
    </row>
    <row r="283" spans="1:10" x14ac:dyDescent="0.2">
      <c r="A283" t="e">
        <f>LEFT(#REF!,10)</f>
        <v>#REF!</v>
      </c>
      <c r="B283" s="4" t="e">
        <f>(#REF!-#REF!)/#REF!</f>
        <v>#REF!</v>
      </c>
      <c r="C283" s="4" t="e">
        <f>(#REF!-#REF!)/#REF!</f>
        <v>#REF!</v>
      </c>
      <c r="D283" s="4" t="e">
        <f>LN(#REF!/#REF!)</f>
        <v>#REF!</v>
      </c>
      <c r="E283" s="4" t="e">
        <f t="shared" si="5"/>
        <v>#REF!</v>
      </c>
      <c r="F283" s="4" t="e" cm="1">
        <f t="array" ref="F283">AVERAGE(B283:B1790-$I$4/252)/_xlfn.STDEV.S(B283:B1790-$I$4)</f>
        <v>#REF!</v>
      </c>
      <c r="G283" s="4"/>
      <c r="H283" s="4"/>
      <c r="I283" s="4"/>
      <c r="J283" s="4"/>
    </row>
    <row r="284" spans="1:10" x14ac:dyDescent="0.2">
      <c r="A284" t="e">
        <f>LEFT(#REF!,10)</f>
        <v>#REF!</v>
      </c>
      <c r="B284" s="4" t="e">
        <f>(#REF!-#REF!)/#REF!</f>
        <v>#REF!</v>
      </c>
      <c r="C284" s="4" t="e">
        <f>(#REF!-#REF!)/#REF!</f>
        <v>#REF!</v>
      </c>
      <c r="D284" s="4" t="e">
        <f>LN(#REF!/#REF!)</f>
        <v>#REF!</v>
      </c>
      <c r="E284" s="4" t="e">
        <f t="shared" si="5"/>
        <v>#REF!</v>
      </c>
      <c r="F284" s="4" t="e" cm="1">
        <f t="array" ref="F284">AVERAGE(B284:B1791-$I$4/252)/_xlfn.STDEV.S(B284:B1791-$I$4)</f>
        <v>#REF!</v>
      </c>
      <c r="G284" s="4"/>
      <c r="H284" s="4"/>
      <c r="I284" s="4"/>
      <c r="J284" s="4"/>
    </row>
    <row r="285" spans="1:10" x14ac:dyDescent="0.2">
      <c r="A285" t="e">
        <f>LEFT(#REF!,10)</f>
        <v>#REF!</v>
      </c>
      <c r="B285" s="4" t="e">
        <f>(#REF!-#REF!)/#REF!</f>
        <v>#REF!</v>
      </c>
      <c r="C285" s="4" t="e">
        <f>(#REF!-#REF!)/#REF!</f>
        <v>#REF!</v>
      </c>
      <c r="D285" s="4" t="e">
        <f>LN(#REF!/#REF!)</f>
        <v>#REF!</v>
      </c>
      <c r="E285" s="4" t="e">
        <f t="shared" si="5"/>
        <v>#REF!</v>
      </c>
      <c r="F285" s="4" t="e" cm="1">
        <f t="array" ref="F285">AVERAGE(B285:B1792-$I$4/252)/_xlfn.STDEV.S(B285:B1792-$I$4)</f>
        <v>#REF!</v>
      </c>
      <c r="G285" s="4"/>
      <c r="H285" s="4"/>
      <c r="I285" s="4"/>
      <c r="J285" s="4"/>
    </row>
    <row r="286" spans="1:10" x14ac:dyDescent="0.2">
      <c r="A286" t="e">
        <f>LEFT(#REF!,10)</f>
        <v>#REF!</v>
      </c>
      <c r="B286" s="4" t="e">
        <f>(#REF!-#REF!)/#REF!</f>
        <v>#REF!</v>
      </c>
      <c r="C286" s="4" t="e">
        <f>(#REF!-#REF!)/#REF!</f>
        <v>#REF!</v>
      </c>
      <c r="D286" s="4" t="e">
        <f>LN(#REF!/#REF!)</f>
        <v>#REF!</v>
      </c>
      <c r="E286" s="4" t="e">
        <f t="shared" si="5"/>
        <v>#REF!</v>
      </c>
      <c r="F286" s="4" t="e" cm="1">
        <f t="array" ref="F286">AVERAGE(B286:B1793-$I$4/252)/_xlfn.STDEV.S(B286:B1793-$I$4)</f>
        <v>#REF!</v>
      </c>
      <c r="G286" s="4"/>
      <c r="H286" s="4"/>
      <c r="I286" s="4"/>
      <c r="J286" s="4"/>
    </row>
    <row r="287" spans="1:10" x14ac:dyDescent="0.2">
      <c r="A287" t="e">
        <f>LEFT(#REF!,10)</f>
        <v>#REF!</v>
      </c>
      <c r="B287" s="4" t="e">
        <f>(#REF!-#REF!)/#REF!</f>
        <v>#REF!</v>
      </c>
      <c r="C287" s="4" t="e">
        <f>(#REF!-#REF!)/#REF!</f>
        <v>#REF!</v>
      </c>
      <c r="D287" s="4" t="e">
        <f>LN(#REF!/#REF!)</f>
        <v>#REF!</v>
      </c>
      <c r="E287" s="4" t="e">
        <f t="shared" si="5"/>
        <v>#REF!</v>
      </c>
      <c r="F287" s="4" t="e" cm="1">
        <f t="array" ref="F287">AVERAGE(B287:B1794-$I$4/252)/_xlfn.STDEV.S(B287:B1794-$I$4)</f>
        <v>#REF!</v>
      </c>
      <c r="G287" s="4"/>
      <c r="H287" s="4"/>
      <c r="I287" s="4"/>
      <c r="J287" s="4"/>
    </row>
    <row r="288" spans="1:10" x14ac:dyDescent="0.2">
      <c r="A288" t="e">
        <f>LEFT(#REF!,10)</f>
        <v>#REF!</v>
      </c>
      <c r="B288" s="4" t="e">
        <f>(#REF!-#REF!)/#REF!</f>
        <v>#REF!</v>
      </c>
      <c r="C288" s="4" t="e">
        <f>(#REF!-#REF!)/#REF!</f>
        <v>#REF!</v>
      </c>
      <c r="D288" s="4" t="e">
        <f>LN(#REF!/#REF!)</f>
        <v>#REF!</v>
      </c>
      <c r="E288" s="4" t="e">
        <f t="shared" si="5"/>
        <v>#REF!</v>
      </c>
      <c r="F288" s="4" t="e" cm="1">
        <f t="array" ref="F288">AVERAGE(B288:B1795-$I$4/252)/_xlfn.STDEV.S(B288:B1795-$I$4)</f>
        <v>#REF!</v>
      </c>
      <c r="G288" s="4"/>
      <c r="H288" s="4"/>
      <c r="I288" s="4"/>
      <c r="J288" s="4"/>
    </row>
    <row r="289" spans="1:10" x14ac:dyDescent="0.2">
      <c r="A289" t="e">
        <f>LEFT(#REF!,10)</f>
        <v>#REF!</v>
      </c>
      <c r="B289" s="4" t="e">
        <f>(#REF!-#REF!)/#REF!</f>
        <v>#REF!</v>
      </c>
      <c r="C289" s="4" t="e">
        <f>(#REF!-#REF!)/#REF!</f>
        <v>#REF!</v>
      </c>
      <c r="D289" s="4" t="e">
        <f>LN(#REF!/#REF!)</f>
        <v>#REF!</v>
      </c>
      <c r="E289" s="4" t="e">
        <f t="shared" si="5"/>
        <v>#REF!</v>
      </c>
      <c r="F289" s="4" t="e" cm="1">
        <f t="array" ref="F289">AVERAGE(B289:B1796-$I$4/252)/_xlfn.STDEV.S(B289:B1796-$I$4)</f>
        <v>#REF!</v>
      </c>
      <c r="G289" s="4"/>
      <c r="H289" s="4"/>
      <c r="I289" s="4"/>
      <c r="J289" s="4"/>
    </row>
    <row r="290" spans="1:10" x14ac:dyDescent="0.2">
      <c r="A290" t="e">
        <f>LEFT(#REF!,10)</f>
        <v>#REF!</v>
      </c>
      <c r="B290" s="4" t="e">
        <f>(#REF!-#REF!)/#REF!</f>
        <v>#REF!</v>
      </c>
      <c r="C290" s="4" t="e">
        <f>(#REF!-#REF!)/#REF!</f>
        <v>#REF!</v>
      </c>
      <c r="D290" s="4" t="e">
        <f>LN(#REF!/#REF!)</f>
        <v>#REF!</v>
      </c>
      <c r="E290" s="4" t="e">
        <f t="shared" si="5"/>
        <v>#REF!</v>
      </c>
      <c r="F290" s="4" t="e" cm="1">
        <f t="array" ref="F290">AVERAGE(B290:B1797-$I$4/252)/_xlfn.STDEV.S(B290:B1797-$I$4)</f>
        <v>#REF!</v>
      </c>
      <c r="G290" s="4"/>
      <c r="H290" s="4"/>
      <c r="I290" s="4"/>
      <c r="J290" s="4"/>
    </row>
    <row r="291" spans="1:10" x14ac:dyDescent="0.2">
      <c r="A291" t="e">
        <f>LEFT(#REF!,10)</f>
        <v>#REF!</v>
      </c>
      <c r="B291" s="4" t="e">
        <f>(#REF!-#REF!)/#REF!</f>
        <v>#REF!</v>
      </c>
      <c r="C291" s="4" t="e">
        <f>(#REF!-#REF!)/#REF!</f>
        <v>#REF!</v>
      </c>
      <c r="D291" s="4" t="e">
        <f>LN(#REF!/#REF!)</f>
        <v>#REF!</v>
      </c>
      <c r="E291" s="4" t="e">
        <f t="shared" si="5"/>
        <v>#REF!</v>
      </c>
      <c r="F291" s="4" t="e" cm="1">
        <f t="array" ref="F291">AVERAGE(B291:B1798-$I$4/252)/_xlfn.STDEV.S(B291:B1798-$I$4)</f>
        <v>#REF!</v>
      </c>
      <c r="G291" s="4"/>
      <c r="H291" s="4"/>
      <c r="I291" s="4"/>
      <c r="J291" s="4"/>
    </row>
    <row r="292" spans="1:10" x14ac:dyDescent="0.2">
      <c r="A292" t="e">
        <f>LEFT(#REF!,10)</f>
        <v>#REF!</v>
      </c>
      <c r="B292" s="4" t="e">
        <f>(#REF!-#REF!)/#REF!</f>
        <v>#REF!</v>
      </c>
      <c r="C292" s="4" t="e">
        <f>(#REF!-#REF!)/#REF!</f>
        <v>#REF!</v>
      </c>
      <c r="D292" s="4" t="e">
        <f>LN(#REF!/#REF!)</f>
        <v>#REF!</v>
      </c>
      <c r="E292" s="4" t="e">
        <f t="shared" si="5"/>
        <v>#REF!</v>
      </c>
      <c r="F292" s="4" t="e" cm="1">
        <f t="array" ref="F292">AVERAGE(B292:B1799-$I$4/252)/_xlfn.STDEV.S(B292:B1799-$I$4)</f>
        <v>#REF!</v>
      </c>
      <c r="G292" s="4"/>
      <c r="H292" s="4"/>
      <c r="I292" s="4"/>
      <c r="J292" s="4"/>
    </row>
    <row r="293" spans="1:10" x14ac:dyDescent="0.2">
      <c r="A293" t="e">
        <f>LEFT(#REF!,10)</f>
        <v>#REF!</v>
      </c>
      <c r="B293" s="4" t="e">
        <f>(#REF!-#REF!)/#REF!</f>
        <v>#REF!</v>
      </c>
      <c r="C293" s="4" t="e">
        <f>(#REF!-#REF!)/#REF!</f>
        <v>#REF!</v>
      </c>
      <c r="D293" s="4" t="e">
        <f>LN(#REF!/#REF!)</f>
        <v>#REF!</v>
      </c>
      <c r="E293" s="4" t="e">
        <f t="shared" si="5"/>
        <v>#REF!</v>
      </c>
      <c r="F293" s="4" t="e" cm="1">
        <f t="array" ref="F293">AVERAGE(B293:B1800-$I$4/252)/_xlfn.STDEV.S(B293:B1800-$I$4)</f>
        <v>#REF!</v>
      </c>
      <c r="G293" s="4"/>
      <c r="H293" s="4"/>
      <c r="I293" s="4"/>
      <c r="J293" s="4"/>
    </row>
    <row r="294" spans="1:10" x14ac:dyDescent="0.2">
      <c r="A294" t="e">
        <f>LEFT(#REF!,10)</f>
        <v>#REF!</v>
      </c>
      <c r="B294" s="4" t="e">
        <f>(#REF!-#REF!)/#REF!</f>
        <v>#REF!</v>
      </c>
      <c r="C294" s="4" t="e">
        <f>(#REF!-#REF!)/#REF!</f>
        <v>#REF!</v>
      </c>
      <c r="D294" s="4" t="e">
        <f>LN(#REF!/#REF!)</f>
        <v>#REF!</v>
      </c>
      <c r="E294" s="4" t="e">
        <f t="shared" si="5"/>
        <v>#REF!</v>
      </c>
      <c r="F294" s="4" t="e" cm="1">
        <f t="array" ref="F294">AVERAGE(B294:B1801-$I$4/252)/_xlfn.STDEV.S(B294:B1801-$I$4)</f>
        <v>#REF!</v>
      </c>
      <c r="G294" s="4"/>
      <c r="H294" s="4"/>
      <c r="I294" s="4"/>
      <c r="J294" s="4"/>
    </row>
    <row r="295" spans="1:10" x14ac:dyDescent="0.2">
      <c r="A295" t="e">
        <f>LEFT(#REF!,10)</f>
        <v>#REF!</v>
      </c>
      <c r="B295" s="4" t="e">
        <f>(#REF!-#REF!)/#REF!</f>
        <v>#REF!</v>
      </c>
      <c r="C295" s="4" t="e">
        <f>(#REF!-#REF!)/#REF!</f>
        <v>#REF!</v>
      </c>
      <c r="D295" s="4" t="e">
        <f>LN(#REF!/#REF!)</f>
        <v>#REF!</v>
      </c>
      <c r="E295" s="4" t="e">
        <f t="shared" si="5"/>
        <v>#REF!</v>
      </c>
      <c r="F295" s="4" t="e" cm="1">
        <f t="array" ref="F295">AVERAGE(B295:B1802-$I$4/252)/_xlfn.STDEV.S(B295:B1802-$I$4)</f>
        <v>#REF!</v>
      </c>
      <c r="G295" s="4"/>
      <c r="H295" s="4"/>
      <c r="I295" s="4"/>
      <c r="J295" s="4"/>
    </row>
    <row r="296" spans="1:10" x14ac:dyDescent="0.2">
      <c r="A296" t="e">
        <f>LEFT(#REF!,10)</f>
        <v>#REF!</v>
      </c>
      <c r="B296" s="4" t="e">
        <f>(#REF!-#REF!)/#REF!</f>
        <v>#REF!</v>
      </c>
      <c r="C296" s="4" t="e">
        <f>(#REF!-#REF!)/#REF!</f>
        <v>#REF!</v>
      </c>
      <c r="D296" s="4" t="e">
        <f>LN(#REF!/#REF!)</f>
        <v>#REF!</v>
      </c>
      <c r="E296" s="4" t="e">
        <f t="shared" si="5"/>
        <v>#REF!</v>
      </c>
      <c r="F296" s="4" t="e" cm="1">
        <f t="array" ref="F296">AVERAGE(B296:B1803-$I$4/252)/_xlfn.STDEV.S(B296:B1803-$I$4)</f>
        <v>#REF!</v>
      </c>
      <c r="G296" s="4"/>
      <c r="H296" s="4"/>
      <c r="I296" s="4"/>
      <c r="J296" s="4"/>
    </row>
    <row r="297" spans="1:10" x14ac:dyDescent="0.2">
      <c r="A297" t="e">
        <f>LEFT(#REF!,10)</f>
        <v>#REF!</v>
      </c>
      <c r="B297" s="4" t="e">
        <f>(#REF!-#REF!)/#REF!</f>
        <v>#REF!</v>
      </c>
      <c r="C297" s="4" t="e">
        <f>(#REF!-#REF!)/#REF!</f>
        <v>#REF!</v>
      </c>
      <c r="D297" s="4" t="e">
        <f>LN(#REF!/#REF!)</f>
        <v>#REF!</v>
      </c>
      <c r="E297" s="4" t="e">
        <f t="shared" si="5"/>
        <v>#REF!</v>
      </c>
      <c r="F297" s="4" t="e" cm="1">
        <f t="array" ref="F297">AVERAGE(B297:B1804-$I$4/252)/_xlfn.STDEV.S(B297:B1804-$I$4)</f>
        <v>#REF!</v>
      </c>
      <c r="G297" s="4"/>
      <c r="H297" s="4"/>
      <c r="I297" s="4"/>
      <c r="J297" s="4"/>
    </row>
    <row r="298" spans="1:10" x14ac:dyDescent="0.2">
      <c r="A298" t="e">
        <f>LEFT(#REF!,10)</f>
        <v>#REF!</v>
      </c>
      <c r="B298" s="4" t="e">
        <f>(#REF!-#REF!)/#REF!</f>
        <v>#REF!</v>
      </c>
      <c r="C298" s="4" t="e">
        <f>(#REF!-#REF!)/#REF!</f>
        <v>#REF!</v>
      </c>
      <c r="D298" s="4" t="e">
        <f>LN(#REF!/#REF!)</f>
        <v>#REF!</v>
      </c>
      <c r="E298" s="4" t="e">
        <f t="shared" si="5"/>
        <v>#REF!</v>
      </c>
      <c r="F298" s="4" t="e" cm="1">
        <f t="array" ref="F298">AVERAGE(B298:B1805-$I$4/252)/_xlfn.STDEV.S(B298:B1805-$I$4)</f>
        <v>#REF!</v>
      </c>
      <c r="G298" s="4"/>
      <c r="H298" s="4"/>
      <c r="I298" s="4"/>
      <c r="J298" s="4"/>
    </row>
    <row r="299" spans="1:10" x14ac:dyDescent="0.2">
      <c r="A299" t="e">
        <f>LEFT(#REF!,10)</f>
        <v>#REF!</v>
      </c>
      <c r="B299" s="4" t="e">
        <f>(#REF!-#REF!)/#REF!</f>
        <v>#REF!</v>
      </c>
      <c r="C299" s="4" t="e">
        <f>(#REF!-#REF!)/#REF!</f>
        <v>#REF!</v>
      </c>
      <c r="D299" s="4" t="e">
        <f>LN(#REF!/#REF!)</f>
        <v>#REF!</v>
      </c>
      <c r="E299" s="4" t="e">
        <f t="shared" si="5"/>
        <v>#REF!</v>
      </c>
      <c r="F299" s="4" t="e" cm="1">
        <f t="array" ref="F299">AVERAGE(B299:B1806-$I$4/252)/_xlfn.STDEV.S(B299:B1806-$I$4)</f>
        <v>#REF!</v>
      </c>
      <c r="G299" s="4"/>
      <c r="H299" s="4"/>
      <c r="I299" s="4"/>
      <c r="J299" s="4"/>
    </row>
    <row r="300" spans="1:10" x14ac:dyDescent="0.2">
      <c r="A300" t="e">
        <f>LEFT(#REF!,10)</f>
        <v>#REF!</v>
      </c>
      <c r="B300" s="4" t="e">
        <f>(#REF!-#REF!)/#REF!</f>
        <v>#REF!</v>
      </c>
      <c r="C300" s="4" t="e">
        <f>(#REF!-#REF!)/#REF!</f>
        <v>#REF!</v>
      </c>
      <c r="D300" s="4" t="e">
        <f>LN(#REF!/#REF!)</f>
        <v>#REF!</v>
      </c>
      <c r="E300" s="4" t="e">
        <f t="shared" si="5"/>
        <v>#REF!</v>
      </c>
      <c r="F300" s="4" t="e" cm="1">
        <f t="array" ref="F300">AVERAGE(B300:B1807-$I$4/252)/_xlfn.STDEV.S(B300:B1807-$I$4)</f>
        <v>#REF!</v>
      </c>
      <c r="G300" s="4"/>
      <c r="H300" s="4"/>
      <c r="I300" s="4"/>
      <c r="J300" s="4"/>
    </row>
    <row r="301" spans="1:10" x14ac:dyDescent="0.2">
      <c r="A301" t="e">
        <f>LEFT(#REF!,10)</f>
        <v>#REF!</v>
      </c>
      <c r="B301" s="4" t="e">
        <f>(#REF!-#REF!)/#REF!</f>
        <v>#REF!</v>
      </c>
      <c r="C301" s="4" t="e">
        <f>(#REF!-#REF!)/#REF!</f>
        <v>#REF!</v>
      </c>
      <c r="D301" s="4" t="e">
        <f>LN(#REF!/#REF!)</f>
        <v>#REF!</v>
      </c>
      <c r="E301" s="4" t="e">
        <f t="shared" si="5"/>
        <v>#REF!</v>
      </c>
      <c r="F301" s="4" t="e" cm="1">
        <f t="array" ref="F301">AVERAGE(B301:B1808-$I$4/252)/_xlfn.STDEV.S(B301:B1808-$I$4)</f>
        <v>#REF!</v>
      </c>
      <c r="G301" s="4"/>
      <c r="H301" s="4"/>
      <c r="I301" s="4"/>
      <c r="J301" s="4"/>
    </row>
    <row r="302" spans="1:10" x14ac:dyDescent="0.2">
      <c r="A302" t="e">
        <f>LEFT(#REF!,10)</f>
        <v>#REF!</v>
      </c>
      <c r="B302" s="4" t="e">
        <f>(#REF!-#REF!)/#REF!</f>
        <v>#REF!</v>
      </c>
      <c r="C302" s="4" t="e">
        <f>(#REF!-#REF!)/#REF!</f>
        <v>#REF!</v>
      </c>
      <c r="D302" s="4" t="e">
        <f>LN(#REF!/#REF!)</f>
        <v>#REF!</v>
      </c>
      <c r="E302" s="4" t="e">
        <f t="shared" si="5"/>
        <v>#REF!</v>
      </c>
      <c r="F302" s="4" t="e" cm="1">
        <f t="array" ref="F302">AVERAGE(B302:B1809-$I$4/252)/_xlfn.STDEV.S(B302:B1809-$I$4)</f>
        <v>#REF!</v>
      </c>
      <c r="G302" s="4"/>
      <c r="H302" s="4"/>
      <c r="I302" s="4"/>
      <c r="J302" s="4"/>
    </row>
    <row r="303" spans="1:10" x14ac:dyDescent="0.2">
      <c r="A303" t="e">
        <f>LEFT(#REF!,10)</f>
        <v>#REF!</v>
      </c>
      <c r="B303" s="4" t="e">
        <f>(#REF!-#REF!)/#REF!</f>
        <v>#REF!</v>
      </c>
      <c r="C303" s="4" t="e">
        <f>(#REF!-#REF!)/#REF!</f>
        <v>#REF!</v>
      </c>
      <c r="D303" s="4" t="e">
        <f>LN(#REF!/#REF!)</f>
        <v>#REF!</v>
      </c>
      <c r="E303" s="4" t="e">
        <f t="shared" si="5"/>
        <v>#REF!</v>
      </c>
      <c r="F303" s="4" t="e" cm="1">
        <f t="array" ref="F303">AVERAGE(B303:B1810-$I$4/252)/_xlfn.STDEV.S(B303:B1810-$I$4)</f>
        <v>#REF!</v>
      </c>
      <c r="G303" s="4"/>
      <c r="H303" s="4"/>
      <c r="I303" s="4"/>
      <c r="J303" s="4"/>
    </row>
    <row r="304" spans="1:10" x14ac:dyDescent="0.2">
      <c r="A304" t="e">
        <f>LEFT(#REF!,10)</f>
        <v>#REF!</v>
      </c>
      <c r="B304" s="4" t="e">
        <f>(#REF!-#REF!)/#REF!</f>
        <v>#REF!</v>
      </c>
      <c r="C304" s="4" t="e">
        <f>(#REF!-#REF!)/#REF!</f>
        <v>#REF!</v>
      </c>
      <c r="D304" s="4" t="e">
        <f>LN(#REF!/#REF!)</f>
        <v>#REF!</v>
      </c>
      <c r="E304" s="4" t="e">
        <f t="shared" si="5"/>
        <v>#REF!</v>
      </c>
      <c r="F304" s="4" t="e" cm="1">
        <f t="array" ref="F304">AVERAGE(B304:B1811-$I$4/252)/_xlfn.STDEV.S(B304:B1811-$I$4)</f>
        <v>#REF!</v>
      </c>
      <c r="G304" s="4"/>
      <c r="H304" s="4"/>
      <c r="I304" s="4"/>
      <c r="J304" s="4"/>
    </row>
    <row r="305" spans="1:10" x14ac:dyDescent="0.2">
      <c r="A305" t="e">
        <f>LEFT(#REF!,10)</f>
        <v>#REF!</v>
      </c>
      <c r="B305" s="4" t="e">
        <f>(#REF!-#REF!)/#REF!</f>
        <v>#REF!</v>
      </c>
      <c r="C305" s="4" t="e">
        <f>(#REF!-#REF!)/#REF!</f>
        <v>#REF!</v>
      </c>
      <c r="D305" s="4" t="e">
        <f>LN(#REF!/#REF!)</f>
        <v>#REF!</v>
      </c>
      <c r="E305" s="4" t="e">
        <f t="shared" si="5"/>
        <v>#REF!</v>
      </c>
      <c r="F305" s="4" t="e" cm="1">
        <f t="array" ref="F305">AVERAGE(B305:B1812-$I$4/252)/_xlfn.STDEV.S(B305:B1812-$I$4)</f>
        <v>#REF!</v>
      </c>
      <c r="G305" s="4"/>
      <c r="H305" s="4"/>
      <c r="I305" s="4"/>
      <c r="J305" s="4"/>
    </row>
    <row r="306" spans="1:10" x14ac:dyDescent="0.2">
      <c r="A306" t="e">
        <f>LEFT(#REF!,10)</f>
        <v>#REF!</v>
      </c>
      <c r="B306" s="4" t="e">
        <f>(#REF!-#REF!)/#REF!</f>
        <v>#REF!</v>
      </c>
      <c r="C306" s="4" t="e">
        <f>(#REF!-#REF!)/#REF!</f>
        <v>#REF!</v>
      </c>
      <c r="D306" s="4" t="e">
        <f>LN(#REF!/#REF!)</f>
        <v>#REF!</v>
      </c>
      <c r="E306" s="4" t="e">
        <f t="shared" si="5"/>
        <v>#REF!</v>
      </c>
      <c r="F306" s="4" t="e" cm="1">
        <f t="array" ref="F306">AVERAGE(B306:B1813-$I$4/252)/_xlfn.STDEV.S(B306:B1813-$I$4)</f>
        <v>#REF!</v>
      </c>
      <c r="G306" s="4"/>
      <c r="H306" s="4"/>
      <c r="I306" s="4"/>
      <c r="J306" s="4"/>
    </row>
    <row r="307" spans="1:10" x14ac:dyDescent="0.2">
      <c r="A307" t="e">
        <f>LEFT(#REF!,10)</f>
        <v>#REF!</v>
      </c>
      <c r="B307" s="4" t="e">
        <f>(#REF!-#REF!)/#REF!</f>
        <v>#REF!</v>
      </c>
      <c r="C307" s="4" t="e">
        <f>(#REF!-#REF!)/#REF!</f>
        <v>#REF!</v>
      </c>
      <c r="D307" s="4" t="e">
        <f>LN(#REF!/#REF!)</f>
        <v>#REF!</v>
      </c>
      <c r="E307" s="4" t="e">
        <f t="shared" si="5"/>
        <v>#REF!</v>
      </c>
      <c r="F307" s="4" t="e" cm="1">
        <f t="array" ref="F307">AVERAGE(B307:B1814-$I$4/252)/_xlfn.STDEV.S(B307:B1814-$I$4)</f>
        <v>#REF!</v>
      </c>
      <c r="G307" s="4"/>
      <c r="H307" s="4"/>
      <c r="I307" s="4"/>
      <c r="J307" s="4"/>
    </row>
    <row r="308" spans="1:10" x14ac:dyDescent="0.2">
      <c r="A308" t="e">
        <f>LEFT(#REF!,10)</f>
        <v>#REF!</v>
      </c>
      <c r="B308" s="4" t="e">
        <f>(#REF!-#REF!)/#REF!</f>
        <v>#REF!</v>
      </c>
      <c r="C308" s="4" t="e">
        <f>(#REF!-#REF!)/#REF!</f>
        <v>#REF!</v>
      </c>
      <c r="D308" s="4" t="e">
        <f>LN(#REF!/#REF!)</f>
        <v>#REF!</v>
      </c>
      <c r="E308" s="4" t="e">
        <f t="shared" si="5"/>
        <v>#REF!</v>
      </c>
      <c r="F308" s="4" t="e" cm="1">
        <f t="array" ref="F308">AVERAGE(B308:B1815-$I$4/252)/_xlfn.STDEV.S(B308:B1815-$I$4)</f>
        <v>#REF!</v>
      </c>
      <c r="G308" s="4"/>
      <c r="H308" s="4"/>
      <c r="I308" s="4"/>
      <c r="J308" s="4"/>
    </row>
    <row r="309" spans="1:10" x14ac:dyDescent="0.2">
      <c r="A309" t="e">
        <f>LEFT(#REF!,10)</f>
        <v>#REF!</v>
      </c>
      <c r="B309" s="4" t="e">
        <f>(#REF!-#REF!)/#REF!</f>
        <v>#REF!</v>
      </c>
      <c r="C309" s="4" t="e">
        <f>(#REF!-#REF!)/#REF!</f>
        <v>#REF!</v>
      </c>
      <c r="D309" s="4" t="e">
        <f>LN(#REF!/#REF!)</f>
        <v>#REF!</v>
      </c>
      <c r="E309" s="4" t="e">
        <f t="shared" si="5"/>
        <v>#REF!</v>
      </c>
      <c r="F309" s="4" t="e" cm="1">
        <f t="array" ref="F309">AVERAGE(B309:B1816-$I$4/252)/_xlfn.STDEV.S(B309:B1816-$I$4)</f>
        <v>#REF!</v>
      </c>
      <c r="G309" s="4"/>
      <c r="H309" s="4"/>
      <c r="I309" s="4"/>
      <c r="J309" s="4"/>
    </row>
    <row r="310" spans="1:10" x14ac:dyDescent="0.2">
      <c r="A310" t="e">
        <f>LEFT(#REF!,10)</f>
        <v>#REF!</v>
      </c>
      <c r="B310" s="4" t="e">
        <f>(#REF!-#REF!)/#REF!</f>
        <v>#REF!</v>
      </c>
      <c r="C310" s="4" t="e">
        <f>(#REF!-#REF!)/#REF!</f>
        <v>#REF!</v>
      </c>
      <c r="D310" s="4" t="e">
        <f>LN(#REF!/#REF!)</f>
        <v>#REF!</v>
      </c>
      <c r="E310" s="4" t="e">
        <f t="shared" si="5"/>
        <v>#REF!</v>
      </c>
      <c r="F310" s="4" t="e" cm="1">
        <f t="array" ref="F310">AVERAGE(B310:B1817-$I$4/252)/_xlfn.STDEV.S(B310:B1817-$I$4)</f>
        <v>#REF!</v>
      </c>
      <c r="G310" s="4"/>
      <c r="H310" s="4"/>
      <c r="I310" s="4"/>
      <c r="J310" s="4"/>
    </row>
    <row r="311" spans="1:10" x14ac:dyDescent="0.2">
      <c r="A311" t="e">
        <f>LEFT(#REF!,10)</f>
        <v>#REF!</v>
      </c>
      <c r="B311" s="4" t="e">
        <f>(#REF!-#REF!)/#REF!</f>
        <v>#REF!</v>
      </c>
      <c r="C311" s="4" t="e">
        <f>(#REF!-#REF!)/#REF!</f>
        <v>#REF!</v>
      </c>
      <c r="D311" s="4" t="e">
        <f>LN(#REF!/#REF!)</f>
        <v>#REF!</v>
      </c>
      <c r="E311" s="4" t="e">
        <f t="shared" si="5"/>
        <v>#REF!</v>
      </c>
      <c r="F311" s="4" t="e" cm="1">
        <f t="array" ref="F311">AVERAGE(B311:B1818-$I$4/252)/_xlfn.STDEV.S(B311:B1818-$I$4)</f>
        <v>#REF!</v>
      </c>
      <c r="G311" s="4"/>
      <c r="H311" s="4"/>
      <c r="I311" s="4"/>
      <c r="J311" s="4"/>
    </row>
    <row r="312" spans="1:10" x14ac:dyDescent="0.2">
      <c r="A312" t="e">
        <f>LEFT(#REF!,10)</f>
        <v>#REF!</v>
      </c>
      <c r="B312" s="4" t="e">
        <f>(#REF!-#REF!)/#REF!</f>
        <v>#REF!</v>
      </c>
      <c r="C312" s="4" t="e">
        <f>(#REF!-#REF!)/#REF!</f>
        <v>#REF!</v>
      </c>
      <c r="D312" s="4" t="e">
        <f>LN(#REF!/#REF!)</f>
        <v>#REF!</v>
      </c>
      <c r="E312" s="4" t="e">
        <f t="shared" si="5"/>
        <v>#REF!</v>
      </c>
      <c r="F312" s="4" t="e" cm="1">
        <f t="array" ref="F312">AVERAGE(B312:B1819-$I$4/252)/_xlfn.STDEV.S(B312:B1819-$I$4)</f>
        <v>#REF!</v>
      </c>
      <c r="G312" s="4"/>
      <c r="H312" s="4"/>
      <c r="I312" s="4"/>
      <c r="J312" s="4"/>
    </row>
    <row r="313" spans="1:10" x14ac:dyDescent="0.2">
      <c r="A313" t="e">
        <f>LEFT(#REF!,10)</f>
        <v>#REF!</v>
      </c>
      <c r="B313" s="4" t="e">
        <f>(#REF!-#REF!)/#REF!</f>
        <v>#REF!</v>
      </c>
      <c r="C313" s="4" t="e">
        <f>(#REF!-#REF!)/#REF!</f>
        <v>#REF!</v>
      </c>
      <c r="D313" s="4" t="e">
        <f>LN(#REF!/#REF!)</f>
        <v>#REF!</v>
      </c>
      <c r="E313" s="4" t="e">
        <f t="shared" si="5"/>
        <v>#REF!</v>
      </c>
      <c r="F313" s="4" t="e" cm="1">
        <f t="array" ref="F313">AVERAGE(B313:B1820-$I$4/252)/_xlfn.STDEV.S(B313:B1820-$I$4)</f>
        <v>#REF!</v>
      </c>
      <c r="G313" s="4"/>
      <c r="H313" s="4"/>
      <c r="I313" s="4"/>
      <c r="J313" s="4"/>
    </row>
    <row r="314" spans="1:10" x14ac:dyDescent="0.2">
      <c r="A314" t="e">
        <f>LEFT(#REF!,10)</f>
        <v>#REF!</v>
      </c>
      <c r="B314" s="4" t="e">
        <f>(#REF!-#REF!)/#REF!</f>
        <v>#REF!</v>
      </c>
      <c r="C314" s="4" t="e">
        <f>(#REF!-#REF!)/#REF!</f>
        <v>#REF!</v>
      </c>
      <c r="D314" s="4" t="e">
        <f>LN(#REF!/#REF!)</f>
        <v>#REF!</v>
      </c>
      <c r="E314" s="4" t="e">
        <f t="shared" si="5"/>
        <v>#REF!</v>
      </c>
      <c r="F314" s="4" t="e" cm="1">
        <f t="array" ref="F314">AVERAGE(B314:B1821-$I$4/252)/_xlfn.STDEV.S(B314:B1821-$I$4)</f>
        <v>#REF!</v>
      </c>
      <c r="G314" s="4"/>
      <c r="H314" s="4"/>
      <c r="I314" s="4"/>
      <c r="J314" s="4"/>
    </row>
    <row r="315" spans="1:10" x14ac:dyDescent="0.2">
      <c r="A315" t="e">
        <f>LEFT(#REF!,10)</f>
        <v>#REF!</v>
      </c>
      <c r="B315" s="4" t="e">
        <f>(#REF!-#REF!)/#REF!</f>
        <v>#REF!</v>
      </c>
      <c r="C315" s="4" t="e">
        <f>(#REF!-#REF!)/#REF!</f>
        <v>#REF!</v>
      </c>
      <c r="D315" s="4" t="e">
        <f>LN(#REF!/#REF!)</f>
        <v>#REF!</v>
      </c>
      <c r="E315" s="4" t="e">
        <f t="shared" si="5"/>
        <v>#REF!</v>
      </c>
      <c r="F315" s="4" t="e" cm="1">
        <f t="array" ref="F315">AVERAGE(B315:B1822-$I$4/252)/_xlfn.STDEV.S(B315:B1822-$I$4)</f>
        <v>#REF!</v>
      </c>
      <c r="G315" s="4"/>
      <c r="H315" s="4"/>
      <c r="I315" s="4"/>
      <c r="J315" s="4"/>
    </row>
    <row r="316" spans="1:10" x14ac:dyDescent="0.2">
      <c r="A316" t="e">
        <f>LEFT(#REF!,10)</f>
        <v>#REF!</v>
      </c>
      <c r="B316" s="4" t="e">
        <f>(#REF!-#REF!)/#REF!</f>
        <v>#REF!</v>
      </c>
      <c r="C316" s="4" t="e">
        <f>(#REF!-#REF!)/#REF!</f>
        <v>#REF!</v>
      </c>
      <c r="D316" s="4" t="e">
        <f>LN(#REF!/#REF!)</f>
        <v>#REF!</v>
      </c>
      <c r="E316" s="4" t="e">
        <f t="shared" si="5"/>
        <v>#REF!</v>
      </c>
      <c r="F316" s="4" t="e" cm="1">
        <f t="array" ref="F316">AVERAGE(B316:B1823-$I$4/252)/_xlfn.STDEV.S(B316:B1823-$I$4)</f>
        <v>#REF!</v>
      </c>
      <c r="G316" s="4"/>
      <c r="H316" s="4"/>
      <c r="I316" s="4"/>
      <c r="J316" s="4"/>
    </row>
    <row r="317" spans="1:10" x14ac:dyDescent="0.2">
      <c r="A317" t="e">
        <f>LEFT(#REF!,10)</f>
        <v>#REF!</v>
      </c>
      <c r="B317" s="4" t="e">
        <f>(#REF!-#REF!)/#REF!</f>
        <v>#REF!</v>
      </c>
      <c r="C317" s="4" t="e">
        <f>(#REF!-#REF!)/#REF!</f>
        <v>#REF!</v>
      </c>
      <c r="D317" s="4" t="e">
        <f>LN(#REF!/#REF!)</f>
        <v>#REF!</v>
      </c>
      <c r="E317" s="4" t="e">
        <f t="shared" si="5"/>
        <v>#REF!</v>
      </c>
      <c r="F317" s="4" t="e" cm="1">
        <f t="array" ref="F317">AVERAGE(B317:B1824-$I$4/252)/_xlfn.STDEV.S(B317:B1824-$I$4)</f>
        <v>#REF!</v>
      </c>
      <c r="G317" s="4"/>
      <c r="H317" s="4"/>
      <c r="I317" s="4"/>
      <c r="J317" s="4"/>
    </row>
    <row r="318" spans="1:10" x14ac:dyDescent="0.2">
      <c r="A318" t="e">
        <f>LEFT(#REF!,10)</f>
        <v>#REF!</v>
      </c>
      <c r="B318" s="4" t="e">
        <f>(#REF!-#REF!)/#REF!</f>
        <v>#REF!</v>
      </c>
      <c r="C318" s="4" t="e">
        <f>(#REF!-#REF!)/#REF!</f>
        <v>#REF!</v>
      </c>
      <c r="D318" s="4" t="e">
        <f>LN(#REF!/#REF!)</f>
        <v>#REF!</v>
      </c>
      <c r="E318" s="4" t="e">
        <f t="shared" si="5"/>
        <v>#REF!</v>
      </c>
      <c r="F318" s="4" t="e" cm="1">
        <f t="array" ref="F318">AVERAGE(B318:B1825-$I$4/252)/_xlfn.STDEV.S(B318:B1825-$I$4)</f>
        <v>#REF!</v>
      </c>
      <c r="G318" s="4"/>
      <c r="H318" s="4"/>
      <c r="I318" s="4"/>
      <c r="J318" s="4"/>
    </row>
    <row r="319" spans="1:10" x14ac:dyDescent="0.2">
      <c r="A319" t="e">
        <f>LEFT(#REF!,10)</f>
        <v>#REF!</v>
      </c>
      <c r="B319" s="4" t="e">
        <f>(#REF!-#REF!)/#REF!</f>
        <v>#REF!</v>
      </c>
      <c r="C319" s="4" t="e">
        <f>(#REF!-#REF!)/#REF!</f>
        <v>#REF!</v>
      </c>
      <c r="D319" s="4" t="e">
        <f>LN(#REF!/#REF!)</f>
        <v>#REF!</v>
      </c>
      <c r="E319" s="4" t="e">
        <f t="shared" si="5"/>
        <v>#REF!</v>
      </c>
      <c r="F319" s="4" t="e" cm="1">
        <f t="array" ref="F319">AVERAGE(B319:B1826-$I$4/252)/_xlfn.STDEV.S(B319:B1826-$I$4)</f>
        <v>#REF!</v>
      </c>
      <c r="G319" s="4"/>
      <c r="H319" s="4"/>
      <c r="I319" s="4"/>
      <c r="J319" s="4"/>
    </row>
    <row r="320" spans="1:10" x14ac:dyDescent="0.2">
      <c r="A320" t="e">
        <f>LEFT(#REF!,10)</f>
        <v>#REF!</v>
      </c>
      <c r="B320" s="4" t="e">
        <f>(#REF!-#REF!)/#REF!</f>
        <v>#REF!</v>
      </c>
      <c r="C320" s="4" t="e">
        <f>(#REF!-#REF!)/#REF!</f>
        <v>#REF!</v>
      </c>
      <c r="D320" s="4" t="e">
        <f>LN(#REF!/#REF!)</f>
        <v>#REF!</v>
      </c>
      <c r="E320" s="4" t="e">
        <f t="shared" si="5"/>
        <v>#REF!</v>
      </c>
      <c r="F320" s="4" t="e" cm="1">
        <f t="array" ref="F320">AVERAGE(B320:B1827-$I$4/252)/_xlfn.STDEV.S(B320:B1827-$I$4)</f>
        <v>#REF!</v>
      </c>
      <c r="G320" s="4"/>
      <c r="H320" s="4"/>
      <c r="I320" s="4"/>
      <c r="J320" s="4"/>
    </row>
    <row r="321" spans="1:10" x14ac:dyDescent="0.2">
      <c r="A321" t="e">
        <f>LEFT(#REF!,10)</f>
        <v>#REF!</v>
      </c>
      <c r="B321" s="4" t="e">
        <f>(#REF!-#REF!)/#REF!</f>
        <v>#REF!</v>
      </c>
      <c r="C321" s="4" t="e">
        <f>(#REF!-#REF!)/#REF!</f>
        <v>#REF!</v>
      </c>
      <c r="D321" s="4" t="e">
        <f>LN(#REF!/#REF!)</f>
        <v>#REF!</v>
      </c>
      <c r="E321" s="4" t="e">
        <f t="shared" si="5"/>
        <v>#REF!</v>
      </c>
      <c r="F321" s="4" t="e" cm="1">
        <f t="array" ref="F321">AVERAGE(B321:B1828-$I$4/252)/_xlfn.STDEV.S(B321:B1828-$I$4)</f>
        <v>#REF!</v>
      </c>
      <c r="G321" s="4"/>
      <c r="H321" s="4"/>
      <c r="I321" s="4"/>
      <c r="J321" s="4"/>
    </row>
    <row r="322" spans="1:10" x14ac:dyDescent="0.2">
      <c r="A322" t="e">
        <f>LEFT(#REF!,10)</f>
        <v>#REF!</v>
      </c>
      <c r="B322" s="4" t="e">
        <f>(#REF!-#REF!)/#REF!</f>
        <v>#REF!</v>
      </c>
      <c r="C322" s="4" t="e">
        <f>(#REF!-#REF!)/#REF!</f>
        <v>#REF!</v>
      </c>
      <c r="D322" s="4" t="e">
        <f>LN(#REF!/#REF!)</f>
        <v>#REF!</v>
      </c>
      <c r="E322" s="4" t="e">
        <f t="shared" si="5"/>
        <v>#REF!</v>
      </c>
      <c r="F322" s="4" t="e" cm="1">
        <f t="array" ref="F322">AVERAGE(B322:B1829-$I$4/252)/_xlfn.STDEV.S(B322:B1829-$I$4)</f>
        <v>#REF!</v>
      </c>
      <c r="G322" s="4"/>
      <c r="H322" s="4"/>
      <c r="I322" s="4"/>
      <c r="J322" s="4"/>
    </row>
    <row r="323" spans="1:10" x14ac:dyDescent="0.2">
      <c r="A323" t="e">
        <f>LEFT(#REF!,10)</f>
        <v>#REF!</v>
      </c>
      <c r="B323" s="4" t="e">
        <f>(#REF!-#REF!)/#REF!</f>
        <v>#REF!</v>
      </c>
      <c r="C323" s="4" t="e">
        <f>(#REF!-#REF!)/#REF!</f>
        <v>#REF!</v>
      </c>
      <c r="D323" s="4" t="e">
        <f>LN(#REF!/#REF!)</f>
        <v>#REF!</v>
      </c>
      <c r="E323" s="4" t="e">
        <f t="shared" si="5"/>
        <v>#REF!</v>
      </c>
      <c r="F323" s="4" t="e" cm="1">
        <f t="array" ref="F323">AVERAGE(B323:B1830-$I$4/252)/_xlfn.STDEV.S(B323:B1830-$I$4)</f>
        <v>#REF!</v>
      </c>
      <c r="G323" s="4"/>
      <c r="H323" s="4"/>
      <c r="I323" s="4"/>
      <c r="J323" s="4"/>
    </row>
    <row r="324" spans="1:10" x14ac:dyDescent="0.2">
      <c r="A324" t="e">
        <f>LEFT(#REF!,10)</f>
        <v>#REF!</v>
      </c>
      <c r="B324" s="4" t="e">
        <f>(#REF!-#REF!)/#REF!</f>
        <v>#REF!</v>
      </c>
      <c r="C324" s="4" t="e">
        <f>(#REF!-#REF!)/#REF!</f>
        <v>#REF!</v>
      </c>
      <c r="D324" s="4" t="e">
        <f>LN(#REF!/#REF!)</f>
        <v>#REF!</v>
      </c>
      <c r="E324" s="4" t="e">
        <f t="shared" si="5"/>
        <v>#REF!</v>
      </c>
      <c r="F324" s="4" t="e" cm="1">
        <f t="array" ref="F324">AVERAGE(B324:B1831-$I$4/252)/_xlfn.STDEV.S(B324:B1831-$I$4)</f>
        <v>#REF!</v>
      </c>
      <c r="G324" s="4"/>
      <c r="H324" s="4"/>
      <c r="I324" s="4"/>
      <c r="J324" s="4"/>
    </row>
    <row r="325" spans="1:10" x14ac:dyDescent="0.2">
      <c r="A325" t="e">
        <f>LEFT(#REF!,10)</f>
        <v>#REF!</v>
      </c>
      <c r="B325" s="4" t="e">
        <f>(#REF!-#REF!)/#REF!</f>
        <v>#REF!</v>
      </c>
      <c r="C325" s="4" t="e">
        <f>(#REF!-#REF!)/#REF!</f>
        <v>#REF!</v>
      </c>
      <c r="D325" s="4" t="e">
        <f>LN(#REF!/#REF!)</f>
        <v>#REF!</v>
      </c>
      <c r="E325" s="4" t="e">
        <f t="shared" ref="E325:E388" si="6">_xlfn.STDEV.S(D325:D344)</f>
        <v>#REF!</v>
      </c>
      <c r="F325" s="4" t="e" cm="1">
        <f t="array" ref="F325">AVERAGE(B325:B1832-$I$4/252)/_xlfn.STDEV.S(B325:B1832-$I$4)</f>
        <v>#REF!</v>
      </c>
      <c r="G325" s="4"/>
      <c r="H325" s="4"/>
      <c r="I325" s="4"/>
      <c r="J325" s="4"/>
    </row>
    <row r="326" spans="1:10" x14ac:dyDescent="0.2">
      <c r="A326" t="e">
        <f>LEFT(#REF!,10)</f>
        <v>#REF!</v>
      </c>
      <c r="B326" s="4" t="e">
        <f>(#REF!-#REF!)/#REF!</f>
        <v>#REF!</v>
      </c>
      <c r="C326" s="4" t="e">
        <f>(#REF!-#REF!)/#REF!</f>
        <v>#REF!</v>
      </c>
      <c r="D326" s="4" t="e">
        <f>LN(#REF!/#REF!)</f>
        <v>#REF!</v>
      </c>
      <c r="E326" s="4" t="e">
        <f t="shared" si="6"/>
        <v>#REF!</v>
      </c>
      <c r="F326" s="4" t="e" cm="1">
        <f t="array" ref="F326">AVERAGE(B326:B1833-$I$4/252)/_xlfn.STDEV.S(B326:B1833-$I$4)</f>
        <v>#REF!</v>
      </c>
      <c r="G326" s="4"/>
      <c r="H326" s="4"/>
      <c r="I326" s="4"/>
      <c r="J326" s="4"/>
    </row>
    <row r="327" spans="1:10" x14ac:dyDescent="0.2">
      <c r="A327" t="e">
        <f>LEFT(#REF!,10)</f>
        <v>#REF!</v>
      </c>
      <c r="B327" s="4" t="e">
        <f>(#REF!-#REF!)/#REF!</f>
        <v>#REF!</v>
      </c>
      <c r="C327" s="4" t="e">
        <f>(#REF!-#REF!)/#REF!</f>
        <v>#REF!</v>
      </c>
      <c r="D327" s="4" t="e">
        <f>LN(#REF!/#REF!)</f>
        <v>#REF!</v>
      </c>
      <c r="E327" s="4" t="e">
        <f t="shared" si="6"/>
        <v>#REF!</v>
      </c>
      <c r="F327" s="4" t="e" cm="1">
        <f t="array" ref="F327">AVERAGE(B327:B1834-$I$4/252)/_xlfn.STDEV.S(B327:B1834-$I$4)</f>
        <v>#REF!</v>
      </c>
      <c r="G327" s="4"/>
      <c r="H327" s="4"/>
      <c r="I327" s="4"/>
      <c r="J327" s="4"/>
    </row>
    <row r="328" spans="1:10" x14ac:dyDescent="0.2">
      <c r="A328" t="e">
        <f>LEFT(#REF!,10)</f>
        <v>#REF!</v>
      </c>
      <c r="B328" s="4" t="e">
        <f>(#REF!-#REF!)/#REF!</f>
        <v>#REF!</v>
      </c>
      <c r="C328" s="4" t="e">
        <f>(#REF!-#REF!)/#REF!</f>
        <v>#REF!</v>
      </c>
      <c r="D328" s="4" t="e">
        <f>LN(#REF!/#REF!)</f>
        <v>#REF!</v>
      </c>
      <c r="E328" s="4" t="e">
        <f t="shared" si="6"/>
        <v>#REF!</v>
      </c>
      <c r="F328" s="4" t="e" cm="1">
        <f t="array" ref="F328">AVERAGE(B328:B1835-$I$4/252)/_xlfn.STDEV.S(B328:B1835-$I$4)</f>
        <v>#REF!</v>
      </c>
      <c r="G328" s="4"/>
      <c r="H328" s="4"/>
      <c r="I328" s="4"/>
      <c r="J328" s="4"/>
    </row>
    <row r="329" spans="1:10" x14ac:dyDescent="0.2">
      <c r="A329" t="e">
        <f>LEFT(#REF!,10)</f>
        <v>#REF!</v>
      </c>
      <c r="B329" s="4" t="e">
        <f>(#REF!-#REF!)/#REF!</f>
        <v>#REF!</v>
      </c>
      <c r="C329" s="4" t="e">
        <f>(#REF!-#REF!)/#REF!</f>
        <v>#REF!</v>
      </c>
      <c r="D329" s="4" t="e">
        <f>LN(#REF!/#REF!)</f>
        <v>#REF!</v>
      </c>
      <c r="E329" s="4" t="e">
        <f t="shared" si="6"/>
        <v>#REF!</v>
      </c>
      <c r="F329" s="4" t="e" cm="1">
        <f t="array" ref="F329">AVERAGE(B329:B1836-$I$4/252)/_xlfn.STDEV.S(B329:B1836-$I$4)</f>
        <v>#REF!</v>
      </c>
      <c r="G329" s="4"/>
      <c r="H329" s="4"/>
      <c r="I329" s="4"/>
      <c r="J329" s="4"/>
    </row>
    <row r="330" spans="1:10" x14ac:dyDescent="0.2">
      <c r="A330" t="e">
        <f>LEFT(#REF!,10)</f>
        <v>#REF!</v>
      </c>
      <c r="B330" s="4" t="e">
        <f>(#REF!-#REF!)/#REF!</f>
        <v>#REF!</v>
      </c>
      <c r="C330" s="4" t="e">
        <f>(#REF!-#REF!)/#REF!</f>
        <v>#REF!</v>
      </c>
      <c r="D330" s="4" t="e">
        <f>LN(#REF!/#REF!)</f>
        <v>#REF!</v>
      </c>
      <c r="E330" s="4" t="e">
        <f t="shared" si="6"/>
        <v>#REF!</v>
      </c>
      <c r="F330" s="4" t="e" cm="1">
        <f t="array" ref="F330">AVERAGE(B330:B1837-$I$4/252)/_xlfn.STDEV.S(B330:B1837-$I$4)</f>
        <v>#REF!</v>
      </c>
      <c r="G330" s="4"/>
      <c r="H330" s="4"/>
      <c r="I330" s="4"/>
      <c r="J330" s="4"/>
    </row>
    <row r="331" spans="1:10" x14ac:dyDescent="0.2">
      <c r="A331" t="e">
        <f>LEFT(#REF!,10)</f>
        <v>#REF!</v>
      </c>
      <c r="B331" s="4" t="e">
        <f>(#REF!-#REF!)/#REF!</f>
        <v>#REF!</v>
      </c>
      <c r="C331" s="4" t="e">
        <f>(#REF!-#REF!)/#REF!</f>
        <v>#REF!</v>
      </c>
      <c r="D331" s="4" t="e">
        <f>LN(#REF!/#REF!)</f>
        <v>#REF!</v>
      </c>
      <c r="E331" s="4" t="e">
        <f t="shared" si="6"/>
        <v>#REF!</v>
      </c>
      <c r="F331" s="4" t="e" cm="1">
        <f t="array" ref="F331">AVERAGE(B331:B1838-$I$4/252)/_xlfn.STDEV.S(B331:B1838-$I$4)</f>
        <v>#REF!</v>
      </c>
      <c r="G331" s="4"/>
      <c r="H331" s="4"/>
      <c r="I331" s="4"/>
      <c r="J331" s="4"/>
    </row>
    <row r="332" spans="1:10" x14ac:dyDescent="0.2">
      <c r="A332" t="e">
        <f>LEFT(#REF!,10)</f>
        <v>#REF!</v>
      </c>
      <c r="B332" s="4" t="e">
        <f>(#REF!-#REF!)/#REF!</f>
        <v>#REF!</v>
      </c>
      <c r="C332" s="4" t="e">
        <f>(#REF!-#REF!)/#REF!</f>
        <v>#REF!</v>
      </c>
      <c r="D332" s="4" t="e">
        <f>LN(#REF!/#REF!)</f>
        <v>#REF!</v>
      </c>
      <c r="E332" s="4" t="e">
        <f t="shared" si="6"/>
        <v>#REF!</v>
      </c>
      <c r="F332" s="4" t="e" cm="1">
        <f t="array" ref="F332">AVERAGE(B332:B1839-$I$4/252)/_xlfn.STDEV.S(B332:B1839-$I$4)</f>
        <v>#REF!</v>
      </c>
      <c r="G332" s="4"/>
      <c r="H332" s="4"/>
      <c r="I332" s="4"/>
      <c r="J332" s="4"/>
    </row>
    <row r="333" spans="1:10" x14ac:dyDescent="0.2">
      <c r="A333" t="e">
        <f>LEFT(#REF!,10)</f>
        <v>#REF!</v>
      </c>
      <c r="B333" s="4" t="e">
        <f>(#REF!-#REF!)/#REF!</f>
        <v>#REF!</v>
      </c>
      <c r="C333" s="4" t="e">
        <f>(#REF!-#REF!)/#REF!</f>
        <v>#REF!</v>
      </c>
      <c r="D333" s="4" t="e">
        <f>LN(#REF!/#REF!)</f>
        <v>#REF!</v>
      </c>
      <c r="E333" s="4" t="e">
        <f t="shared" si="6"/>
        <v>#REF!</v>
      </c>
      <c r="F333" s="4" t="e" cm="1">
        <f t="array" ref="F333">AVERAGE(B333:B1840-$I$4/252)/_xlfn.STDEV.S(B333:B1840-$I$4)</f>
        <v>#REF!</v>
      </c>
      <c r="G333" s="4"/>
      <c r="H333" s="4"/>
      <c r="I333" s="4"/>
      <c r="J333" s="4"/>
    </row>
    <row r="334" spans="1:10" x14ac:dyDescent="0.2">
      <c r="A334" t="e">
        <f>LEFT(#REF!,10)</f>
        <v>#REF!</v>
      </c>
      <c r="B334" s="4" t="e">
        <f>(#REF!-#REF!)/#REF!</f>
        <v>#REF!</v>
      </c>
      <c r="C334" s="4" t="e">
        <f>(#REF!-#REF!)/#REF!</f>
        <v>#REF!</v>
      </c>
      <c r="D334" s="4" t="e">
        <f>LN(#REF!/#REF!)</f>
        <v>#REF!</v>
      </c>
      <c r="E334" s="4" t="e">
        <f t="shared" si="6"/>
        <v>#REF!</v>
      </c>
      <c r="F334" s="4" t="e" cm="1">
        <f t="array" ref="F334">AVERAGE(B334:B1841-$I$4/252)/_xlfn.STDEV.S(B334:B1841-$I$4)</f>
        <v>#REF!</v>
      </c>
      <c r="G334" s="4"/>
      <c r="H334" s="4"/>
      <c r="I334" s="4"/>
      <c r="J334" s="4"/>
    </row>
    <row r="335" spans="1:10" x14ac:dyDescent="0.2">
      <c r="A335" t="e">
        <f>LEFT(#REF!,10)</f>
        <v>#REF!</v>
      </c>
      <c r="B335" s="4" t="e">
        <f>(#REF!-#REF!)/#REF!</f>
        <v>#REF!</v>
      </c>
      <c r="C335" s="4" t="e">
        <f>(#REF!-#REF!)/#REF!</f>
        <v>#REF!</v>
      </c>
      <c r="D335" s="4" t="e">
        <f>LN(#REF!/#REF!)</f>
        <v>#REF!</v>
      </c>
      <c r="E335" s="4" t="e">
        <f t="shared" si="6"/>
        <v>#REF!</v>
      </c>
      <c r="F335" s="4" t="e" cm="1">
        <f t="array" ref="F335">AVERAGE(B335:B1842-$I$4/252)/_xlfn.STDEV.S(B335:B1842-$I$4)</f>
        <v>#REF!</v>
      </c>
      <c r="G335" s="4"/>
      <c r="H335" s="4"/>
      <c r="I335" s="4"/>
      <c r="J335" s="4"/>
    </row>
    <row r="336" spans="1:10" x14ac:dyDescent="0.2">
      <c r="A336" t="e">
        <f>LEFT(#REF!,10)</f>
        <v>#REF!</v>
      </c>
      <c r="B336" s="4" t="e">
        <f>(#REF!-#REF!)/#REF!</f>
        <v>#REF!</v>
      </c>
      <c r="C336" s="4" t="e">
        <f>(#REF!-#REF!)/#REF!</f>
        <v>#REF!</v>
      </c>
      <c r="D336" s="4" t="e">
        <f>LN(#REF!/#REF!)</f>
        <v>#REF!</v>
      </c>
      <c r="E336" s="4" t="e">
        <f t="shared" si="6"/>
        <v>#REF!</v>
      </c>
      <c r="F336" s="4" t="e" cm="1">
        <f t="array" ref="F336">AVERAGE(B336:B1843-$I$4/252)/_xlfn.STDEV.S(B336:B1843-$I$4)</f>
        <v>#REF!</v>
      </c>
      <c r="G336" s="4"/>
      <c r="H336" s="4"/>
      <c r="I336" s="4"/>
      <c r="J336" s="4"/>
    </row>
    <row r="337" spans="1:10" x14ac:dyDescent="0.2">
      <c r="A337" t="e">
        <f>LEFT(#REF!,10)</f>
        <v>#REF!</v>
      </c>
      <c r="B337" s="4" t="e">
        <f>(#REF!-#REF!)/#REF!</f>
        <v>#REF!</v>
      </c>
      <c r="C337" s="4" t="e">
        <f>(#REF!-#REF!)/#REF!</f>
        <v>#REF!</v>
      </c>
      <c r="D337" s="4" t="e">
        <f>LN(#REF!/#REF!)</f>
        <v>#REF!</v>
      </c>
      <c r="E337" s="4" t="e">
        <f t="shared" si="6"/>
        <v>#REF!</v>
      </c>
      <c r="F337" s="4" t="e" cm="1">
        <f t="array" ref="F337">AVERAGE(B337:B1844-$I$4/252)/_xlfn.STDEV.S(B337:B1844-$I$4)</f>
        <v>#REF!</v>
      </c>
      <c r="G337" s="4"/>
      <c r="H337" s="4"/>
      <c r="I337" s="4"/>
      <c r="J337" s="4"/>
    </row>
    <row r="338" spans="1:10" x14ac:dyDescent="0.2">
      <c r="A338" t="e">
        <f>LEFT(#REF!,10)</f>
        <v>#REF!</v>
      </c>
      <c r="B338" s="4" t="e">
        <f>(#REF!-#REF!)/#REF!</f>
        <v>#REF!</v>
      </c>
      <c r="C338" s="4" t="e">
        <f>(#REF!-#REF!)/#REF!</f>
        <v>#REF!</v>
      </c>
      <c r="D338" s="4" t="e">
        <f>LN(#REF!/#REF!)</f>
        <v>#REF!</v>
      </c>
      <c r="E338" s="4" t="e">
        <f t="shared" si="6"/>
        <v>#REF!</v>
      </c>
      <c r="F338" s="4" t="e" cm="1">
        <f t="array" ref="F338">AVERAGE(B338:B1845-$I$4/252)/_xlfn.STDEV.S(B338:B1845-$I$4)</f>
        <v>#REF!</v>
      </c>
      <c r="G338" s="4"/>
      <c r="H338" s="4"/>
      <c r="I338" s="4"/>
      <c r="J338" s="4"/>
    </row>
    <row r="339" spans="1:10" x14ac:dyDescent="0.2">
      <c r="A339" t="e">
        <f>LEFT(#REF!,10)</f>
        <v>#REF!</v>
      </c>
      <c r="B339" s="4" t="e">
        <f>(#REF!-#REF!)/#REF!</f>
        <v>#REF!</v>
      </c>
      <c r="C339" s="4" t="e">
        <f>(#REF!-#REF!)/#REF!</f>
        <v>#REF!</v>
      </c>
      <c r="D339" s="4" t="e">
        <f>LN(#REF!/#REF!)</f>
        <v>#REF!</v>
      </c>
      <c r="E339" s="4" t="e">
        <f t="shared" si="6"/>
        <v>#REF!</v>
      </c>
      <c r="F339" s="4" t="e" cm="1">
        <f t="array" ref="F339">AVERAGE(B339:B1846-$I$4/252)/_xlfn.STDEV.S(B339:B1846-$I$4)</f>
        <v>#REF!</v>
      </c>
      <c r="G339" s="4"/>
      <c r="H339" s="4"/>
      <c r="I339" s="4"/>
      <c r="J339" s="4"/>
    </row>
    <row r="340" spans="1:10" x14ac:dyDescent="0.2">
      <c r="A340" t="e">
        <f>LEFT(#REF!,10)</f>
        <v>#REF!</v>
      </c>
      <c r="B340" s="4" t="e">
        <f>(#REF!-#REF!)/#REF!</f>
        <v>#REF!</v>
      </c>
      <c r="C340" s="4" t="e">
        <f>(#REF!-#REF!)/#REF!</f>
        <v>#REF!</v>
      </c>
      <c r="D340" s="4" t="e">
        <f>LN(#REF!/#REF!)</f>
        <v>#REF!</v>
      </c>
      <c r="E340" s="4" t="e">
        <f t="shared" si="6"/>
        <v>#REF!</v>
      </c>
      <c r="F340" s="4" t="e" cm="1">
        <f t="array" ref="F340">AVERAGE(B340:B1847-$I$4/252)/_xlfn.STDEV.S(B340:B1847-$I$4)</f>
        <v>#REF!</v>
      </c>
      <c r="G340" s="4"/>
      <c r="H340" s="4"/>
      <c r="I340" s="4"/>
      <c r="J340" s="4"/>
    </row>
    <row r="341" spans="1:10" x14ac:dyDescent="0.2">
      <c r="A341" t="e">
        <f>LEFT(#REF!,10)</f>
        <v>#REF!</v>
      </c>
      <c r="B341" s="4" t="e">
        <f>(#REF!-#REF!)/#REF!</f>
        <v>#REF!</v>
      </c>
      <c r="C341" s="4" t="e">
        <f>(#REF!-#REF!)/#REF!</f>
        <v>#REF!</v>
      </c>
      <c r="D341" s="4" t="e">
        <f>LN(#REF!/#REF!)</f>
        <v>#REF!</v>
      </c>
      <c r="E341" s="4" t="e">
        <f t="shared" si="6"/>
        <v>#REF!</v>
      </c>
      <c r="F341" s="4" t="e" cm="1">
        <f t="array" ref="F341">AVERAGE(B341:B1848-$I$4/252)/_xlfn.STDEV.S(B341:B1848-$I$4)</f>
        <v>#REF!</v>
      </c>
      <c r="G341" s="4"/>
      <c r="H341" s="4"/>
      <c r="I341" s="4"/>
      <c r="J341" s="4"/>
    </row>
    <row r="342" spans="1:10" x14ac:dyDescent="0.2">
      <c r="A342" t="e">
        <f>LEFT(#REF!,10)</f>
        <v>#REF!</v>
      </c>
      <c r="B342" s="4" t="e">
        <f>(#REF!-#REF!)/#REF!</f>
        <v>#REF!</v>
      </c>
      <c r="C342" s="4" t="e">
        <f>(#REF!-#REF!)/#REF!</f>
        <v>#REF!</v>
      </c>
      <c r="D342" s="4" t="e">
        <f>LN(#REF!/#REF!)</f>
        <v>#REF!</v>
      </c>
      <c r="E342" s="4" t="e">
        <f t="shared" si="6"/>
        <v>#REF!</v>
      </c>
      <c r="F342" s="4" t="e" cm="1">
        <f t="array" ref="F342">AVERAGE(B342:B1849-$I$4/252)/_xlfn.STDEV.S(B342:B1849-$I$4)</f>
        <v>#REF!</v>
      </c>
      <c r="G342" s="4"/>
      <c r="H342" s="4"/>
      <c r="I342" s="4"/>
      <c r="J342" s="4"/>
    </row>
    <row r="343" spans="1:10" x14ac:dyDescent="0.2">
      <c r="A343" t="e">
        <f>LEFT(#REF!,10)</f>
        <v>#REF!</v>
      </c>
      <c r="B343" s="4" t="e">
        <f>(#REF!-#REF!)/#REF!</f>
        <v>#REF!</v>
      </c>
      <c r="C343" s="4" t="e">
        <f>(#REF!-#REF!)/#REF!</f>
        <v>#REF!</v>
      </c>
      <c r="D343" s="4" t="e">
        <f>LN(#REF!/#REF!)</f>
        <v>#REF!</v>
      </c>
      <c r="E343" s="4" t="e">
        <f t="shared" si="6"/>
        <v>#REF!</v>
      </c>
      <c r="F343" s="4" t="e" cm="1">
        <f t="array" ref="F343">AVERAGE(B343:B1850-$I$4/252)/_xlfn.STDEV.S(B343:B1850-$I$4)</f>
        <v>#REF!</v>
      </c>
      <c r="G343" s="4"/>
      <c r="H343" s="4"/>
      <c r="I343" s="4"/>
      <c r="J343" s="4"/>
    </row>
    <row r="344" spans="1:10" x14ac:dyDescent="0.2">
      <c r="A344" t="e">
        <f>LEFT(#REF!,10)</f>
        <v>#REF!</v>
      </c>
      <c r="B344" s="4" t="e">
        <f>(#REF!-#REF!)/#REF!</f>
        <v>#REF!</v>
      </c>
      <c r="C344" s="4" t="e">
        <f>(#REF!-#REF!)/#REF!</f>
        <v>#REF!</v>
      </c>
      <c r="D344" s="4" t="e">
        <f>LN(#REF!/#REF!)</f>
        <v>#REF!</v>
      </c>
      <c r="E344" s="4" t="e">
        <f t="shared" si="6"/>
        <v>#REF!</v>
      </c>
      <c r="F344" s="4" t="e" cm="1">
        <f t="array" ref="F344">AVERAGE(B344:B1851-$I$4/252)/_xlfn.STDEV.S(B344:B1851-$I$4)</f>
        <v>#REF!</v>
      </c>
      <c r="G344" s="4"/>
      <c r="H344" s="4"/>
      <c r="I344" s="4"/>
      <c r="J344" s="4"/>
    </row>
    <row r="345" spans="1:10" x14ac:dyDescent="0.2">
      <c r="A345" t="e">
        <f>LEFT(#REF!,10)</f>
        <v>#REF!</v>
      </c>
      <c r="B345" s="4" t="e">
        <f>(#REF!-#REF!)/#REF!</f>
        <v>#REF!</v>
      </c>
      <c r="C345" s="4" t="e">
        <f>(#REF!-#REF!)/#REF!</f>
        <v>#REF!</v>
      </c>
      <c r="D345" s="4" t="e">
        <f>LN(#REF!/#REF!)</f>
        <v>#REF!</v>
      </c>
      <c r="E345" s="4" t="e">
        <f t="shared" si="6"/>
        <v>#REF!</v>
      </c>
      <c r="F345" s="4" t="e" cm="1">
        <f t="array" ref="F345">AVERAGE(B345:B1852-$I$4/252)/_xlfn.STDEV.S(B345:B1852-$I$4)</f>
        <v>#REF!</v>
      </c>
      <c r="G345" s="4"/>
      <c r="H345" s="4"/>
      <c r="I345" s="4"/>
      <c r="J345" s="4"/>
    </row>
    <row r="346" spans="1:10" x14ac:dyDescent="0.2">
      <c r="A346" t="e">
        <f>LEFT(#REF!,10)</f>
        <v>#REF!</v>
      </c>
      <c r="B346" s="4" t="e">
        <f>(#REF!-#REF!)/#REF!</f>
        <v>#REF!</v>
      </c>
      <c r="C346" s="4" t="e">
        <f>(#REF!-#REF!)/#REF!</f>
        <v>#REF!</v>
      </c>
      <c r="D346" s="4" t="e">
        <f>LN(#REF!/#REF!)</f>
        <v>#REF!</v>
      </c>
      <c r="E346" s="4" t="e">
        <f t="shared" si="6"/>
        <v>#REF!</v>
      </c>
      <c r="F346" s="4" t="e" cm="1">
        <f t="array" ref="F346">AVERAGE(B346:B1853-$I$4/252)/_xlfn.STDEV.S(B346:B1853-$I$4)</f>
        <v>#REF!</v>
      </c>
      <c r="G346" s="4"/>
      <c r="H346" s="4"/>
      <c r="I346" s="4"/>
      <c r="J346" s="4"/>
    </row>
    <row r="347" spans="1:10" x14ac:dyDescent="0.2">
      <c r="A347" t="e">
        <f>LEFT(#REF!,10)</f>
        <v>#REF!</v>
      </c>
      <c r="B347" s="4" t="e">
        <f>(#REF!-#REF!)/#REF!</f>
        <v>#REF!</v>
      </c>
      <c r="C347" s="4" t="e">
        <f>(#REF!-#REF!)/#REF!</f>
        <v>#REF!</v>
      </c>
      <c r="D347" s="4" t="e">
        <f>LN(#REF!/#REF!)</f>
        <v>#REF!</v>
      </c>
      <c r="E347" s="4" t="e">
        <f t="shared" si="6"/>
        <v>#REF!</v>
      </c>
      <c r="F347" s="4" t="e" cm="1">
        <f t="array" ref="F347">AVERAGE(B347:B1854-$I$4/252)/_xlfn.STDEV.S(B347:B1854-$I$4)</f>
        <v>#REF!</v>
      </c>
      <c r="G347" s="4"/>
      <c r="H347" s="4"/>
      <c r="I347" s="4"/>
      <c r="J347" s="4"/>
    </row>
    <row r="348" spans="1:10" x14ac:dyDescent="0.2">
      <c r="A348" t="e">
        <f>LEFT(#REF!,10)</f>
        <v>#REF!</v>
      </c>
      <c r="B348" s="4" t="e">
        <f>(#REF!-#REF!)/#REF!</f>
        <v>#REF!</v>
      </c>
      <c r="C348" s="4" t="e">
        <f>(#REF!-#REF!)/#REF!</f>
        <v>#REF!</v>
      </c>
      <c r="D348" s="4" t="e">
        <f>LN(#REF!/#REF!)</f>
        <v>#REF!</v>
      </c>
      <c r="E348" s="4" t="e">
        <f t="shared" si="6"/>
        <v>#REF!</v>
      </c>
      <c r="F348" s="4" t="e" cm="1">
        <f t="array" ref="F348">AVERAGE(B348:B1855-$I$4/252)/_xlfn.STDEV.S(B348:B1855-$I$4)</f>
        <v>#REF!</v>
      </c>
      <c r="G348" s="4"/>
      <c r="H348" s="4"/>
      <c r="I348" s="4"/>
      <c r="J348" s="4"/>
    </row>
    <row r="349" spans="1:10" x14ac:dyDescent="0.2">
      <c r="A349" t="e">
        <f>LEFT(#REF!,10)</f>
        <v>#REF!</v>
      </c>
      <c r="B349" s="4" t="e">
        <f>(#REF!-#REF!)/#REF!</f>
        <v>#REF!</v>
      </c>
      <c r="C349" s="4" t="e">
        <f>(#REF!-#REF!)/#REF!</f>
        <v>#REF!</v>
      </c>
      <c r="D349" s="4" t="e">
        <f>LN(#REF!/#REF!)</f>
        <v>#REF!</v>
      </c>
      <c r="E349" s="4" t="e">
        <f t="shared" si="6"/>
        <v>#REF!</v>
      </c>
      <c r="F349" s="4" t="e" cm="1">
        <f t="array" ref="F349">AVERAGE(B349:B1856-$I$4/252)/_xlfn.STDEV.S(B349:B1856-$I$4)</f>
        <v>#REF!</v>
      </c>
      <c r="G349" s="4"/>
      <c r="H349" s="4"/>
      <c r="I349" s="4"/>
      <c r="J349" s="4"/>
    </row>
    <row r="350" spans="1:10" x14ac:dyDescent="0.2">
      <c r="A350" t="e">
        <f>LEFT(#REF!,10)</f>
        <v>#REF!</v>
      </c>
      <c r="B350" s="4" t="e">
        <f>(#REF!-#REF!)/#REF!</f>
        <v>#REF!</v>
      </c>
      <c r="C350" s="4" t="e">
        <f>(#REF!-#REF!)/#REF!</f>
        <v>#REF!</v>
      </c>
      <c r="D350" s="4" t="e">
        <f>LN(#REF!/#REF!)</f>
        <v>#REF!</v>
      </c>
      <c r="E350" s="4" t="e">
        <f t="shared" si="6"/>
        <v>#REF!</v>
      </c>
      <c r="F350" s="4" t="e" cm="1">
        <f t="array" ref="F350">AVERAGE(B350:B1857-$I$4/252)/_xlfn.STDEV.S(B350:B1857-$I$4)</f>
        <v>#REF!</v>
      </c>
      <c r="G350" s="4"/>
      <c r="H350" s="4"/>
      <c r="I350" s="4"/>
      <c r="J350" s="4"/>
    </row>
    <row r="351" spans="1:10" x14ac:dyDescent="0.2">
      <c r="A351" t="e">
        <f>LEFT(#REF!,10)</f>
        <v>#REF!</v>
      </c>
      <c r="B351" s="4" t="e">
        <f>(#REF!-#REF!)/#REF!</f>
        <v>#REF!</v>
      </c>
      <c r="C351" s="4" t="e">
        <f>(#REF!-#REF!)/#REF!</f>
        <v>#REF!</v>
      </c>
      <c r="D351" s="4" t="e">
        <f>LN(#REF!/#REF!)</f>
        <v>#REF!</v>
      </c>
      <c r="E351" s="4" t="e">
        <f t="shared" si="6"/>
        <v>#REF!</v>
      </c>
      <c r="F351" s="4" t="e" cm="1">
        <f t="array" ref="F351">AVERAGE(B351:B1858-$I$4/252)/_xlfn.STDEV.S(B351:B1858-$I$4)</f>
        <v>#REF!</v>
      </c>
      <c r="G351" s="4"/>
      <c r="H351" s="4"/>
      <c r="I351" s="4"/>
      <c r="J351" s="4"/>
    </row>
    <row r="352" spans="1:10" x14ac:dyDescent="0.2">
      <c r="A352" t="e">
        <f>LEFT(#REF!,10)</f>
        <v>#REF!</v>
      </c>
      <c r="B352" s="4" t="e">
        <f>(#REF!-#REF!)/#REF!</f>
        <v>#REF!</v>
      </c>
      <c r="C352" s="4" t="e">
        <f>(#REF!-#REF!)/#REF!</f>
        <v>#REF!</v>
      </c>
      <c r="D352" s="4" t="e">
        <f>LN(#REF!/#REF!)</f>
        <v>#REF!</v>
      </c>
      <c r="E352" s="4" t="e">
        <f t="shared" si="6"/>
        <v>#REF!</v>
      </c>
      <c r="F352" s="4" t="e" cm="1">
        <f t="array" ref="F352">AVERAGE(B352:B1859-$I$4/252)/_xlfn.STDEV.S(B352:B1859-$I$4)</f>
        <v>#REF!</v>
      </c>
      <c r="G352" s="4"/>
      <c r="H352" s="4"/>
      <c r="I352" s="4"/>
      <c r="J352" s="4"/>
    </row>
    <row r="353" spans="1:10" x14ac:dyDescent="0.2">
      <c r="A353" t="e">
        <f>LEFT(#REF!,10)</f>
        <v>#REF!</v>
      </c>
      <c r="B353" s="4" t="e">
        <f>(#REF!-#REF!)/#REF!</f>
        <v>#REF!</v>
      </c>
      <c r="C353" s="4" t="e">
        <f>(#REF!-#REF!)/#REF!</f>
        <v>#REF!</v>
      </c>
      <c r="D353" s="4" t="e">
        <f>LN(#REF!/#REF!)</f>
        <v>#REF!</v>
      </c>
      <c r="E353" s="4" t="e">
        <f t="shared" si="6"/>
        <v>#REF!</v>
      </c>
      <c r="F353" s="4" t="e" cm="1">
        <f t="array" ref="F353">AVERAGE(B353:B1860-$I$4/252)/_xlfn.STDEV.S(B353:B1860-$I$4)</f>
        <v>#REF!</v>
      </c>
      <c r="G353" s="4"/>
      <c r="H353" s="4"/>
      <c r="I353" s="4"/>
      <c r="J353" s="4"/>
    </row>
    <row r="354" spans="1:10" x14ac:dyDescent="0.2">
      <c r="A354" t="e">
        <f>LEFT(#REF!,10)</f>
        <v>#REF!</v>
      </c>
      <c r="B354" s="4" t="e">
        <f>(#REF!-#REF!)/#REF!</f>
        <v>#REF!</v>
      </c>
      <c r="C354" s="4" t="e">
        <f>(#REF!-#REF!)/#REF!</f>
        <v>#REF!</v>
      </c>
      <c r="D354" s="4" t="e">
        <f>LN(#REF!/#REF!)</f>
        <v>#REF!</v>
      </c>
      <c r="E354" s="4" t="e">
        <f t="shared" si="6"/>
        <v>#REF!</v>
      </c>
      <c r="F354" s="4" t="e" cm="1">
        <f t="array" ref="F354">AVERAGE(B354:B1861-$I$4/252)/_xlfn.STDEV.S(B354:B1861-$I$4)</f>
        <v>#REF!</v>
      </c>
      <c r="G354" s="4"/>
      <c r="H354" s="4"/>
      <c r="I354" s="4"/>
      <c r="J354" s="4"/>
    </row>
    <row r="355" spans="1:10" x14ac:dyDescent="0.2">
      <c r="A355" t="e">
        <f>LEFT(#REF!,10)</f>
        <v>#REF!</v>
      </c>
      <c r="B355" s="4" t="e">
        <f>(#REF!-#REF!)/#REF!</f>
        <v>#REF!</v>
      </c>
      <c r="C355" s="4" t="e">
        <f>(#REF!-#REF!)/#REF!</f>
        <v>#REF!</v>
      </c>
      <c r="D355" s="4" t="e">
        <f>LN(#REF!/#REF!)</f>
        <v>#REF!</v>
      </c>
      <c r="E355" s="4" t="e">
        <f t="shared" si="6"/>
        <v>#REF!</v>
      </c>
      <c r="F355" s="4" t="e" cm="1">
        <f t="array" ref="F355">AVERAGE(B355:B1862-$I$4/252)/_xlfn.STDEV.S(B355:B1862-$I$4)</f>
        <v>#REF!</v>
      </c>
      <c r="G355" s="4"/>
      <c r="H355" s="4"/>
      <c r="I355" s="4"/>
      <c r="J355" s="4"/>
    </row>
    <row r="356" spans="1:10" x14ac:dyDescent="0.2">
      <c r="A356" t="e">
        <f>LEFT(#REF!,10)</f>
        <v>#REF!</v>
      </c>
      <c r="B356" s="4" t="e">
        <f>(#REF!-#REF!)/#REF!</f>
        <v>#REF!</v>
      </c>
      <c r="C356" s="4" t="e">
        <f>(#REF!-#REF!)/#REF!</f>
        <v>#REF!</v>
      </c>
      <c r="D356" s="4" t="e">
        <f>LN(#REF!/#REF!)</f>
        <v>#REF!</v>
      </c>
      <c r="E356" s="4" t="e">
        <f t="shared" si="6"/>
        <v>#REF!</v>
      </c>
      <c r="F356" s="4" t="e" cm="1">
        <f t="array" ref="F356">AVERAGE(B356:B1863-$I$4/252)/_xlfn.STDEV.S(B356:B1863-$I$4)</f>
        <v>#REF!</v>
      </c>
      <c r="G356" s="4"/>
      <c r="H356" s="4"/>
      <c r="I356" s="4"/>
      <c r="J356" s="4"/>
    </row>
    <row r="357" spans="1:10" x14ac:dyDescent="0.2">
      <c r="A357" t="e">
        <f>LEFT(#REF!,10)</f>
        <v>#REF!</v>
      </c>
      <c r="B357" s="4" t="e">
        <f>(#REF!-#REF!)/#REF!</f>
        <v>#REF!</v>
      </c>
      <c r="C357" s="4" t="e">
        <f>(#REF!-#REF!)/#REF!</f>
        <v>#REF!</v>
      </c>
      <c r="D357" s="4" t="e">
        <f>LN(#REF!/#REF!)</f>
        <v>#REF!</v>
      </c>
      <c r="E357" s="4" t="e">
        <f t="shared" si="6"/>
        <v>#REF!</v>
      </c>
      <c r="F357" s="4" t="e" cm="1">
        <f t="array" ref="F357">AVERAGE(B357:B1864-$I$4/252)/_xlfn.STDEV.S(B357:B1864-$I$4)</f>
        <v>#REF!</v>
      </c>
      <c r="G357" s="4"/>
      <c r="H357" s="4"/>
      <c r="I357" s="4"/>
      <c r="J357" s="4"/>
    </row>
    <row r="358" spans="1:10" x14ac:dyDescent="0.2">
      <c r="A358" t="e">
        <f>LEFT(#REF!,10)</f>
        <v>#REF!</v>
      </c>
      <c r="B358" s="4" t="e">
        <f>(#REF!-#REF!)/#REF!</f>
        <v>#REF!</v>
      </c>
      <c r="C358" s="4" t="e">
        <f>(#REF!-#REF!)/#REF!</f>
        <v>#REF!</v>
      </c>
      <c r="D358" s="4" t="e">
        <f>LN(#REF!/#REF!)</f>
        <v>#REF!</v>
      </c>
      <c r="E358" s="4" t="e">
        <f t="shared" si="6"/>
        <v>#REF!</v>
      </c>
      <c r="F358" s="4" t="e" cm="1">
        <f t="array" ref="F358">AVERAGE(B358:B1865-$I$4/252)/_xlfn.STDEV.S(B358:B1865-$I$4)</f>
        <v>#REF!</v>
      </c>
      <c r="G358" s="4"/>
      <c r="H358" s="4"/>
      <c r="I358" s="4"/>
      <c r="J358" s="4"/>
    </row>
    <row r="359" spans="1:10" x14ac:dyDescent="0.2">
      <c r="A359" t="e">
        <f>LEFT(#REF!,10)</f>
        <v>#REF!</v>
      </c>
      <c r="B359" s="4" t="e">
        <f>(#REF!-#REF!)/#REF!</f>
        <v>#REF!</v>
      </c>
      <c r="C359" s="4" t="e">
        <f>(#REF!-#REF!)/#REF!</f>
        <v>#REF!</v>
      </c>
      <c r="D359" s="4" t="e">
        <f>LN(#REF!/#REF!)</f>
        <v>#REF!</v>
      </c>
      <c r="E359" s="4" t="e">
        <f t="shared" si="6"/>
        <v>#REF!</v>
      </c>
      <c r="F359" s="4" t="e" cm="1">
        <f t="array" ref="F359">AVERAGE(B359:B1866-$I$4/252)/_xlfn.STDEV.S(B359:B1866-$I$4)</f>
        <v>#REF!</v>
      </c>
      <c r="G359" s="4"/>
      <c r="H359" s="4"/>
      <c r="I359" s="4"/>
      <c r="J359" s="4"/>
    </row>
    <row r="360" spans="1:10" x14ac:dyDescent="0.2">
      <c r="A360" t="e">
        <f>LEFT(#REF!,10)</f>
        <v>#REF!</v>
      </c>
      <c r="B360" s="4" t="e">
        <f>(#REF!-#REF!)/#REF!</f>
        <v>#REF!</v>
      </c>
      <c r="C360" s="4" t="e">
        <f>(#REF!-#REF!)/#REF!</f>
        <v>#REF!</v>
      </c>
      <c r="D360" s="4" t="e">
        <f>LN(#REF!/#REF!)</f>
        <v>#REF!</v>
      </c>
      <c r="E360" s="4" t="e">
        <f t="shared" si="6"/>
        <v>#REF!</v>
      </c>
      <c r="F360" s="4" t="e" cm="1">
        <f t="array" ref="F360">AVERAGE(B360:B1867-$I$4/252)/_xlfn.STDEV.S(B360:B1867-$I$4)</f>
        <v>#REF!</v>
      </c>
      <c r="G360" s="4"/>
      <c r="H360" s="4"/>
      <c r="I360" s="4"/>
      <c r="J360" s="4"/>
    </row>
    <row r="361" spans="1:10" x14ac:dyDescent="0.2">
      <c r="A361" t="e">
        <f>LEFT(#REF!,10)</f>
        <v>#REF!</v>
      </c>
      <c r="B361" s="4" t="e">
        <f>(#REF!-#REF!)/#REF!</f>
        <v>#REF!</v>
      </c>
      <c r="C361" s="4" t="e">
        <f>(#REF!-#REF!)/#REF!</f>
        <v>#REF!</v>
      </c>
      <c r="D361" s="4" t="e">
        <f>LN(#REF!/#REF!)</f>
        <v>#REF!</v>
      </c>
      <c r="E361" s="4" t="e">
        <f t="shared" si="6"/>
        <v>#REF!</v>
      </c>
      <c r="F361" s="4" t="e" cm="1">
        <f t="array" ref="F361">AVERAGE(B361:B1868-$I$4/252)/_xlfn.STDEV.S(B361:B1868-$I$4)</f>
        <v>#REF!</v>
      </c>
      <c r="G361" s="4"/>
      <c r="H361" s="4"/>
      <c r="I361" s="4"/>
      <c r="J361" s="4"/>
    </row>
    <row r="362" spans="1:10" x14ac:dyDescent="0.2">
      <c r="A362" t="e">
        <f>LEFT(#REF!,10)</f>
        <v>#REF!</v>
      </c>
      <c r="B362" s="4" t="e">
        <f>(#REF!-#REF!)/#REF!</f>
        <v>#REF!</v>
      </c>
      <c r="C362" s="4" t="e">
        <f>(#REF!-#REF!)/#REF!</f>
        <v>#REF!</v>
      </c>
      <c r="D362" s="4" t="e">
        <f>LN(#REF!/#REF!)</f>
        <v>#REF!</v>
      </c>
      <c r="E362" s="4" t="e">
        <f t="shared" si="6"/>
        <v>#REF!</v>
      </c>
      <c r="F362" s="4" t="e" cm="1">
        <f t="array" ref="F362">AVERAGE(B362:B1869-$I$4/252)/_xlfn.STDEV.S(B362:B1869-$I$4)</f>
        <v>#REF!</v>
      </c>
      <c r="G362" s="4"/>
      <c r="H362" s="4"/>
      <c r="I362" s="4"/>
      <c r="J362" s="4"/>
    </row>
    <row r="363" spans="1:10" x14ac:dyDescent="0.2">
      <c r="A363" t="e">
        <f>LEFT(#REF!,10)</f>
        <v>#REF!</v>
      </c>
      <c r="B363" s="4" t="e">
        <f>(#REF!-#REF!)/#REF!</f>
        <v>#REF!</v>
      </c>
      <c r="C363" s="4" t="e">
        <f>(#REF!-#REF!)/#REF!</f>
        <v>#REF!</v>
      </c>
      <c r="D363" s="4" t="e">
        <f>LN(#REF!/#REF!)</f>
        <v>#REF!</v>
      </c>
      <c r="E363" s="4" t="e">
        <f t="shared" si="6"/>
        <v>#REF!</v>
      </c>
      <c r="F363" s="4" t="e" cm="1">
        <f t="array" ref="F363">AVERAGE(B363:B1870-$I$4/252)/_xlfn.STDEV.S(B363:B1870-$I$4)</f>
        <v>#REF!</v>
      </c>
      <c r="G363" s="4"/>
      <c r="H363" s="4"/>
      <c r="I363" s="4"/>
      <c r="J363" s="4"/>
    </row>
    <row r="364" spans="1:10" x14ac:dyDescent="0.2">
      <c r="A364" t="e">
        <f>LEFT(#REF!,10)</f>
        <v>#REF!</v>
      </c>
      <c r="B364" s="4" t="e">
        <f>(#REF!-#REF!)/#REF!</f>
        <v>#REF!</v>
      </c>
      <c r="C364" s="4" t="e">
        <f>(#REF!-#REF!)/#REF!</f>
        <v>#REF!</v>
      </c>
      <c r="D364" s="4" t="e">
        <f>LN(#REF!/#REF!)</f>
        <v>#REF!</v>
      </c>
      <c r="E364" s="4" t="e">
        <f t="shared" si="6"/>
        <v>#REF!</v>
      </c>
      <c r="F364" s="4" t="e" cm="1">
        <f t="array" ref="F364">AVERAGE(B364:B1871-$I$4/252)/_xlfn.STDEV.S(B364:B1871-$I$4)</f>
        <v>#REF!</v>
      </c>
      <c r="G364" s="4"/>
      <c r="H364" s="4"/>
      <c r="I364" s="4"/>
      <c r="J364" s="4"/>
    </row>
    <row r="365" spans="1:10" x14ac:dyDescent="0.2">
      <c r="A365" t="e">
        <f>LEFT(#REF!,10)</f>
        <v>#REF!</v>
      </c>
      <c r="B365" s="4" t="e">
        <f>(#REF!-#REF!)/#REF!</f>
        <v>#REF!</v>
      </c>
      <c r="C365" s="4" t="e">
        <f>(#REF!-#REF!)/#REF!</f>
        <v>#REF!</v>
      </c>
      <c r="D365" s="4" t="e">
        <f>LN(#REF!/#REF!)</f>
        <v>#REF!</v>
      </c>
      <c r="E365" s="4" t="e">
        <f t="shared" si="6"/>
        <v>#REF!</v>
      </c>
      <c r="F365" s="4" t="e" cm="1">
        <f t="array" ref="F365">AVERAGE(B365:B1872-$I$4/252)/_xlfn.STDEV.S(B365:B1872-$I$4)</f>
        <v>#REF!</v>
      </c>
      <c r="G365" s="4"/>
      <c r="H365" s="4"/>
      <c r="I365" s="4"/>
      <c r="J365" s="4"/>
    </row>
    <row r="366" spans="1:10" x14ac:dyDescent="0.2">
      <c r="A366" t="e">
        <f>LEFT(#REF!,10)</f>
        <v>#REF!</v>
      </c>
      <c r="B366" s="4" t="e">
        <f>(#REF!-#REF!)/#REF!</f>
        <v>#REF!</v>
      </c>
      <c r="C366" s="4" t="e">
        <f>(#REF!-#REF!)/#REF!</f>
        <v>#REF!</v>
      </c>
      <c r="D366" s="4" t="e">
        <f>LN(#REF!/#REF!)</f>
        <v>#REF!</v>
      </c>
      <c r="E366" s="4" t="e">
        <f t="shared" si="6"/>
        <v>#REF!</v>
      </c>
      <c r="F366" s="4" t="e" cm="1">
        <f t="array" ref="F366">AVERAGE(B366:B1873-$I$4/252)/_xlfn.STDEV.S(B366:B1873-$I$4)</f>
        <v>#REF!</v>
      </c>
      <c r="G366" s="4"/>
      <c r="H366" s="4"/>
      <c r="I366" s="4"/>
      <c r="J366" s="4"/>
    </row>
    <row r="367" spans="1:10" x14ac:dyDescent="0.2">
      <c r="A367" t="e">
        <f>LEFT(#REF!,10)</f>
        <v>#REF!</v>
      </c>
      <c r="B367" s="4" t="e">
        <f>(#REF!-#REF!)/#REF!</f>
        <v>#REF!</v>
      </c>
      <c r="C367" s="4" t="e">
        <f>(#REF!-#REF!)/#REF!</f>
        <v>#REF!</v>
      </c>
      <c r="D367" s="4" t="e">
        <f>LN(#REF!/#REF!)</f>
        <v>#REF!</v>
      </c>
      <c r="E367" s="4" t="e">
        <f t="shared" si="6"/>
        <v>#REF!</v>
      </c>
      <c r="F367" s="4" t="e" cm="1">
        <f t="array" ref="F367">AVERAGE(B367:B1874-$I$4/252)/_xlfn.STDEV.S(B367:B1874-$I$4)</f>
        <v>#REF!</v>
      </c>
      <c r="G367" s="4"/>
      <c r="H367" s="4"/>
      <c r="I367" s="4"/>
      <c r="J367" s="4"/>
    </row>
    <row r="368" spans="1:10" x14ac:dyDescent="0.2">
      <c r="A368" t="e">
        <f>LEFT(#REF!,10)</f>
        <v>#REF!</v>
      </c>
      <c r="B368" s="4" t="e">
        <f>(#REF!-#REF!)/#REF!</f>
        <v>#REF!</v>
      </c>
      <c r="C368" s="4" t="e">
        <f>(#REF!-#REF!)/#REF!</f>
        <v>#REF!</v>
      </c>
      <c r="D368" s="4" t="e">
        <f>LN(#REF!/#REF!)</f>
        <v>#REF!</v>
      </c>
      <c r="E368" s="4" t="e">
        <f t="shared" si="6"/>
        <v>#REF!</v>
      </c>
      <c r="F368" s="4" t="e" cm="1">
        <f t="array" ref="F368">AVERAGE(B368:B1875-$I$4/252)/_xlfn.STDEV.S(B368:B1875-$I$4)</f>
        <v>#REF!</v>
      </c>
      <c r="G368" s="4"/>
      <c r="H368" s="4"/>
      <c r="I368" s="4"/>
      <c r="J368" s="4"/>
    </row>
    <row r="369" spans="1:10" x14ac:dyDescent="0.2">
      <c r="A369" t="e">
        <f>LEFT(#REF!,10)</f>
        <v>#REF!</v>
      </c>
      <c r="B369" s="4" t="e">
        <f>(#REF!-#REF!)/#REF!</f>
        <v>#REF!</v>
      </c>
      <c r="C369" s="4" t="e">
        <f>(#REF!-#REF!)/#REF!</f>
        <v>#REF!</v>
      </c>
      <c r="D369" s="4" t="e">
        <f>LN(#REF!/#REF!)</f>
        <v>#REF!</v>
      </c>
      <c r="E369" s="4" t="e">
        <f t="shared" si="6"/>
        <v>#REF!</v>
      </c>
      <c r="F369" s="4" t="e" cm="1">
        <f t="array" ref="F369">AVERAGE(B369:B1876-$I$4/252)/_xlfn.STDEV.S(B369:B1876-$I$4)</f>
        <v>#REF!</v>
      </c>
      <c r="G369" s="4"/>
      <c r="H369" s="4"/>
      <c r="I369" s="4"/>
      <c r="J369" s="4"/>
    </row>
    <row r="370" spans="1:10" x14ac:dyDescent="0.2">
      <c r="A370" t="e">
        <f>LEFT(#REF!,10)</f>
        <v>#REF!</v>
      </c>
      <c r="B370" s="4" t="e">
        <f>(#REF!-#REF!)/#REF!</f>
        <v>#REF!</v>
      </c>
      <c r="C370" s="4" t="e">
        <f>(#REF!-#REF!)/#REF!</f>
        <v>#REF!</v>
      </c>
      <c r="D370" s="4" t="e">
        <f>LN(#REF!/#REF!)</f>
        <v>#REF!</v>
      </c>
      <c r="E370" s="4" t="e">
        <f t="shared" si="6"/>
        <v>#REF!</v>
      </c>
      <c r="F370" s="4" t="e" cm="1">
        <f t="array" ref="F370">AVERAGE(B370:B1877-$I$4/252)/_xlfn.STDEV.S(B370:B1877-$I$4)</f>
        <v>#REF!</v>
      </c>
      <c r="G370" s="4"/>
      <c r="H370" s="4"/>
      <c r="I370" s="4"/>
      <c r="J370" s="4"/>
    </row>
    <row r="371" spans="1:10" x14ac:dyDescent="0.2">
      <c r="A371" t="e">
        <f>LEFT(#REF!,10)</f>
        <v>#REF!</v>
      </c>
      <c r="B371" s="4" t="e">
        <f>(#REF!-#REF!)/#REF!</f>
        <v>#REF!</v>
      </c>
      <c r="C371" s="4" t="e">
        <f>(#REF!-#REF!)/#REF!</f>
        <v>#REF!</v>
      </c>
      <c r="D371" s="4" t="e">
        <f>LN(#REF!/#REF!)</f>
        <v>#REF!</v>
      </c>
      <c r="E371" s="4" t="e">
        <f t="shared" si="6"/>
        <v>#REF!</v>
      </c>
      <c r="F371" s="4" t="e" cm="1">
        <f t="array" ref="F371">AVERAGE(B371:B1878-$I$4/252)/_xlfn.STDEV.S(B371:B1878-$I$4)</f>
        <v>#REF!</v>
      </c>
      <c r="G371" s="4"/>
      <c r="H371" s="4"/>
      <c r="I371" s="4"/>
      <c r="J371" s="4"/>
    </row>
    <row r="372" spans="1:10" x14ac:dyDescent="0.2">
      <c r="A372" t="e">
        <f>LEFT(#REF!,10)</f>
        <v>#REF!</v>
      </c>
      <c r="B372" s="4" t="e">
        <f>(#REF!-#REF!)/#REF!</f>
        <v>#REF!</v>
      </c>
      <c r="C372" s="4" t="e">
        <f>(#REF!-#REF!)/#REF!</f>
        <v>#REF!</v>
      </c>
      <c r="D372" s="4" t="e">
        <f>LN(#REF!/#REF!)</f>
        <v>#REF!</v>
      </c>
      <c r="E372" s="4" t="e">
        <f t="shared" si="6"/>
        <v>#REF!</v>
      </c>
      <c r="F372" s="4" t="e" cm="1">
        <f t="array" ref="F372">AVERAGE(B372:B1879-$I$4/252)/_xlfn.STDEV.S(B372:B1879-$I$4)</f>
        <v>#REF!</v>
      </c>
      <c r="G372" s="4"/>
      <c r="H372" s="4"/>
      <c r="I372" s="4"/>
      <c r="J372" s="4"/>
    </row>
    <row r="373" spans="1:10" x14ac:dyDescent="0.2">
      <c r="A373" t="e">
        <f>LEFT(#REF!,10)</f>
        <v>#REF!</v>
      </c>
      <c r="B373" s="4" t="e">
        <f>(#REF!-#REF!)/#REF!</f>
        <v>#REF!</v>
      </c>
      <c r="C373" s="4" t="e">
        <f>(#REF!-#REF!)/#REF!</f>
        <v>#REF!</v>
      </c>
      <c r="D373" s="4" t="e">
        <f>LN(#REF!/#REF!)</f>
        <v>#REF!</v>
      </c>
      <c r="E373" s="4" t="e">
        <f t="shared" si="6"/>
        <v>#REF!</v>
      </c>
      <c r="F373" s="4" t="e" cm="1">
        <f t="array" ref="F373">AVERAGE(B373:B1880-$I$4/252)/_xlfn.STDEV.S(B373:B1880-$I$4)</f>
        <v>#REF!</v>
      </c>
      <c r="G373" s="4"/>
      <c r="H373" s="4"/>
      <c r="I373" s="4"/>
      <c r="J373" s="4"/>
    </row>
    <row r="374" spans="1:10" x14ac:dyDescent="0.2">
      <c r="A374" t="e">
        <f>LEFT(#REF!,10)</f>
        <v>#REF!</v>
      </c>
      <c r="B374" s="4" t="e">
        <f>(#REF!-#REF!)/#REF!</f>
        <v>#REF!</v>
      </c>
      <c r="C374" s="4" t="e">
        <f>(#REF!-#REF!)/#REF!</f>
        <v>#REF!</v>
      </c>
      <c r="D374" s="4" t="e">
        <f>LN(#REF!/#REF!)</f>
        <v>#REF!</v>
      </c>
      <c r="E374" s="4" t="e">
        <f t="shared" si="6"/>
        <v>#REF!</v>
      </c>
      <c r="F374" s="4" t="e" cm="1">
        <f t="array" ref="F374">AVERAGE(B374:B1881-$I$4/252)/_xlfn.STDEV.S(B374:B1881-$I$4)</f>
        <v>#REF!</v>
      </c>
      <c r="G374" s="4"/>
      <c r="H374" s="4"/>
      <c r="I374" s="4"/>
      <c r="J374" s="4"/>
    </row>
    <row r="375" spans="1:10" x14ac:dyDescent="0.2">
      <c r="A375" t="e">
        <f>LEFT(#REF!,10)</f>
        <v>#REF!</v>
      </c>
      <c r="B375" s="4" t="e">
        <f>(#REF!-#REF!)/#REF!</f>
        <v>#REF!</v>
      </c>
      <c r="C375" s="4" t="e">
        <f>(#REF!-#REF!)/#REF!</f>
        <v>#REF!</v>
      </c>
      <c r="D375" s="4" t="e">
        <f>LN(#REF!/#REF!)</f>
        <v>#REF!</v>
      </c>
      <c r="E375" s="4" t="e">
        <f t="shared" si="6"/>
        <v>#REF!</v>
      </c>
      <c r="F375" s="4" t="e" cm="1">
        <f t="array" ref="F375">AVERAGE(B375:B1882-$I$4/252)/_xlfn.STDEV.S(B375:B1882-$I$4)</f>
        <v>#REF!</v>
      </c>
      <c r="G375" s="4"/>
      <c r="H375" s="4"/>
      <c r="I375" s="4"/>
      <c r="J375" s="4"/>
    </row>
    <row r="376" spans="1:10" x14ac:dyDescent="0.2">
      <c r="A376" t="e">
        <f>LEFT(#REF!,10)</f>
        <v>#REF!</v>
      </c>
      <c r="B376" s="4" t="e">
        <f>(#REF!-#REF!)/#REF!</f>
        <v>#REF!</v>
      </c>
      <c r="C376" s="4" t="e">
        <f>(#REF!-#REF!)/#REF!</f>
        <v>#REF!</v>
      </c>
      <c r="D376" s="4" t="e">
        <f>LN(#REF!/#REF!)</f>
        <v>#REF!</v>
      </c>
      <c r="E376" s="4" t="e">
        <f t="shared" si="6"/>
        <v>#REF!</v>
      </c>
      <c r="F376" s="4" t="e" cm="1">
        <f t="array" ref="F376">AVERAGE(B376:B1883-$I$4/252)/_xlfn.STDEV.S(B376:B1883-$I$4)</f>
        <v>#REF!</v>
      </c>
      <c r="G376" s="4"/>
      <c r="H376" s="4"/>
      <c r="I376" s="4"/>
      <c r="J376" s="4"/>
    </row>
    <row r="377" spans="1:10" x14ac:dyDescent="0.2">
      <c r="A377" t="e">
        <f>LEFT(#REF!,10)</f>
        <v>#REF!</v>
      </c>
      <c r="B377" s="4" t="e">
        <f>(#REF!-#REF!)/#REF!</f>
        <v>#REF!</v>
      </c>
      <c r="C377" s="4" t="e">
        <f>(#REF!-#REF!)/#REF!</f>
        <v>#REF!</v>
      </c>
      <c r="D377" s="4" t="e">
        <f>LN(#REF!/#REF!)</f>
        <v>#REF!</v>
      </c>
      <c r="E377" s="4" t="e">
        <f t="shared" si="6"/>
        <v>#REF!</v>
      </c>
      <c r="F377" s="4" t="e" cm="1">
        <f t="array" ref="F377">AVERAGE(B377:B1884-$I$4/252)/_xlfn.STDEV.S(B377:B1884-$I$4)</f>
        <v>#REF!</v>
      </c>
      <c r="G377" s="4"/>
      <c r="H377" s="4"/>
      <c r="I377" s="4"/>
      <c r="J377" s="4"/>
    </row>
    <row r="378" spans="1:10" x14ac:dyDescent="0.2">
      <c r="A378" t="e">
        <f>LEFT(#REF!,10)</f>
        <v>#REF!</v>
      </c>
      <c r="B378" s="4" t="e">
        <f>(#REF!-#REF!)/#REF!</f>
        <v>#REF!</v>
      </c>
      <c r="C378" s="4" t="e">
        <f>(#REF!-#REF!)/#REF!</f>
        <v>#REF!</v>
      </c>
      <c r="D378" s="4" t="e">
        <f>LN(#REF!/#REF!)</f>
        <v>#REF!</v>
      </c>
      <c r="E378" s="4" t="e">
        <f t="shared" si="6"/>
        <v>#REF!</v>
      </c>
      <c r="F378" s="4" t="e" cm="1">
        <f t="array" ref="F378">AVERAGE(B378:B1885-$I$4/252)/_xlfn.STDEV.S(B378:B1885-$I$4)</f>
        <v>#REF!</v>
      </c>
      <c r="G378" s="4"/>
      <c r="H378" s="4"/>
      <c r="I378" s="4"/>
      <c r="J378" s="4"/>
    </row>
    <row r="379" spans="1:10" x14ac:dyDescent="0.2">
      <c r="A379" t="e">
        <f>LEFT(#REF!,10)</f>
        <v>#REF!</v>
      </c>
      <c r="B379" s="4" t="e">
        <f>(#REF!-#REF!)/#REF!</f>
        <v>#REF!</v>
      </c>
      <c r="C379" s="4" t="e">
        <f>(#REF!-#REF!)/#REF!</f>
        <v>#REF!</v>
      </c>
      <c r="D379" s="4" t="e">
        <f>LN(#REF!/#REF!)</f>
        <v>#REF!</v>
      </c>
      <c r="E379" s="4" t="e">
        <f t="shared" si="6"/>
        <v>#REF!</v>
      </c>
      <c r="F379" s="4" t="e" cm="1">
        <f t="array" ref="F379">AVERAGE(B379:B1886-$I$4/252)/_xlfn.STDEV.S(B379:B1886-$I$4)</f>
        <v>#REF!</v>
      </c>
      <c r="G379" s="4"/>
      <c r="H379" s="4"/>
      <c r="I379" s="4"/>
      <c r="J379" s="4"/>
    </row>
    <row r="380" spans="1:10" x14ac:dyDescent="0.2">
      <c r="A380" t="e">
        <f>LEFT(#REF!,10)</f>
        <v>#REF!</v>
      </c>
      <c r="B380" s="4" t="e">
        <f>(#REF!-#REF!)/#REF!</f>
        <v>#REF!</v>
      </c>
      <c r="C380" s="4" t="e">
        <f>(#REF!-#REF!)/#REF!</f>
        <v>#REF!</v>
      </c>
      <c r="D380" s="4" t="e">
        <f>LN(#REF!/#REF!)</f>
        <v>#REF!</v>
      </c>
      <c r="E380" s="4" t="e">
        <f t="shared" si="6"/>
        <v>#REF!</v>
      </c>
      <c r="F380" s="4" t="e" cm="1">
        <f t="array" ref="F380">AVERAGE(B380:B1887-$I$4/252)/_xlfn.STDEV.S(B380:B1887-$I$4)</f>
        <v>#REF!</v>
      </c>
      <c r="G380" s="4"/>
      <c r="H380" s="4"/>
      <c r="I380" s="4"/>
      <c r="J380" s="4"/>
    </row>
    <row r="381" spans="1:10" x14ac:dyDescent="0.2">
      <c r="A381" t="e">
        <f>LEFT(#REF!,10)</f>
        <v>#REF!</v>
      </c>
      <c r="B381" s="4" t="e">
        <f>(#REF!-#REF!)/#REF!</f>
        <v>#REF!</v>
      </c>
      <c r="C381" s="4" t="e">
        <f>(#REF!-#REF!)/#REF!</f>
        <v>#REF!</v>
      </c>
      <c r="D381" s="4" t="e">
        <f>LN(#REF!/#REF!)</f>
        <v>#REF!</v>
      </c>
      <c r="E381" s="4" t="e">
        <f t="shared" si="6"/>
        <v>#REF!</v>
      </c>
      <c r="F381" s="4" t="e" cm="1">
        <f t="array" ref="F381">AVERAGE(B381:B1888-$I$4/252)/_xlfn.STDEV.S(B381:B1888-$I$4)</f>
        <v>#REF!</v>
      </c>
      <c r="G381" s="4"/>
      <c r="H381" s="4"/>
      <c r="I381" s="4"/>
      <c r="J381" s="4"/>
    </row>
    <row r="382" spans="1:10" x14ac:dyDescent="0.2">
      <c r="A382" t="e">
        <f>LEFT(#REF!,10)</f>
        <v>#REF!</v>
      </c>
      <c r="B382" s="4" t="e">
        <f>(#REF!-#REF!)/#REF!</f>
        <v>#REF!</v>
      </c>
      <c r="C382" s="4" t="e">
        <f>(#REF!-#REF!)/#REF!</f>
        <v>#REF!</v>
      </c>
      <c r="D382" s="4" t="e">
        <f>LN(#REF!/#REF!)</f>
        <v>#REF!</v>
      </c>
      <c r="E382" s="4" t="e">
        <f t="shared" si="6"/>
        <v>#REF!</v>
      </c>
      <c r="F382" s="4" t="e" cm="1">
        <f t="array" ref="F382">AVERAGE(B382:B1889-$I$4/252)/_xlfn.STDEV.S(B382:B1889-$I$4)</f>
        <v>#REF!</v>
      </c>
      <c r="G382" s="4"/>
      <c r="H382" s="4"/>
      <c r="I382" s="4"/>
      <c r="J382" s="4"/>
    </row>
    <row r="383" spans="1:10" x14ac:dyDescent="0.2">
      <c r="A383" t="e">
        <f>LEFT(#REF!,10)</f>
        <v>#REF!</v>
      </c>
      <c r="B383" s="4" t="e">
        <f>(#REF!-#REF!)/#REF!</f>
        <v>#REF!</v>
      </c>
      <c r="C383" s="4" t="e">
        <f>(#REF!-#REF!)/#REF!</f>
        <v>#REF!</v>
      </c>
      <c r="D383" s="4" t="e">
        <f>LN(#REF!/#REF!)</f>
        <v>#REF!</v>
      </c>
      <c r="E383" s="4" t="e">
        <f t="shared" si="6"/>
        <v>#REF!</v>
      </c>
      <c r="F383" s="4" t="e" cm="1">
        <f t="array" ref="F383">AVERAGE(B383:B1890-$I$4/252)/_xlfn.STDEV.S(B383:B1890-$I$4)</f>
        <v>#REF!</v>
      </c>
      <c r="G383" s="4"/>
      <c r="H383" s="4"/>
      <c r="I383" s="4"/>
      <c r="J383" s="4"/>
    </row>
    <row r="384" spans="1:10" x14ac:dyDescent="0.2">
      <c r="A384" t="e">
        <f>LEFT(#REF!,10)</f>
        <v>#REF!</v>
      </c>
      <c r="B384" s="4" t="e">
        <f>(#REF!-#REF!)/#REF!</f>
        <v>#REF!</v>
      </c>
      <c r="C384" s="4" t="e">
        <f>(#REF!-#REF!)/#REF!</f>
        <v>#REF!</v>
      </c>
      <c r="D384" s="4" t="e">
        <f>LN(#REF!/#REF!)</f>
        <v>#REF!</v>
      </c>
      <c r="E384" s="4" t="e">
        <f t="shared" si="6"/>
        <v>#REF!</v>
      </c>
      <c r="F384" s="4" t="e" cm="1">
        <f t="array" ref="F384">AVERAGE(B384:B1891-$I$4/252)/_xlfn.STDEV.S(B384:B1891-$I$4)</f>
        <v>#REF!</v>
      </c>
      <c r="G384" s="4"/>
      <c r="H384" s="4"/>
      <c r="I384" s="4"/>
      <c r="J384" s="4"/>
    </row>
    <row r="385" spans="1:10" x14ac:dyDescent="0.2">
      <c r="A385" t="e">
        <f>LEFT(#REF!,10)</f>
        <v>#REF!</v>
      </c>
      <c r="B385" s="4" t="e">
        <f>(#REF!-#REF!)/#REF!</f>
        <v>#REF!</v>
      </c>
      <c r="C385" s="4" t="e">
        <f>(#REF!-#REF!)/#REF!</f>
        <v>#REF!</v>
      </c>
      <c r="D385" s="4" t="e">
        <f>LN(#REF!/#REF!)</f>
        <v>#REF!</v>
      </c>
      <c r="E385" s="4" t="e">
        <f t="shared" si="6"/>
        <v>#REF!</v>
      </c>
      <c r="F385" s="4" t="e" cm="1">
        <f t="array" ref="F385">AVERAGE(B385:B1892-$I$4/252)/_xlfn.STDEV.S(B385:B1892-$I$4)</f>
        <v>#REF!</v>
      </c>
      <c r="G385" s="4"/>
      <c r="H385" s="4"/>
      <c r="I385" s="4"/>
      <c r="J385" s="4"/>
    </row>
    <row r="386" spans="1:10" x14ac:dyDescent="0.2">
      <c r="A386" t="e">
        <f>LEFT(#REF!,10)</f>
        <v>#REF!</v>
      </c>
      <c r="B386" s="4" t="e">
        <f>(#REF!-#REF!)/#REF!</f>
        <v>#REF!</v>
      </c>
      <c r="C386" s="4" t="e">
        <f>(#REF!-#REF!)/#REF!</f>
        <v>#REF!</v>
      </c>
      <c r="D386" s="4" t="e">
        <f>LN(#REF!/#REF!)</f>
        <v>#REF!</v>
      </c>
      <c r="E386" s="4" t="e">
        <f t="shared" si="6"/>
        <v>#REF!</v>
      </c>
      <c r="F386" s="4" t="e" cm="1">
        <f t="array" ref="F386">AVERAGE(B386:B1893-$I$4/252)/_xlfn.STDEV.S(B386:B1893-$I$4)</f>
        <v>#REF!</v>
      </c>
      <c r="G386" s="4"/>
      <c r="H386" s="4"/>
      <c r="I386" s="4"/>
      <c r="J386" s="4"/>
    </row>
    <row r="387" spans="1:10" x14ac:dyDescent="0.2">
      <c r="A387" t="e">
        <f>LEFT(#REF!,10)</f>
        <v>#REF!</v>
      </c>
      <c r="B387" s="4" t="e">
        <f>(#REF!-#REF!)/#REF!</f>
        <v>#REF!</v>
      </c>
      <c r="C387" s="4" t="e">
        <f>(#REF!-#REF!)/#REF!</f>
        <v>#REF!</v>
      </c>
      <c r="D387" s="4" t="e">
        <f>LN(#REF!/#REF!)</f>
        <v>#REF!</v>
      </c>
      <c r="E387" s="4" t="e">
        <f t="shared" si="6"/>
        <v>#REF!</v>
      </c>
      <c r="F387" s="4" t="e" cm="1">
        <f t="array" ref="F387">AVERAGE(B387:B1894-$I$4/252)/_xlfn.STDEV.S(B387:B1894-$I$4)</f>
        <v>#REF!</v>
      </c>
      <c r="G387" s="4"/>
      <c r="H387" s="4"/>
      <c r="I387" s="4"/>
      <c r="J387" s="4"/>
    </row>
    <row r="388" spans="1:10" x14ac:dyDescent="0.2">
      <c r="A388" t="e">
        <f>LEFT(#REF!,10)</f>
        <v>#REF!</v>
      </c>
      <c r="B388" s="4" t="e">
        <f>(#REF!-#REF!)/#REF!</f>
        <v>#REF!</v>
      </c>
      <c r="C388" s="4" t="e">
        <f>(#REF!-#REF!)/#REF!</f>
        <v>#REF!</v>
      </c>
      <c r="D388" s="4" t="e">
        <f>LN(#REF!/#REF!)</f>
        <v>#REF!</v>
      </c>
      <c r="E388" s="4" t="e">
        <f t="shared" si="6"/>
        <v>#REF!</v>
      </c>
      <c r="F388" s="4" t="e" cm="1">
        <f t="array" ref="F388">AVERAGE(B388:B1895-$I$4/252)/_xlfn.STDEV.S(B388:B1895-$I$4)</f>
        <v>#REF!</v>
      </c>
      <c r="G388" s="4"/>
      <c r="H388" s="4"/>
      <c r="I388" s="4"/>
      <c r="J388" s="4"/>
    </row>
    <row r="389" spans="1:10" x14ac:dyDescent="0.2">
      <c r="A389" t="e">
        <f>LEFT(#REF!,10)</f>
        <v>#REF!</v>
      </c>
      <c r="B389" s="4" t="e">
        <f>(#REF!-#REF!)/#REF!</f>
        <v>#REF!</v>
      </c>
      <c r="C389" s="4" t="e">
        <f>(#REF!-#REF!)/#REF!</f>
        <v>#REF!</v>
      </c>
      <c r="D389" s="4" t="e">
        <f>LN(#REF!/#REF!)</f>
        <v>#REF!</v>
      </c>
      <c r="E389" s="4" t="e">
        <f t="shared" ref="E389:E452" si="7">_xlfn.STDEV.S(D389:D408)</f>
        <v>#REF!</v>
      </c>
      <c r="F389" s="4" t="e" cm="1">
        <f t="array" ref="F389">AVERAGE(B389:B1896-$I$4/252)/_xlfn.STDEV.S(B389:B1896-$I$4)</f>
        <v>#REF!</v>
      </c>
      <c r="G389" s="4"/>
      <c r="H389" s="4"/>
      <c r="I389" s="4"/>
      <c r="J389" s="4"/>
    </row>
    <row r="390" spans="1:10" x14ac:dyDescent="0.2">
      <c r="A390" t="e">
        <f>LEFT(#REF!,10)</f>
        <v>#REF!</v>
      </c>
      <c r="B390" s="4" t="e">
        <f>(#REF!-#REF!)/#REF!</f>
        <v>#REF!</v>
      </c>
      <c r="C390" s="4" t="e">
        <f>(#REF!-#REF!)/#REF!</f>
        <v>#REF!</v>
      </c>
      <c r="D390" s="4" t="e">
        <f>LN(#REF!/#REF!)</f>
        <v>#REF!</v>
      </c>
      <c r="E390" s="4" t="e">
        <f t="shared" si="7"/>
        <v>#REF!</v>
      </c>
      <c r="F390" s="4" t="e" cm="1">
        <f t="array" ref="F390">AVERAGE(B390:B1897-$I$4/252)/_xlfn.STDEV.S(B390:B1897-$I$4)</f>
        <v>#REF!</v>
      </c>
      <c r="G390" s="4"/>
      <c r="H390" s="4"/>
      <c r="I390" s="4"/>
      <c r="J390" s="4"/>
    </row>
    <row r="391" spans="1:10" x14ac:dyDescent="0.2">
      <c r="A391" t="e">
        <f>LEFT(#REF!,10)</f>
        <v>#REF!</v>
      </c>
      <c r="B391" s="4" t="e">
        <f>(#REF!-#REF!)/#REF!</f>
        <v>#REF!</v>
      </c>
      <c r="C391" s="4" t="e">
        <f>(#REF!-#REF!)/#REF!</f>
        <v>#REF!</v>
      </c>
      <c r="D391" s="4" t="e">
        <f>LN(#REF!/#REF!)</f>
        <v>#REF!</v>
      </c>
      <c r="E391" s="4" t="e">
        <f t="shared" si="7"/>
        <v>#REF!</v>
      </c>
      <c r="F391" s="4" t="e" cm="1">
        <f t="array" ref="F391">AVERAGE(B391:B1898-$I$4/252)/_xlfn.STDEV.S(B391:B1898-$I$4)</f>
        <v>#REF!</v>
      </c>
      <c r="G391" s="4"/>
      <c r="H391" s="4"/>
      <c r="I391" s="4"/>
      <c r="J391" s="4"/>
    </row>
    <row r="392" spans="1:10" x14ac:dyDescent="0.2">
      <c r="A392" t="e">
        <f>LEFT(#REF!,10)</f>
        <v>#REF!</v>
      </c>
      <c r="B392" s="4" t="e">
        <f>(#REF!-#REF!)/#REF!</f>
        <v>#REF!</v>
      </c>
      <c r="C392" s="4" t="e">
        <f>(#REF!-#REF!)/#REF!</f>
        <v>#REF!</v>
      </c>
      <c r="D392" s="4" t="e">
        <f>LN(#REF!/#REF!)</f>
        <v>#REF!</v>
      </c>
      <c r="E392" s="4" t="e">
        <f t="shared" si="7"/>
        <v>#REF!</v>
      </c>
      <c r="F392" s="4" t="e" cm="1">
        <f t="array" ref="F392">AVERAGE(B392:B1899-$I$4/252)/_xlfn.STDEV.S(B392:B1899-$I$4)</f>
        <v>#REF!</v>
      </c>
      <c r="G392" s="4"/>
      <c r="H392" s="4"/>
      <c r="I392" s="4"/>
      <c r="J392" s="4"/>
    </row>
    <row r="393" spans="1:10" x14ac:dyDescent="0.2">
      <c r="A393" t="e">
        <f>LEFT(#REF!,10)</f>
        <v>#REF!</v>
      </c>
      <c r="B393" s="4" t="e">
        <f>(#REF!-#REF!)/#REF!</f>
        <v>#REF!</v>
      </c>
      <c r="C393" s="4" t="e">
        <f>(#REF!-#REF!)/#REF!</f>
        <v>#REF!</v>
      </c>
      <c r="D393" s="4" t="e">
        <f>LN(#REF!/#REF!)</f>
        <v>#REF!</v>
      </c>
      <c r="E393" s="4" t="e">
        <f t="shared" si="7"/>
        <v>#REF!</v>
      </c>
      <c r="F393" s="4" t="e" cm="1">
        <f t="array" ref="F393">AVERAGE(B393:B1900-$I$4/252)/_xlfn.STDEV.S(B393:B1900-$I$4)</f>
        <v>#REF!</v>
      </c>
      <c r="G393" s="4"/>
      <c r="H393" s="4"/>
      <c r="I393" s="4"/>
      <c r="J393" s="4"/>
    </row>
    <row r="394" spans="1:10" x14ac:dyDescent="0.2">
      <c r="A394" t="e">
        <f>LEFT(#REF!,10)</f>
        <v>#REF!</v>
      </c>
      <c r="B394" s="4" t="e">
        <f>(#REF!-#REF!)/#REF!</f>
        <v>#REF!</v>
      </c>
      <c r="C394" s="4" t="e">
        <f>(#REF!-#REF!)/#REF!</f>
        <v>#REF!</v>
      </c>
      <c r="D394" s="4" t="e">
        <f>LN(#REF!/#REF!)</f>
        <v>#REF!</v>
      </c>
      <c r="E394" s="4" t="e">
        <f t="shared" si="7"/>
        <v>#REF!</v>
      </c>
      <c r="F394" s="4" t="e" cm="1">
        <f t="array" ref="F394">AVERAGE(B394:B1901-$I$4/252)/_xlfn.STDEV.S(B394:B1901-$I$4)</f>
        <v>#REF!</v>
      </c>
      <c r="G394" s="4"/>
      <c r="H394" s="4"/>
      <c r="I394" s="4"/>
      <c r="J394" s="4"/>
    </row>
    <row r="395" spans="1:10" x14ac:dyDescent="0.2">
      <c r="A395" t="e">
        <f>LEFT(#REF!,10)</f>
        <v>#REF!</v>
      </c>
      <c r="B395" s="4" t="e">
        <f>(#REF!-#REF!)/#REF!</f>
        <v>#REF!</v>
      </c>
      <c r="C395" s="4" t="e">
        <f>(#REF!-#REF!)/#REF!</f>
        <v>#REF!</v>
      </c>
      <c r="D395" s="4" t="e">
        <f>LN(#REF!/#REF!)</f>
        <v>#REF!</v>
      </c>
      <c r="E395" s="4" t="e">
        <f t="shared" si="7"/>
        <v>#REF!</v>
      </c>
      <c r="F395" s="4" t="e" cm="1">
        <f t="array" ref="F395">AVERAGE(B395:B1902-$I$4/252)/_xlfn.STDEV.S(B395:B1902-$I$4)</f>
        <v>#REF!</v>
      </c>
      <c r="G395" s="4"/>
      <c r="H395" s="4"/>
      <c r="I395" s="4"/>
      <c r="J395" s="4"/>
    </row>
    <row r="396" spans="1:10" x14ac:dyDescent="0.2">
      <c r="A396" t="e">
        <f>LEFT(#REF!,10)</f>
        <v>#REF!</v>
      </c>
      <c r="B396" s="4" t="e">
        <f>(#REF!-#REF!)/#REF!</f>
        <v>#REF!</v>
      </c>
      <c r="C396" s="4" t="e">
        <f>(#REF!-#REF!)/#REF!</f>
        <v>#REF!</v>
      </c>
      <c r="D396" s="4" t="e">
        <f>LN(#REF!/#REF!)</f>
        <v>#REF!</v>
      </c>
      <c r="E396" s="4" t="e">
        <f t="shared" si="7"/>
        <v>#REF!</v>
      </c>
      <c r="F396" s="4" t="e" cm="1">
        <f t="array" ref="F396">AVERAGE(B396:B1903-$I$4/252)/_xlfn.STDEV.S(B396:B1903-$I$4)</f>
        <v>#REF!</v>
      </c>
      <c r="G396" s="4"/>
      <c r="H396" s="4"/>
      <c r="I396" s="4"/>
      <c r="J396" s="4"/>
    </row>
    <row r="397" spans="1:10" x14ac:dyDescent="0.2">
      <c r="A397" t="e">
        <f>LEFT(#REF!,10)</f>
        <v>#REF!</v>
      </c>
      <c r="B397" s="4" t="e">
        <f>(#REF!-#REF!)/#REF!</f>
        <v>#REF!</v>
      </c>
      <c r="C397" s="4" t="e">
        <f>(#REF!-#REF!)/#REF!</f>
        <v>#REF!</v>
      </c>
      <c r="D397" s="4" t="e">
        <f>LN(#REF!/#REF!)</f>
        <v>#REF!</v>
      </c>
      <c r="E397" s="4" t="e">
        <f t="shared" si="7"/>
        <v>#REF!</v>
      </c>
      <c r="F397" s="4" t="e" cm="1">
        <f t="array" ref="F397">AVERAGE(B397:B1904-$I$4/252)/_xlfn.STDEV.S(B397:B1904-$I$4)</f>
        <v>#REF!</v>
      </c>
      <c r="G397" s="4"/>
      <c r="H397" s="4"/>
      <c r="I397" s="4"/>
      <c r="J397" s="4"/>
    </row>
    <row r="398" spans="1:10" x14ac:dyDescent="0.2">
      <c r="A398" t="e">
        <f>LEFT(#REF!,10)</f>
        <v>#REF!</v>
      </c>
      <c r="B398" s="4" t="e">
        <f>(#REF!-#REF!)/#REF!</f>
        <v>#REF!</v>
      </c>
      <c r="C398" s="4" t="e">
        <f>(#REF!-#REF!)/#REF!</f>
        <v>#REF!</v>
      </c>
      <c r="D398" s="4" t="e">
        <f>LN(#REF!/#REF!)</f>
        <v>#REF!</v>
      </c>
      <c r="E398" s="4" t="e">
        <f t="shared" si="7"/>
        <v>#REF!</v>
      </c>
      <c r="F398" s="4" t="e" cm="1">
        <f t="array" ref="F398">AVERAGE(B398:B1905-$I$4/252)/_xlfn.STDEV.S(B398:B1905-$I$4)</f>
        <v>#REF!</v>
      </c>
      <c r="G398" s="4"/>
      <c r="H398" s="4"/>
      <c r="I398" s="4"/>
      <c r="J398" s="4"/>
    </row>
    <row r="399" spans="1:10" x14ac:dyDescent="0.2">
      <c r="A399" t="e">
        <f>LEFT(#REF!,10)</f>
        <v>#REF!</v>
      </c>
      <c r="B399" s="4" t="e">
        <f>(#REF!-#REF!)/#REF!</f>
        <v>#REF!</v>
      </c>
      <c r="C399" s="4" t="e">
        <f>(#REF!-#REF!)/#REF!</f>
        <v>#REF!</v>
      </c>
      <c r="D399" s="4" t="e">
        <f>LN(#REF!/#REF!)</f>
        <v>#REF!</v>
      </c>
      <c r="E399" s="4" t="e">
        <f t="shared" si="7"/>
        <v>#REF!</v>
      </c>
      <c r="F399" s="4" t="e" cm="1">
        <f t="array" ref="F399">AVERAGE(B399:B1906-$I$4/252)/_xlfn.STDEV.S(B399:B1906-$I$4)</f>
        <v>#REF!</v>
      </c>
      <c r="G399" s="4"/>
      <c r="H399" s="4"/>
      <c r="I399" s="4"/>
      <c r="J399" s="4"/>
    </row>
    <row r="400" spans="1:10" x14ac:dyDescent="0.2">
      <c r="A400" t="e">
        <f>LEFT(#REF!,10)</f>
        <v>#REF!</v>
      </c>
      <c r="B400" s="4" t="e">
        <f>(#REF!-#REF!)/#REF!</f>
        <v>#REF!</v>
      </c>
      <c r="C400" s="4" t="e">
        <f>(#REF!-#REF!)/#REF!</f>
        <v>#REF!</v>
      </c>
      <c r="D400" s="4" t="e">
        <f>LN(#REF!/#REF!)</f>
        <v>#REF!</v>
      </c>
      <c r="E400" s="4" t="e">
        <f t="shared" si="7"/>
        <v>#REF!</v>
      </c>
      <c r="F400" s="4" t="e" cm="1">
        <f t="array" ref="F400">AVERAGE(B400:B1907-$I$4/252)/_xlfn.STDEV.S(B400:B1907-$I$4)</f>
        <v>#REF!</v>
      </c>
      <c r="G400" s="4"/>
      <c r="H400" s="4"/>
      <c r="I400" s="4"/>
      <c r="J400" s="4"/>
    </row>
    <row r="401" spans="1:10" x14ac:dyDescent="0.2">
      <c r="A401" t="e">
        <f>LEFT(#REF!,10)</f>
        <v>#REF!</v>
      </c>
      <c r="B401" s="4" t="e">
        <f>(#REF!-#REF!)/#REF!</f>
        <v>#REF!</v>
      </c>
      <c r="C401" s="4" t="e">
        <f>(#REF!-#REF!)/#REF!</f>
        <v>#REF!</v>
      </c>
      <c r="D401" s="4" t="e">
        <f>LN(#REF!/#REF!)</f>
        <v>#REF!</v>
      </c>
      <c r="E401" s="4" t="e">
        <f t="shared" si="7"/>
        <v>#REF!</v>
      </c>
      <c r="F401" s="4" t="e" cm="1">
        <f t="array" ref="F401">AVERAGE(B401:B1908-$I$4/252)/_xlfn.STDEV.S(B401:B1908-$I$4)</f>
        <v>#REF!</v>
      </c>
      <c r="G401" s="4"/>
      <c r="H401" s="4"/>
      <c r="I401" s="4"/>
      <c r="J401" s="4"/>
    </row>
    <row r="402" spans="1:10" x14ac:dyDescent="0.2">
      <c r="A402" t="e">
        <f>LEFT(#REF!,10)</f>
        <v>#REF!</v>
      </c>
      <c r="B402" s="4" t="e">
        <f>(#REF!-#REF!)/#REF!</f>
        <v>#REF!</v>
      </c>
      <c r="C402" s="4" t="e">
        <f>(#REF!-#REF!)/#REF!</f>
        <v>#REF!</v>
      </c>
      <c r="D402" s="4" t="e">
        <f>LN(#REF!/#REF!)</f>
        <v>#REF!</v>
      </c>
      <c r="E402" s="4" t="e">
        <f t="shared" si="7"/>
        <v>#REF!</v>
      </c>
      <c r="F402" s="4" t="e" cm="1">
        <f t="array" ref="F402">AVERAGE(B402:B1909-$I$4/252)/_xlfn.STDEV.S(B402:B1909-$I$4)</f>
        <v>#REF!</v>
      </c>
      <c r="G402" s="4"/>
      <c r="H402" s="4"/>
      <c r="I402" s="4"/>
      <c r="J402" s="4"/>
    </row>
    <row r="403" spans="1:10" x14ac:dyDescent="0.2">
      <c r="A403" t="e">
        <f>LEFT(#REF!,10)</f>
        <v>#REF!</v>
      </c>
      <c r="B403" s="4" t="e">
        <f>(#REF!-#REF!)/#REF!</f>
        <v>#REF!</v>
      </c>
      <c r="C403" s="4" t="e">
        <f>(#REF!-#REF!)/#REF!</f>
        <v>#REF!</v>
      </c>
      <c r="D403" s="4" t="e">
        <f>LN(#REF!/#REF!)</f>
        <v>#REF!</v>
      </c>
      <c r="E403" s="4" t="e">
        <f t="shared" si="7"/>
        <v>#REF!</v>
      </c>
      <c r="F403" s="4" t="e" cm="1">
        <f t="array" ref="F403">AVERAGE(B403:B1910-$I$4/252)/_xlfn.STDEV.S(B403:B1910-$I$4)</f>
        <v>#REF!</v>
      </c>
      <c r="G403" s="4"/>
      <c r="H403" s="4"/>
      <c r="I403" s="4"/>
      <c r="J403" s="4"/>
    </row>
    <row r="404" spans="1:10" x14ac:dyDescent="0.2">
      <c r="A404" t="e">
        <f>LEFT(#REF!,10)</f>
        <v>#REF!</v>
      </c>
      <c r="B404" s="4" t="e">
        <f>(#REF!-#REF!)/#REF!</f>
        <v>#REF!</v>
      </c>
      <c r="C404" s="4" t="e">
        <f>(#REF!-#REF!)/#REF!</f>
        <v>#REF!</v>
      </c>
      <c r="D404" s="4" t="e">
        <f>LN(#REF!/#REF!)</f>
        <v>#REF!</v>
      </c>
      <c r="E404" s="4" t="e">
        <f t="shared" si="7"/>
        <v>#REF!</v>
      </c>
      <c r="F404" s="4" t="e" cm="1">
        <f t="array" ref="F404">AVERAGE(B404:B1911-$I$4/252)/_xlfn.STDEV.S(B404:B1911-$I$4)</f>
        <v>#REF!</v>
      </c>
      <c r="G404" s="4"/>
      <c r="H404" s="4"/>
      <c r="I404" s="4"/>
      <c r="J404" s="4"/>
    </row>
    <row r="405" spans="1:10" x14ac:dyDescent="0.2">
      <c r="A405" t="e">
        <f>LEFT(#REF!,10)</f>
        <v>#REF!</v>
      </c>
      <c r="B405" s="4" t="e">
        <f>(#REF!-#REF!)/#REF!</f>
        <v>#REF!</v>
      </c>
      <c r="C405" s="4" t="e">
        <f>(#REF!-#REF!)/#REF!</f>
        <v>#REF!</v>
      </c>
      <c r="D405" s="4" t="e">
        <f>LN(#REF!/#REF!)</f>
        <v>#REF!</v>
      </c>
      <c r="E405" s="4" t="e">
        <f t="shared" si="7"/>
        <v>#REF!</v>
      </c>
      <c r="F405" s="4" t="e" cm="1">
        <f t="array" ref="F405">AVERAGE(B405:B1912-$I$4/252)/_xlfn.STDEV.S(B405:B1912-$I$4)</f>
        <v>#REF!</v>
      </c>
      <c r="G405" s="4"/>
      <c r="H405" s="4"/>
      <c r="I405" s="4"/>
      <c r="J405" s="4"/>
    </row>
    <row r="406" spans="1:10" x14ac:dyDescent="0.2">
      <c r="A406" t="e">
        <f>LEFT(#REF!,10)</f>
        <v>#REF!</v>
      </c>
      <c r="B406" s="4" t="e">
        <f>(#REF!-#REF!)/#REF!</f>
        <v>#REF!</v>
      </c>
      <c r="C406" s="4" t="e">
        <f>(#REF!-#REF!)/#REF!</f>
        <v>#REF!</v>
      </c>
      <c r="D406" s="4" t="e">
        <f>LN(#REF!/#REF!)</f>
        <v>#REF!</v>
      </c>
      <c r="E406" s="4" t="e">
        <f t="shared" si="7"/>
        <v>#REF!</v>
      </c>
      <c r="F406" s="4" t="e" cm="1">
        <f t="array" ref="F406">AVERAGE(B406:B1913-$I$4/252)/_xlfn.STDEV.S(B406:B1913-$I$4)</f>
        <v>#REF!</v>
      </c>
      <c r="G406" s="4"/>
      <c r="H406" s="4"/>
      <c r="I406" s="4"/>
      <c r="J406" s="4"/>
    </row>
    <row r="407" spans="1:10" x14ac:dyDescent="0.2">
      <c r="A407" t="e">
        <f>LEFT(#REF!,10)</f>
        <v>#REF!</v>
      </c>
      <c r="B407" s="4" t="e">
        <f>(#REF!-#REF!)/#REF!</f>
        <v>#REF!</v>
      </c>
      <c r="C407" s="4" t="e">
        <f>(#REF!-#REF!)/#REF!</f>
        <v>#REF!</v>
      </c>
      <c r="D407" s="4" t="e">
        <f>LN(#REF!/#REF!)</f>
        <v>#REF!</v>
      </c>
      <c r="E407" s="4" t="e">
        <f t="shared" si="7"/>
        <v>#REF!</v>
      </c>
      <c r="F407" s="4" t="e" cm="1">
        <f t="array" ref="F407">AVERAGE(B407:B1914-$I$4/252)/_xlfn.STDEV.S(B407:B1914-$I$4)</f>
        <v>#REF!</v>
      </c>
      <c r="G407" s="4"/>
      <c r="H407" s="4"/>
      <c r="I407" s="4"/>
      <c r="J407" s="4"/>
    </row>
    <row r="408" spans="1:10" x14ac:dyDescent="0.2">
      <c r="A408" t="e">
        <f>LEFT(#REF!,10)</f>
        <v>#REF!</v>
      </c>
      <c r="B408" s="4" t="e">
        <f>(#REF!-#REF!)/#REF!</f>
        <v>#REF!</v>
      </c>
      <c r="C408" s="4" t="e">
        <f>(#REF!-#REF!)/#REF!</f>
        <v>#REF!</v>
      </c>
      <c r="D408" s="4" t="e">
        <f>LN(#REF!/#REF!)</f>
        <v>#REF!</v>
      </c>
      <c r="E408" s="4" t="e">
        <f t="shared" si="7"/>
        <v>#REF!</v>
      </c>
      <c r="F408" s="4" t="e" cm="1">
        <f t="array" ref="F408">AVERAGE(B408:B1915-$I$4/252)/_xlfn.STDEV.S(B408:B1915-$I$4)</f>
        <v>#REF!</v>
      </c>
      <c r="G408" s="4"/>
      <c r="H408" s="4"/>
      <c r="I408" s="4"/>
      <c r="J408" s="4"/>
    </row>
    <row r="409" spans="1:10" x14ac:dyDescent="0.2">
      <c r="A409" t="e">
        <f>LEFT(#REF!,10)</f>
        <v>#REF!</v>
      </c>
      <c r="B409" s="4" t="e">
        <f>(#REF!-#REF!)/#REF!</f>
        <v>#REF!</v>
      </c>
      <c r="C409" s="4" t="e">
        <f>(#REF!-#REF!)/#REF!</f>
        <v>#REF!</v>
      </c>
      <c r="D409" s="4" t="e">
        <f>LN(#REF!/#REF!)</f>
        <v>#REF!</v>
      </c>
      <c r="E409" s="4" t="e">
        <f t="shared" si="7"/>
        <v>#REF!</v>
      </c>
      <c r="F409" s="4" t="e" cm="1">
        <f t="array" ref="F409">AVERAGE(B409:B1916-$I$4/252)/_xlfn.STDEV.S(B409:B1916-$I$4)</f>
        <v>#REF!</v>
      </c>
      <c r="G409" s="4"/>
      <c r="H409" s="4"/>
      <c r="I409" s="4"/>
      <c r="J409" s="4"/>
    </row>
    <row r="410" spans="1:10" x14ac:dyDescent="0.2">
      <c r="A410" t="e">
        <f>LEFT(#REF!,10)</f>
        <v>#REF!</v>
      </c>
      <c r="B410" s="4" t="e">
        <f>(#REF!-#REF!)/#REF!</f>
        <v>#REF!</v>
      </c>
      <c r="C410" s="4" t="e">
        <f>(#REF!-#REF!)/#REF!</f>
        <v>#REF!</v>
      </c>
      <c r="D410" s="4" t="e">
        <f>LN(#REF!/#REF!)</f>
        <v>#REF!</v>
      </c>
      <c r="E410" s="4" t="e">
        <f t="shared" si="7"/>
        <v>#REF!</v>
      </c>
      <c r="F410" s="4" t="e" cm="1">
        <f t="array" ref="F410">AVERAGE(B410:B1917-$I$4/252)/_xlfn.STDEV.S(B410:B1917-$I$4)</f>
        <v>#REF!</v>
      </c>
      <c r="G410" s="4"/>
      <c r="H410" s="4"/>
      <c r="I410" s="4"/>
      <c r="J410" s="4"/>
    </row>
    <row r="411" spans="1:10" x14ac:dyDescent="0.2">
      <c r="A411" t="e">
        <f>LEFT(#REF!,10)</f>
        <v>#REF!</v>
      </c>
      <c r="B411" s="4" t="e">
        <f>(#REF!-#REF!)/#REF!</f>
        <v>#REF!</v>
      </c>
      <c r="C411" s="4" t="e">
        <f>(#REF!-#REF!)/#REF!</f>
        <v>#REF!</v>
      </c>
      <c r="D411" s="4" t="e">
        <f>LN(#REF!/#REF!)</f>
        <v>#REF!</v>
      </c>
      <c r="E411" s="4" t="e">
        <f t="shared" si="7"/>
        <v>#REF!</v>
      </c>
      <c r="F411" s="4" t="e" cm="1">
        <f t="array" ref="F411">AVERAGE(B411:B1918-$I$4/252)/_xlfn.STDEV.S(B411:B1918-$I$4)</f>
        <v>#REF!</v>
      </c>
      <c r="G411" s="4"/>
      <c r="H411" s="4"/>
      <c r="I411" s="4"/>
      <c r="J411" s="4"/>
    </row>
    <row r="412" spans="1:10" x14ac:dyDescent="0.2">
      <c r="A412" t="e">
        <f>LEFT(#REF!,10)</f>
        <v>#REF!</v>
      </c>
      <c r="B412" s="4" t="e">
        <f>(#REF!-#REF!)/#REF!</f>
        <v>#REF!</v>
      </c>
      <c r="C412" s="4" t="e">
        <f>(#REF!-#REF!)/#REF!</f>
        <v>#REF!</v>
      </c>
      <c r="D412" s="4" t="e">
        <f>LN(#REF!/#REF!)</f>
        <v>#REF!</v>
      </c>
      <c r="E412" s="4" t="e">
        <f t="shared" si="7"/>
        <v>#REF!</v>
      </c>
      <c r="F412" s="4" t="e" cm="1">
        <f t="array" ref="F412">AVERAGE(B412:B1919-$I$4/252)/_xlfn.STDEV.S(B412:B1919-$I$4)</f>
        <v>#REF!</v>
      </c>
      <c r="G412" s="4"/>
      <c r="H412" s="4"/>
      <c r="I412" s="4"/>
      <c r="J412" s="4"/>
    </row>
    <row r="413" spans="1:10" x14ac:dyDescent="0.2">
      <c r="A413" t="e">
        <f>LEFT(#REF!,10)</f>
        <v>#REF!</v>
      </c>
      <c r="B413" s="4" t="e">
        <f>(#REF!-#REF!)/#REF!</f>
        <v>#REF!</v>
      </c>
      <c r="C413" s="4" t="e">
        <f>(#REF!-#REF!)/#REF!</f>
        <v>#REF!</v>
      </c>
      <c r="D413" s="4" t="e">
        <f>LN(#REF!/#REF!)</f>
        <v>#REF!</v>
      </c>
      <c r="E413" s="4" t="e">
        <f t="shared" si="7"/>
        <v>#REF!</v>
      </c>
      <c r="F413" s="4" t="e" cm="1">
        <f t="array" ref="F413">AVERAGE(B413:B1920-$I$4/252)/_xlfn.STDEV.S(B413:B1920-$I$4)</f>
        <v>#REF!</v>
      </c>
      <c r="G413" s="4"/>
      <c r="H413" s="4"/>
      <c r="I413" s="4"/>
      <c r="J413" s="4"/>
    </row>
    <row r="414" spans="1:10" x14ac:dyDescent="0.2">
      <c r="A414" t="e">
        <f>LEFT(#REF!,10)</f>
        <v>#REF!</v>
      </c>
      <c r="B414" s="4" t="e">
        <f>(#REF!-#REF!)/#REF!</f>
        <v>#REF!</v>
      </c>
      <c r="C414" s="4" t="e">
        <f>(#REF!-#REF!)/#REF!</f>
        <v>#REF!</v>
      </c>
      <c r="D414" s="4" t="e">
        <f>LN(#REF!/#REF!)</f>
        <v>#REF!</v>
      </c>
      <c r="E414" s="4" t="e">
        <f t="shared" si="7"/>
        <v>#REF!</v>
      </c>
      <c r="F414" s="4" t="e" cm="1">
        <f t="array" ref="F414">AVERAGE(B414:B1921-$I$4/252)/_xlfn.STDEV.S(B414:B1921-$I$4)</f>
        <v>#REF!</v>
      </c>
      <c r="G414" s="4"/>
      <c r="H414" s="4"/>
      <c r="I414" s="4"/>
      <c r="J414" s="4"/>
    </row>
    <row r="415" spans="1:10" x14ac:dyDescent="0.2">
      <c r="A415" t="e">
        <f>LEFT(#REF!,10)</f>
        <v>#REF!</v>
      </c>
      <c r="B415" s="4" t="e">
        <f>(#REF!-#REF!)/#REF!</f>
        <v>#REF!</v>
      </c>
      <c r="C415" s="4" t="e">
        <f>(#REF!-#REF!)/#REF!</f>
        <v>#REF!</v>
      </c>
      <c r="D415" s="4" t="e">
        <f>LN(#REF!/#REF!)</f>
        <v>#REF!</v>
      </c>
      <c r="E415" s="4" t="e">
        <f t="shared" si="7"/>
        <v>#REF!</v>
      </c>
      <c r="F415" s="4" t="e" cm="1">
        <f t="array" ref="F415">AVERAGE(B415:B1922-$I$4/252)/_xlfn.STDEV.S(B415:B1922-$I$4)</f>
        <v>#REF!</v>
      </c>
      <c r="G415" s="4"/>
      <c r="H415" s="4"/>
      <c r="I415" s="4"/>
      <c r="J415" s="4"/>
    </row>
    <row r="416" spans="1:10" x14ac:dyDescent="0.2">
      <c r="A416" t="e">
        <f>LEFT(#REF!,10)</f>
        <v>#REF!</v>
      </c>
      <c r="B416" s="4" t="e">
        <f>(#REF!-#REF!)/#REF!</f>
        <v>#REF!</v>
      </c>
      <c r="C416" s="4" t="e">
        <f>(#REF!-#REF!)/#REF!</f>
        <v>#REF!</v>
      </c>
      <c r="D416" s="4" t="e">
        <f>LN(#REF!/#REF!)</f>
        <v>#REF!</v>
      </c>
      <c r="E416" s="4" t="e">
        <f t="shared" si="7"/>
        <v>#REF!</v>
      </c>
      <c r="F416" s="4" t="e" cm="1">
        <f t="array" ref="F416">AVERAGE(B416:B1923-$I$4/252)/_xlfn.STDEV.S(B416:B1923-$I$4)</f>
        <v>#REF!</v>
      </c>
      <c r="G416" s="4"/>
      <c r="H416" s="4"/>
      <c r="I416" s="4"/>
      <c r="J416" s="4"/>
    </row>
    <row r="417" spans="1:10" x14ac:dyDescent="0.2">
      <c r="A417" t="e">
        <f>LEFT(#REF!,10)</f>
        <v>#REF!</v>
      </c>
      <c r="B417" s="4" t="e">
        <f>(#REF!-#REF!)/#REF!</f>
        <v>#REF!</v>
      </c>
      <c r="C417" s="4" t="e">
        <f>(#REF!-#REF!)/#REF!</f>
        <v>#REF!</v>
      </c>
      <c r="D417" s="4" t="e">
        <f>LN(#REF!/#REF!)</f>
        <v>#REF!</v>
      </c>
      <c r="E417" s="4" t="e">
        <f t="shared" si="7"/>
        <v>#REF!</v>
      </c>
      <c r="F417" s="4" t="e" cm="1">
        <f t="array" ref="F417">AVERAGE(B417:B1924-$I$4/252)/_xlfn.STDEV.S(B417:B1924-$I$4)</f>
        <v>#REF!</v>
      </c>
      <c r="G417" s="4"/>
      <c r="H417" s="4"/>
      <c r="I417" s="4"/>
      <c r="J417" s="4"/>
    </row>
    <row r="418" spans="1:10" x14ac:dyDescent="0.2">
      <c r="A418" t="e">
        <f>LEFT(#REF!,10)</f>
        <v>#REF!</v>
      </c>
      <c r="B418" s="4" t="e">
        <f>(#REF!-#REF!)/#REF!</f>
        <v>#REF!</v>
      </c>
      <c r="C418" s="4" t="e">
        <f>(#REF!-#REF!)/#REF!</f>
        <v>#REF!</v>
      </c>
      <c r="D418" s="4" t="e">
        <f>LN(#REF!/#REF!)</f>
        <v>#REF!</v>
      </c>
      <c r="E418" s="4" t="e">
        <f t="shared" si="7"/>
        <v>#REF!</v>
      </c>
      <c r="F418" s="4" t="e" cm="1">
        <f t="array" ref="F418">AVERAGE(B418:B1925-$I$4/252)/_xlfn.STDEV.S(B418:B1925-$I$4)</f>
        <v>#REF!</v>
      </c>
      <c r="G418" s="4"/>
      <c r="H418" s="4"/>
      <c r="I418" s="4"/>
      <c r="J418" s="4"/>
    </row>
    <row r="419" spans="1:10" x14ac:dyDescent="0.2">
      <c r="A419" t="e">
        <f>LEFT(#REF!,10)</f>
        <v>#REF!</v>
      </c>
      <c r="B419" s="4" t="e">
        <f>(#REF!-#REF!)/#REF!</f>
        <v>#REF!</v>
      </c>
      <c r="C419" s="4" t="e">
        <f>(#REF!-#REF!)/#REF!</f>
        <v>#REF!</v>
      </c>
      <c r="D419" s="4" t="e">
        <f>LN(#REF!/#REF!)</f>
        <v>#REF!</v>
      </c>
      <c r="E419" s="4" t="e">
        <f t="shared" si="7"/>
        <v>#REF!</v>
      </c>
      <c r="F419" s="4" t="e" cm="1">
        <f t="array" ref="F419">AVERAGE(B419:B1926-$I$4/252)/_xlfn.STDEV.S(B419:B1926-$I$4)</f>
        <v>#REF!</v>
      </c>
      <c r="G419" s="4"/>
      <c r="H419" s="4"/>
      <c r="I419" s="4"/>
      <c r="J419" s="4"/>
    </row>
    <row r="420" spans="1:10" x14ac:dyDescent="0.2">
      <c r="A420" t="e">
        <f>LEFT(#REF!,10)</f>
        <v>#REF!</v>
      </c>
      <c r="B420" s="4" t="e">
        <f>(#REF!-#REF!)/#REF!</f>
        <v>#REF!</v>
      </c>
      <c r="C420" s="4" t="e">
        <f>(#REF!-#REF!)/#REF!</f>
        <v>#REF!</v>
      </c>
      <c r="D420" s="4" t="e">
        <f>LN(#REF!/#REF!)</f>
        <v>#REF!</v>
      </c>
      <c r="E420" s="4" t="e">
        <f t="shared" si="7"/>
        <v>#REF!</v>
      </c>
      <c r="F420" s="4" t="e" cm="1">
        <f t="array" ref="F420">AVERAGE(B420:B1927-$I$4/252)/_xlfn.STDEV.S(B420:B1927-$I$4)</f>
        <v>#REF!</v>
      </c>
      <c r="G420" s="4"/>
      <c r="H420" s="4"/>
      <c r="I420" s="4"/>
      <c r="J420" s="4"/>
    </row>
    <row r="421" spans="1:10" x14ac:dyDescent="0.2">
      <c r="A421" t="e">
        <f>LEFT(#REF!,10)</f>
        <v>#REF!</v>
      </c>
      <c r="B421" s="4" t="e">
        <f>(#REF!-#REF!)/#REF!</f>
        <v>#REF!</v>
      </c>
      <c r="C421" s="4" t="e">
        <f>(#REF!-#REF!)/#REF!</f>
        <v>#REF!</v>
      </c>
      <c r="D421" s="4" t="e">
        <f>LN(#REF!/#REF!)</f>
        <v>#REF!</v>
      </c>
      <c r="E421" s="4" t="e">
        <f t="shared" si="7"/>
        <v>#REF!</v>
      </c>
      <c r="F421" s="4" t="e" cm="1">
        <f t="array" ref="F421">AVERAGE(B421:B1928-$I$4/252)/_xlfn.STDEV.S(B421:B1928-$I$4)</f>
        <v>#REF!</v>
      </c>
      <c r="G421" s="4"/>
      <c r="H421" s="4"/>
      <c r="I421" s="4"/>
      <c r="J421" s="4"/>
    </row>
    <row r="422" spans="1:10" x14ac:dyDescent="0.2">
      <c r="A422" t="e">
        <f>LEFT(#REF!,10)</f>
        <v>#REF!</v>
      </c>
      <c r="B422" s="4" t="e">
        <f>(#REF!-#REF!)/#REF!</f>
        <v>#REF!</v>
      </c>
      <c r="C422" s="4" t="e">
        <f>(#REF!-#REF!)/#REF!</f>
        <v>#REF!</v>
      </c>
      <c r="D422" s="4" t="e">
        <f>LN(#REF!/#REF!)</f>
        <v>#REF!</v>
      </c>
      <c r="E422" s="4" t="e">
        <f t="shared" si="7"/>
        <v>#REF!</v>
      </c>
      <c r="F422" s="4" t="e" cm="1">
        <f t="array" ref="F422">AVERAGE(B422:B1929-$I$4/252)/_xlfn.STDEV.S(B422:B1929-$I$4)</f>
        <v>#REF!</v>
      </c>
      <c r="G422" s="4"/>
      <c r="H422" s="4"/>
      <c r="I422" s="4"/>
      <c r="J422" s="4"/>
    </row>
    <row r="423" spans="1:10" x14ac:dyDescent="0.2">
      <c r="A423" t="e">
        <f>LEFT(#REF!,10)</f>
        <v>#REF!</v>
      </c>
      <c r="B423" s="4" t="e">
        <f>(#REF!-#REF!)/#REF!</f>
        <v>#REF!</v>
      </c>
      <c r="C423" s="4" t="e">
        <f>(#REF!-#REF!)/#REF!</f>
        <v>#REF!</v>
      </c>
      <c r="D423" s="4" t="e">
        <f>LN(#REF!/#REF!)</f>
        <v>#REF!</v>
      </c>
      <c r="E423" s="4" t="e">
        <f t="shared" si="7"/>
        <v>#REF!</v>
      </c>
      <c r="F423" s="4" t="e" cm="1">
        <f t="array" ref="F423">AVERAGE(B423:B1930-$I$4/252)/_xlfn.STDEV.S(B423:B1930-$I$4)</f>
        <v>#REF!</v>
      </c>
      <c r="G423" s="4"/>
      <c r="H423" s="4"/>
      <c r="I423" s="4"/>
      <c r="J423" s="4"/>
    </row>
    <row r="424" spans="1:10" x14ac:dyDescent="0.2">
      <c r="A424" t="e">
        <f>LEFT(#REF!,10)</f>
        <v>#REF!</v>
      </c>
      <c r="B424" s="4" t="e">
        <f>(#REF!-#REF!)/#REF!</f>
        <v>#REF!</v>
      </c>
      <c r="C424" s="4" t="e">
        <f>(#REF!-#REF!)/#REF!</f>
        <v>#REF!</v>
      </c>
      <c r="D424" s="4" t="e">
        <f>LN(#REF!/#REF!)</f>
        <v>#REF!</v>
      </c>
      <c r="E424" s="4" t="e">
        <f t="shared" si="7"/>
        <v>#REF!</v>
      </c>
      <c r="F424" s="4" t="e" cm="1">
        <f t="array" ref="F424">AVERAGE(B424:B1931-$I$4/252)/_xlfn.STDEV.S(B424:B1931-$I$4)</f>
        <v>#REF!</v>
      </c>
      <c r="G424" s="4"/>
      <c r="H424" s="4"/>
      <c r="I424" s="4"/>
      <c r="J424" s="4"/>
    </row>
    <row r="425" spans="1:10" x14ac:dyDescent="0.2">
      <c r="A425" t="e">
        <f>LEFT(#REF!,10)</f>
        <v>#REF!</v>
      </c>
      <c r="B425" s="4" t="e">
        <f>(#REF!-#REF!)/#REF!</f>
        <v>#REF!</v>
      </c>
      <c r="C425" s="4" t="e">
        <f>(#REF!-#REF!)/#REF!</f>
        <v>#REF!</v>
      </c>
      <c r="D425" s="4" t="e">
        <f>LN(#REF!/#REF!)</f>
        <v>#REF!</v>
      </c>
      <c r="E425" s="4" t="e">
        <f t="shared" si="7"/>
        <v>#REF!</v>
      </c>
      <c r="F425" s="4" t="e" cm="1">
        <f t="array" ref="F425">AVERAGE(B425:B1932-$I$4/252)/_xlfn.STDEV.S(B425:B1932-$I$4)</f>
        <v>#REF!</v>
      </c>
      <c r="G425" s="4"/>
      <c r="H425" s="4"/>
      <c r="I425" s="4"/>
      <c r="J425" s="4"/>
    </row>
    <row r="426" spans="1:10" x14ac:dyDescent="0.2">
      <c r="A426" t="e">
        <f>LEFT(#REF!,10)</f>
        <v>#REF!</v>
      </c>
      <c r="B426" s="4" t="e">
        <f>(#REF!-#REF!)/#REF!</f>
        <v>#REF!</v>
      </c>
      <c r="C426" s="4" t="e">
        <f>(#REF!-#REF!)/#REF!</f>
        <v>#REF!</v>
      </c>
      <c r="D426" s="4" t="e">
        <f>LN(#REF!/#REF!)</f>
        <v>#REF!</v>
      </c>
      <c r="E426" s="4" t="e">
        <f t="shared" si="7"/>
        <v>#REF!</v>
      </c>
      <c r="F426" s="4" t="e" cm="1">
        <f t="array" ref="F426">AVERAGE(B426:B1933-$I$4/252)/_xlfn.STDEV.S(B426:B1933-$I$4)</f>
        <v>#REF!</v>
      </c>
      <c r="G426" s="4"/>
      <c r="H426" s="4"/>
      <c r="I426" s="4"/>
      <c r="J426" s="4"/>
    </row>
    <row r="427" spans="1:10" x14ac:dyDescent="0.2">
      <c r="A427" t="e">
        <f>LEFT(#REF!,10)</f>
        <v>#REF!</v>
      </c>
      <c r="B427" s="4" t="e">
        <f>(#REF!-#REF!)/#REF!</f>
        <v>#REF!</v>
      </c>
      <c r="C427" s="4" t="e">
        <f>(#REF!-#REF!)/#REF!</f>
        <v>#REF!</v>
      </c>
      <c r="D427" s="4" t="e">
        <f>LN(#REF!/#REF!)</f>
        <v>#REF!</v>
      </c>
      <c r="E427" s="4" t="e">
        <f t="shared" si="7"/>
        <v>#REF!</v>
      </c>
      <c r="F427" s="4" t="e" cm="1">
        <f t="array" ref="F427">AVERAGE(B427:B1934-$I$4/252)/_xlfn.STDEV.S(B427:B1934-$I$4)</f>
        <v>#REF!</v>
      </c>
      <c r="G427" s="4"/>
      <c r="H427" s="4"/>
      <c r="I427" s="4"/>
      <c r="J427" s="4"/>
    </row>
    <row r="428" spans="1:10" x14ac:dyDescent="0.2">
      <c r="A428" t="e">
        <f>LEFT(#REF!,10)</f>
        <v>#REF!</v>
      </c>
      <c r="B428" s="4" t="e">
        <f>(#REF!-#REF!)/#REF!</f>
        <v>#REF!</v>
      </c>
      <c r="C428" s="4" t="e">
        <f>(#REF!-#REF!)/#REF!</f>
        <v>#REF!</v>
      </c>
      <c r="D428" s="4" t="e">
        <f>LN(#REF!/#REF!)</f>
        <v>#REF!</v>
      </c>
      <c r="E428" s="4" t="e">
        <f t="shared" si="7"/>
        <v>#REF!</v>
      </c>
      <c r="F428" s="4" t="e" cm="1">
        <f t="array" ref="F428">AVERAGE(B428:B1935-$I$4/252)/_xlfn.STDEV.S(B428:B1935-$I$4)</f>
        <v>#REF!</v>
      </c>
      <c r="G428" s="4"/>
      <c r="H428" s="4"/>
      <c r="I428" s="4"/>
      <c r="J428" s="4"/>
    </row>
    <row r="429" spans="1:10" x14ac:dyDescent="0.2">
      <c r="A429" t="e">
        <f>LEFT(#REF!,10)</f>
        <v>#REF!</v>
      </c>
      <c r="B429" s="4" t="e">
        <f>(#REF!-#REF!)/#REF!</f>
        <v>#REF!</v>
      </c>
      <c r="C429" s="4" t="e">
        <f>(#REF!-#REF!)/#REF!</f>
        <v>#REF!</v>
      </c>
      <c r="D429" s="4" t="e">
        <f>LN(#REF!/#REF!)</f>
        <v>#REF!</v>
      </c>
      <c r="E429" s="4" t="e">
        <f t="shared" si="7"/>
        <v>#REF!</v>
      </c>
      <c r="F429" s="4" t="e" cm="1">
        <f t="array" ref="F429">AVERAGE(B429:B1936-$I$4/252)/_xlfn.STDEV.S(B429:B1936-$I$4)</f>
        <v>#REF!</v>
      </c>
      <c r="G429" s="4"/>
      <c r="H429" s="4"/>
      <c r="I429" s="4"/>
      <c r="J429" s="4"/>
    </row>
    <row r="430" spans="1:10" x14ac:dyDescent="0.2">
      <c r="A430" t="e">
        <f>LEFT(#REF!,10)</f>
        <v>#REF!</v>
      </c>
      <c r="B430" s="4" t="e">
        <f>(#REF!-#REF!)/#REF!</f>
        <v>#REF!</v>
      </c>
      <c r="C430" s="4" t="e">
        <f>(#REF!-#REF!)/#REF!</f>
        <v>#REF!</v>
      </c>
      <c r="D430" s="4" t="e">
        <f>LN(#REF!/#REF!)</f>
        <v>#REF!</v>
      </c>
      <c r="E430" s="4" t="e">
        <f t="shared" si="7"/>
        <v>#REF!</v>
      </c>
      <c r="F430" s="4" t="e" cm="1">
        <f t="array" ref="F430">AVERAGE(B430:B1937-$I$4/252)/_xlfn.STDEV.S(B430:B1937-$I$4)</f>
        <v>#REF!</v>
      </c>
      <c r="G430" s="4"/>
      <c r="H430" s="4"/>
      <c r="I430" s="4"/>
      <c r="J430" s="4"/>
    </row>
    <row r="431" spans="1:10" x14ac:dyDescent="0.2">
      <c r="A431" t="e">
        <f>LEFT(#REF!,10)</f>
        <v>#REF!</v>
      </c>
      <c r="B431" s="4" t="e">
        <f>(#REF!-#REF!)/#REF!</f>
        <v>#REF!</v>
      </c>
      <c r="C431" s="4" t="e">
        <f>(#REF!-#REF!)/#REF!</f>
        <v>#REF!</v>
      </c>
      <c r="D431" s="4" t="e">
        <f>LN(#REF!/#REF!)</f>
        <v>#REF!</v>
      </c>
      <c r="E431" s="4" t="e">
        <f t="shared" si="7"/>
        <v>#REF!</v>
      </c>
      <c r="F431" s="4" t="e" cm="1">
        <f t="array" ref="F431">AVERAGE(B431:B1938-$I$4/252)/_xlfn.STDEV.S(B431:B1938-$I$4)</f>
        <v>#REF!</v>
      </c>
      <c r="G431" s="4"/>
      <c r="H431" s="4"/>
      <c r="I431" s="4"/>
      <c r="J431" s="4"/>
    </row>
    <row r="432" spans="1:10" x14ac:dyDescent="0.2">
      <c r="A432" t="e">
        <f>LEFT(#REF!,10)</f>
        <v>#REF!</v>
      </c>
      <c r="B432" s="4" t="e">
        <f>(#REF!-#REF!)/#REF!</f>
        <v>#REF!</v>
      </c>
      <c r="C432" s="4" t="e">
        <f>(#REF!-#REF!)/#REF!</f>
        <v>#REF!</v>
      </c>
      <c r="D432" s="4" t="e">
        <f>LN(#REF!/#REF!)</f>
        <v>#REF!</v>
      </c>
      <c r="E432" s="4" t="e">
        <f t="shared" si="7"/>
        <v>#REF!</v>
      </c>
      <c r="F432" s="4" t="e" cm="1">
        <f t="array" ref="F432">AVERAGE(B432:B1939-$I$4/252)/_xlfn.STDEV.S(B432:B1939-$I$4)</f>
        <v>#REF!</v>
      </c>
      <c r="G432" s="4"/>
      <c r="H432" s="4"/>
      <c r="I432" s="4"/>
      <c r="J432" s="4"/>
    </row>
    <row r="433" spans="1:10" x14ac:dyDescent="0.2">
      <c r="A433" t="e">
        <f>LEFT(#REF!,10)</f>
        <v>#REF!</v>
      </c>
      <c r="B433" s="4" t="e">
        <f>(#REF!-#REF!)/#REF!</f>
        <v>#REF!</v>
      </c>
      <c r="C433" s="4" t="e">
        <f>(#REF!-#REF!)/#REF!</f>
        <v>#REF!</v>
      </c>
      <c r="D433" s="4" t="e">
        <f>LN(#REF!/#REF!)</f>
        <v>#REF!</v>
      </c>
      <c r="E433" s="4" t="e">
        <f t="shared" si="7"/>
        <v>#REF!</v>
      </c>
      <c r="F433" s="4" t="e" cm="1">
        <f t="array" ref="F433">AVERAGE(B433:B1940-$I$4/252)/_xlfn.STDEV.S(B433:B1940-$I$4)</f>
        <v>#REF!</v>
      </c>
      <c r="G433" s="4"/>
      <c r="H433" s="4"/>
      <c r="I433" s="4"/>
      <c r="J433" s="4"/>
    </row>
    <row r="434" spans="1:10" x14ac:dyDescent="0.2">
      <c r="A434" t="e">
        <f>LEFT(#REF!,10)</f>
        <v>#REF!</v>
      </c>
      <c r="B434" s="4" t="e">
        <f>(#REF!-#REF!)/#REF!</f>
        <v>#REF!</v>
      </c>
      <c r="C434" s="4" t="e">
        <f>(#REF!-#REF!)/#REF!</f>
        <v>#REF!</v>
      </c>
      <c r="D434" s="4" t="e">
        <f>LN(#REF!/#REF!)</f>
        <v>#REF!</v>
      </c>
      <c r="E434" s="4" t="e">
        <f t="shared" si="7"/>
        <v>#REF!</v>
      </c>
      <c r="F434" s="4" t="e" cm="1">
        <f t="array" ref="F434">AVERAGE(B434:B1941-$I$4/252)/_xlfn.STDEV.S(B434:B1941-$I$4)</f>
        <v>#REF!</v>
      </c>
      <c r="G434" s="4"/>
      <c r="H434" s="4"/>
      <c r="I434" s="4"/>
      <c r="J434" s="4"/>
    </row>
    <row r="435" spans="1:10" x14ac:dyDescent="0.2">
      <c r="A435" t="e">
        <f>LEFT(#REF!,10)</f>
        <v>#REF!</v>
      </c>
      <c r="B435" s="4" t="e">
        <f>(#REF!-#REF!)/#REF!</f>
        <v>#REF!</v>
      </c>
      <c r="C435" s="4" t="e">
        <f>(#REF!-#REF!)/#REF!</f>
        <v>#REF!</v>
      </c>
      <c r="D435" s="4" t="e">
        <f>LN(#REF!/#REF!)</f>
        <v>#REF!</v>
      </c>
      <c r="E435" s="4" t="e">
        <f t="shared" si="7"/>
        <v>#REF!</v>
      </c>
      <c r="F435" s="4" t="e" cm="1">
        <f t="array" ref="F435">AVERAGE(B435:B1942-$I$4/252)/_xlfn.STDEV.S(B435:B1942-$I$4)</f>
        <v>#REF!</v>
      </c>
      <c r="G435" s="4"/>
      <c r="H435" s="4"/>
      <c r="I435" s="4"/>
      <c r="J435" s="4"/>
    </row>
    <row r="436" spans="1:10" x14ac:dyDescent="0.2">
      <c r="A436" t="e">
        <f>LEFT(#REF!,10)</f>
        <v>#REF!</v>
      </c>
      <c r="B436" s="4" t="e">
        <f>(#REF!-#REF!)/#REF!</f>
        <v>#REF!</v>
      </c>
      <c r="C436" s="4" t="e">
        <f>(#REF!-#REF!)/#REF!</f>
        <v>#REF!</v>
      </c>
      <c r="D436" s="4" t="e">
        <f>LN(#REF!/#REF!)</f>
        <v>#REF!</v>
      </c>
      <c r="E436" s="4" t="e">
        <f t="shared" si="7"/>
        <v>#REF!</v>
      </c>
      <c r="F436" s="4" t="e" cm="1">
        <f t="array" ref="F436">AVERAGE(B436:B1943-$I$4/252)/_xlfn.STDEV.S(B436:B1943-$I$4)</f>
        <v>#REF!</v>
      </c>
      <c r="G436" s="4"/>
      <c r="H436" s="4"/>
      <c r="I436" s="4"/>
      <c r="J436" s="4"/>
    </row>
    <row r="437" spans="1:10" x14ac:dyDescent="0.2">
      <c r="A437" t="e">
        <f>LEFT(#REF!,10)</f>
        <v>#REF!</v>
      </c>
      <c r="B437" s="4" t="e">
        <f>(#REF!-#REF!)/#REF!</f>
        <v>#REF!</v>
      </c>
      <c r="C437" s="4" t="e">
        <f>(#REF!-#REF!)/#REF!</f>
        <v>#REF!</v>
      </c>
      <c r="D437" s="4" t="e">
        <f>LN(#REF!/#REF!)</f>
        <v>#REF!</v>
      </c>
      <c r="E437" s="4" t="e">
        <f t="shared" si="7"/>
        <v>#REF!</v>
      </c>
      <c r="F437" s="4" t="e" cm="1">
        <f t="array" ref="F437">AVERAGE(B437:B1944-$I$4/252)/_xlfn.STDEV.S(B437:B1944-$I$4)</f>
        <v>#REF!</v>
      </c>
      <c r="G437" s="4"/>
      <c r="H437" s="4"/>
      <c r="I437" s="4"/>
      <c r="J437" s="4"/>
    </row>
    <row r="438" spans="1:10" x14ac:dyDescent="0.2">
      <c r="A438" t="e">
        <f>LEFT(#REF!,10)</f>
        <v>#REF!</v>
      </c>
      <c r="B438" s="4" t="e">
        <f>(#REF!-#REF!)/#REF!</f>
        <v>#REF!</v>
      </c>
      <c r="C438" s="4" t="e">
        <f>(#REF!-#REF!)/#REF!</f>
        <v>#REF!</v>
      </c>
      <c r="D438" s="4" t="e">
        <f>LN(#REF!/#REF!)</f>
        <v>#REF!</v>
      </c>
      <c r="E438" s="4" t="e">
        <f t="shared" si="7"/>
        <v>#REF!</v>
      </c>
      <c r="F438" s="4" t="e" cm="1">
        <f t="array" ref="F438">AVERAGE(B438:B1945-$I$4/252)/_xlfn.STDEV.S(B438:B1945-$I$4)</f>
        <v>#REF!</v>
      </c>
      <c r="G438" s="4"/>
      <c r="H438" s="4"/>
      <c r="I438" s="4"/>
      <c r="J438" s="4"/>
    </row>
    <row r="439" spans="1:10" x14ac:dyDescent="0.2">
      <c r="A439" t="e">
        <f>LEFT(#REF!,10)</f>
        <v>#REF!</v>
      </c>
      <c r="B439" s="4" t="e">
        <f>(#REF!-#REF!)/#REF!</f>
        <v>#REF!</v>
      </c>
      <c r="C439" s="4" t="e">
        <f>(#REF!-#REF!)/#REF!</f>
        <v>#REF!</v>
      </c>
      <c r="D439" s="4" t="e">
        <f>LN(#REF!/#REF!)</f>
        <v>#REF!</v>
      </c>
      <c r="E439" s="4" t="e">
        <f t="shared" si="7"/>
        <v>#REF!</v>
      </c>
      <c r="F439" s="4" t="e" cm="1">
        <f t="array" ref="F439">AVERAGE(B439:B1946-$I$4/252)/_xlfn.STDEV.S(B439:B1946-$I$4)</f>
        <v>#REF!</v>
      </c>
      <c r="G439" s="4"/>
      <c r="H439" s="4"/>
      <c r="I439" s="4"/>
      <c r="J439" s="4"/>
    </row>
    <row r="440" spans="1:10" x14ac:dyDescent="0.2">
      <c r="A440" t="e">
        <f>LEFT(#REF!,10)</f>
        <v>#REF!</v>
      </c>
      <c r="B440" s="4" t="e">
        <f>(#REF!-#REF!)/#REF!</f>
        <v>#REF!</v>
      </c>
      <c r="C440" s="4" t="e">
        <f>(#REF!-#REF!)/#REF!</f>
        <v>#REF!</v>
      </c>
      <c r="D440" s="4" t="e">
        <f>LN(#REF!/#REF!)</f>
        <v>#REF!</v>
      </c>
      <c r="E440" s="4" t="e">
        <f t="shared" si="7"/>
        <v>#REF!</v>
      </c>
      <c r="F440" s="4" t="e" cm="1">
        <f t="array" ref="F440">AVERAGE(B440:B1947-$I$4/252)/_xlfn.STDEV.S(B440:B1947-$I$4)</f>
        <v>#REF!</v>
      </c>
      <c r="G440" s="4"/>
      <c r="H440" s="4"/>
      <c r="I440" s="4"/>
      <c r="J440" s="4"/>
    </row>
    <row r="441" spans="1:10" x14ac:dyDescent="0.2">
      <c r="A441" t="e">
        <f>LEFT(#REF!,10)</f>
        <v>#REF!</v>
      </c>
      <c r="B441" s="4" t="e">
        <f>(#REF!-#REF!)/#REF!</f>
        <v>#REF!</v>
      </c>
      <c r="C441" s="4" t="e">
        <f>(#REF!-#REF!)/#REF!</f>
        <v>#REF!</v>
      </c>
      <c r="D441" s="4" t="e">
        <f>LN(#REF!/#REF!)</f>
        <v>#REF!</v>
      </c>
      <c r="E441" s="4" t="e">
        <f t="shared" si="7"/>
        <v>#REF!</v>
      </c>
      <c r="F441" s="4" t="e" cm="1">
        <f t="array" ref="F441">AVERAGE(B441:B1948-$I$4/252)/_xlfn.STDEV.S(B441:B1948-$I$4)</f>
        <v>#REF!</v>
      </c>
      <c r="G441" s="4"/>
      <c r="H441" s="4"/>
      <c r="I441" s="4"/>
      <c r="J441" s="4"/>
    </row>
    <row r="442" spans="1:10" x14ac:dyDescent="0.2">
      <c r="A442" t="e">
        <f>LEFT(#REF!,10)</f>
        <v>#REF!</v>
      </c>
      <c r="B442" s="4" t="e">
        <f>(#REF!-#REF!)/#REF!</f>
        <v>#REF!</v>
      </c>
      <c r="C442" s="4" t="e">
        <f>(#REF!-#REF!)/#REF!</f>
        <v>#REF!</v>
      </c>
      <c r="D442" s="4" t="e">
        <f>LN(#REF!/#REF!)</f>
        <v>#REF!</v>
      </c>
      <c r="E442" s="4" t="e">
        <f t="shared" si="7"/>
        <v>#REF!</v>
      </c>
      <c r="F442" s="4" t="e" cm="1">
        <f t="array" ref="F442">AVERAGE(B442:B1949-$I$4/252)/_xlfn.STDEV.S(B442:B1949-$I$4)</f>
        <v>#REF!</v>
      </c>
      <c r="G442" s="4"/>
      <c r="H442" s="4"/>
      <c r="I442" s="4"/>
      <c r="J442" s="4"/>
    </row>
    <row r="443" spans="1:10" x14ac:dyDescent="0.2">
      <c r="A443" t="e">
        <f>LEFT(#REF!,10)</f>
        <v>#REF!</v>
      </c>
      <c r="B443" s="4" t="e">
        <f>(#REF!-#REF!)/#REF!</f>
        <v>#REF!</v>
      </c>
      <c r="C443" s="4" t="e">
        <f>(#REF!-#REF!)/#REF!</f>
        <v>#REF!</v>
      </c>
      <c r="D443" s="4" t="e">
        <f>LN(#REF!/#REF!)</f>
        <v>#REF!</v>
      </c>
      <c r="E443" s="4" t="e">
        <f t="shared" si="7"/>
        <v>#REF!</v>
      </c>
      <c r="F443" s="4" t="e" cm="1">
        <f t="array" ref="F443">AVERAGE(B443:B1950-$I$4/252)/_xlfn.STDEV.S(B443:B1950-$I$4)</f>
        <v>#REF!</v>
      </c>
      <c r="G443" s="4"/>
      <c r="H443" s="4"/>
      <c r="I443" s="4"/>
      <c r="J443" s="4"/>
    </row>
    <row r="444" spans="1:10" x14ac:dyDescent="0.2">
      <c r="A444" t="e">
        <f>LEFT(#REF!,10)</f>
        <v>#REF!</v>
      </c>
      <c r="B444" s="4" t="e">
        <f>(#REF!-#REF!)/#REF!</f>
        <v>#REF!</v>
      </c>
      <c r="C444" s="4" t="e">
        <f>(#REF!-#REF!)/#REF!</f>
        <v>#REF!</v>
      </c>
      <c r="D444" s="4" t="e">
        <f>LN(#REF!/#REF!)</f>
        <v>#REF!</v>
      </c>
      <c r="E444" s="4" t="e">
        <f t="shared" si="7"/>
        <v>#REF!</v>
      </c>
      <c r="F444" s="4" t="e" cm="1">
        <f t="array" ref="F444">AVERAGE(B444:B1951-$I$4/252)/_xlfn.STDEV.S(B444:B1951-$I$4)</f>
        <v>#REF!</v>
      </c>
      <c r="G444" s="4"/>
      <c r="H444" s="4"/>
      <c r="I444" s="4"/>
      <c r="J444" s="4"/>
    </row>
    <row r="445" spans="1:10" x14ac:dyDescent="0.2">
      <c r="A445" t="e">
        <f>LEFT(#REF!,10)</f>
        <v>#REF!</v>
      </c>
      <c r="B445" s="4" t="e">
        <f>(#REF!-#REF!)/#REF!</f>
        <v>#REF!</v>
      </c>
      <c r="C445" s="4" t="e">
        <f>(#REF!-#REF!)/#REF!</f>
        <v>#REF!</v>
      </c>
      <c r="D445" s="4" t="e">
        <f>LN(#REF!/#REF!)</f>
        <v>#REF!</v>
      </c>
      <c r="E445" s="4" t="e">
        <f t="shared" si="7"/>
        <v>#REF!</v>
      </c>
      <c r="F445" s="4" t="e" cm="1">
        <f t="array" ref="F445">AVERAGE(B445:B1952-$I$4/252)/_xlfn.STDEV.S(B445:B1952-$I$4)</f>
        <v>#REF!</v>
      </c>
      <c r="G445" s="4"/>
      <c r="H445" s="4"/>
      <c r="I445" s="4"/>
      <c r="J445" s="4"/>
    </row>
    <row r="446" spans="1:10" x14ac:dyDescent="0.2">
      <c r="A446" t="e">
        <f>LEFT(#REF!,10)</f>
        <v>#REF!</v>
      </c>
      <c r="B446" s="4" t="e">
        <f>(#REF!-#REF!)/#REF!</f>
        <v>#REF!</v>
      </c>
      <c r="C446" s="4" t="e">
        <f>(#REF!-#REF!)/#REF!</f>
        <v>#REF!</v>
      </c>
      <c r="D446" s="4" t="e">
        <f>LN(#REF!/#REF!)</f>
        <v>#REF!</v>
      </c>
      <c r="E446" s="4" t="e">
        <f t="shared" si="7"/>
        <v>#REF!</v>
      </c>
      <c r="F446" s="4" t="e" cm="1">
        <f t="array" ref="F446">AVERAGE(B446:B1953-$I$4/252)/_xlfn.STDEV.S(B446:B1953-$I$4)</f>
        <v>#REF!</v>
      </c>
      <c r="G446" s="4"/>
      <c r="H446" s="4"/>
      <c r="I446" s="4"/>
      <c r="J446" s="4"/>
    </row>
    <row r="447" spans="1:10" x14ac:dyDescent="0.2">
      <c r="A447" t="e">
        <f>LEFT(#REF!,10)</f>
        <v>#REF!</v>
      </c>
      <c r="B447" s="4" t="e">
        <f>(#REF!-#REF!)/#REF!</f>
        <v>#REF!</v>
      </c>
      <c r="C447" s="4" t="e">
        <f>(#REF!-#REF!)/#REF!</f>
        <v>#REF!</v>
      </c>
      <c r="D447" s="4" t="e">
        <f>LN(#REF!/#REF!)</f>
        <v>#REF!</v>
      </c>
      <c r="E447" s="4" t="e">
        <f t="shared" si="7"/>
        <v>#REF!</v>
      </c>
      <c r="F447" s="4" t="e" cm="1">
        <f t="array" ref="F447">AVERAGE(B447:B1954-$I$4/252)/_xlfn.STDEV.S(B447:B1954-$I$4)</f>
        <v>#REF!</v>
      </c>
      <c r="G447" s="4"/>
      <c r="H447" s="4"/>
      <c r="I447" s="4"/>
      <c r="J447" s="4"/>
    </row>
    <row r="448" spans="1:10" x14ac:dyDescent="0.2">
      <c r="A448" t="e">
        <f>LEFT(#REF!,10)</f>
        <v>#REF!</v>
      </c>
      <c r="B448" s="4" t="e">
        <f>(#REF!-#REF!)/#REF!</f>
        <v>#REF!</v>
      </c>
      <c r="C448" s="4" t="e">
        <f>(#REF!-#REF!)/#REF!</f>
        <v>#REF!</v>
      </c>
      <c r="D448" s="4" t="e">
        <f>LN(#REF!/#REF!)</f>
        <v>#REF!</v>
      </c>
      <c r="E448" s="4" t="e">
        <f t="shared" si="7"/>
        <v>#REF!</v>
      </c>
      <c r="F448" s="4" t="e" cm="1">
        <f t="array" ref="F448">AVERAGE(B448:B1955-$I$4/252)/_xlfn.STDEV.S(B448:B1955-$I$4)</f>
        <v>#REF!</v>
      </c>
      <c r="G448" s="4"/>
      <c r="H448" s="4"/>
      <c r="I448" s="4"/>
      <c r="J448" s="4"/>
    </row>
    <row r="449" spans="1:10" x14ac:dyDescent="0.2">
      <c r="A449" t="e">
        <f>LEFT(#REF!,10)</f>
        <v>#REF!</v>
      </c>
      <c r="B449" s="4" t="e">
        <f>(#REF!-#REF!)/#REF!</f>
        <v>#REF!</v>
      </c>
      <c r="C449" s="4" t="e">
        <f>(#REF!-#REF!)/#REF!</f>
        <v>#REF!</v>
      </c>
      <c r="D449" s="4" t="e">
        <f>LN(#REF!/#REF!)</f>
        <v>#REF!</v>
      </c>
      <c r="E449" s="4" t="e">
        <f t="shared" si="7"/>
        <v>#REF!</v>
      </c>
      <c r="F449" s="4" t="e" cm="1">
        <f t="array" ref="F449">AVERAGE(B449:B1956-$I$4/252)/_xlfn.STDEV.S(B449:B1956-$I$4)</f>
        <v>#REF!</v>
      </c>
      <c r="G449" s="4"/>
      <c r="H449" s="4"/>
      <c r="I449" s="4"/>
      <c r="J449" s="4"/>
    </row>
    <row r="450" spans="1:10" x14ac:dyDescent="0.2">
      <c r="A450" t="e">
        <f>LEFT(#REF!,10)</f>
        <v>#REF!</v>
      </c>
      <c r="B450" s="4" t="e">
        <f>(#REF!-#REF!)/#REF!</f>
        <v>#REF!</v>
      </c>
      <c r="C450" s="4" t="e">
        <f>(#REF!-#REF!)/#REF!</f>
        <v>#REF!</v>
      </c>
      <c r="D450" s="4" t="e">
        <f>LN(#REF!/#REF!)</f>
        <v>#REF!</v>
      </c>
      <c r="E450" s="4" t="e">
        <f t="shared" si="7"/>
        <v>#REF!</v>
      </c>
      <c r="F450" s="4" t="e" cm="1">
        <f t="array" ref="F450">AVERAGE(B450:B1957-$I$4/252)/_xlfn.STDEV.S(B450:B1957-$I$4)</f>
        <v>#REF!</v>
      </c>
      <c r="G450" s="4"/>
      <c r="H450" s="4"/>
      <c r="I450" s="4"/>
      <c r="J450" s="4"/>
    </row>
    <row r="451" spans="1:10" x14ac:dyDescent="0.2">
      <c r="A451" t="e">
        <f>LEFT(#REF!,10)</f>
        <v>#REF!</v>
      </c>
      <c r="B451" s="4" t="e">
        <f>(#REF!-#REF!)/#REF!</f>
        <v>#REF!</v>
      </c>
      <c r="C451" s="4" t="e">
        <f>(#REF!-#REF!)/#REF!</f>
        <v>#REF!</v>
      </c>
      <c r="D451" s="4" t="e">
        <f>LN(#REF!/#REF!)</f>
        <v>#REF!</v>
      </c>
      <c r="E451" s="4" t="e">
        <f t="shared" si="7"/>
        <v>#REF!</v>
      </c>
      <c r="F451" s="4" t="e" cm="1">
        <f t="array" ref="F451">AVERAGE(B451:B1958-$I$4/252)/_xlfn.STDEV.S(B451:B1958-$I$4)</f>
        <v>#REF!</v>
      </c>
      <c r="G451" s="4"/>
      <c r="H451" s="4"/>
      <c r="I451" s="4"/>
      <c r="J451" s="4"/>
    </row>
    <row r="452" spans="1:10" x14ac:dyDescent="0.2">
      <c r="A452" t="e">
        <f>LEFT(#REF!,10)</f>
        <v>#REF!</v>
      </c>
      <c r="B452" s="4" t="e">
        <f>(#REF!-#REF!)/#REF!</f>
        <v>#REF!</v>
      </c>
      <c r="C452" s="4" t="e">
        <f>(#REF!-#REF!)/#REF!</f>
        <v>#REF!</v>
      </c>
      <c r="D452" s="4" t="e">
        <f>LN(#REF!/#REF!)</f>
        <v>#REF!</v>
      </c>
      <c r="E452" s="4" t="e">
        <f t="shared" si="7"/>
        <v>#REF!</v>
      </c>
      <c r="F452" s="4" t="e" cm="1">
        <f t="array" ref="F452">AVERAGE(B452:B1959-$I$4/252)/_xlfn.STDEV.S(B452:B1959-$I$4)</f>
        <v>#REF!</v>
      </c>
      <c r="G452" s="4"/>
      <c r="H452" s="4"/>
      <c r="I452" s="4"/>
      <c r="J452" s="4"/>
    </row>
    <row r="453" spans="1:10" x14ac:dyDescent="0.2">
      <c r="A453" t="e">
        <f>LEFT(#REF!,10)</f>
        <v>#REF!</v>
      </c>
      <c r="B453" s="4" t="e">
        <f>(#REF!-#REF!)/#REF!</f>
        <v>#REF!</v>
      </c>
      <c r="C453" s="4" t="e">
        <f>(#REF!-#REF!)/#REF!</f>
        <v>#REF!</v>
      </c>
      <c r="D453" s="4" t="e">
        <f>LN(#REF!/#REF!)</f>
        <v>#REF!</v>
      </c>
      <c r="E453" s="4" t="e">
        <f t="shared" ref="E453:E516" si="8">_xlfn.STDEV.S(D453:D472)</f>
        <v>#REF!</v>
      </c>
      <c r="F453" s="4" t="e" cm="1">
        <f t="array" ref="F453">AVERAGE(B453:B1960-$I$4/252)/_xlfn.STDEV.S(B453:B1960-$I$4)</f>
        <v>#REF!</v>
      </c>
      <c r="G453" s="4"/>
      <c r="H453" s="4"/>
      <c r="I453" s="4"/>
      <c r="J453" s="4"/>
    </row>
    <row r="454" spans="1:10" x14ac:dyDescent="0.2">
      <c r="A454" t="e">
        <f>LEFT(#REF!,10)</f>
        <v>#REF!</v>
      </c>
      <c r="B454" s="4" t="e">
        <f>(#REF!-#REF!)/#REF!</f>
        <v>#REF!</v>
      </c>
      <c r="C454" s="4" t="e">
        <f>(#REF!-#REF!)/#REF!</f>
        <v>#REF!</v>
      </c>
      <c r="D454" s="4" t="e">
        <f>LN(#REF!/#REF!)</f>
        <v>#REF!</v>
      </c>
      <c r="E454" s="4" t="e">
        <f t="shared" si="8"/>
        <v>#REF!</v>
      </c>
      <c r="F454" s="4" t="e" cm="1">
        <f t="array" ref="F454">AVERAGE(B454:B1961-$I$4/252)/_xlfn.STDEV.S(B454:B1961-$I$4)</f>
        <v>#REF!</v>
      </c>
      <c r="G454" s="4"/>
      <c r="H454" s="4"/>
      <c r="I454" s="4"/>
      <c r="J454" s="4"/>
    </row>
    <row r="455" spans="1:10" x14ac:dyDescent="0.2">
      <c r="A455" t="e">
        <f>LEFT(#REF!,10)</f>
        <v>#REF!</v>
      </c>
      <c r="B455" s="4" t="e">
        <f>(#REF!-#REF!)/#REF!</f>
        <v>#REF!</v>
      </c>
      <c r="C455" s="4" t="e">
        <f>(#REF!-#REF!)/#REF!</f>
        <v>#REF!</v>
      </c>
      <c r="D455" s="4" t="e">
        <f>LN(#REF!/#REF!)</f>
        <v>#REF!</v>
      </c>
      <c r="E455" s="4" t="e">
        <f t="shared" si="8"/>
        <v>#REF!</v>
      </c>
      <c r="F455" s="4" t="e" cm="1">
        <f t="array" ref="F455">AVERAGE(B455:B1962-$I$4/252)/_xlfn.STDEV.S(B455:B1962-$I$4)</f>
        <v>#REF!</v>
      </c>
      <c r="G455" s="4"/>
      <c r="H455" s="4"/>
      <c r="I455" s="4"/>
      <c r="J455" s="4"/>
    </row>
    <row r="456" spans="1:10" x14ac:dyDescent="0.2">
      <c r="A456" t="e">
        <f>LEFT(#REF!,10)</f>
        <v>#REF!</v>
      </c>
      <c r="B456" s="4" t="e">
        <f>(#REF!-#REF!)/#REF!</f>
        <v>#REF!</v>
      </c>
      <c r="C456" s="4" t="e">
        <f>(#REF!-#REF!)/#REF!</f>
        <v>#REF!</v>
      </c>
      <c r="D456" s="4" t="e">
        <f>LN(#REF!/#REF!)</f>
        <v>#REF!</v>
      </c>
      <c r="E456" s="4" t="e">
        <f t="shared" si="8"/>
        <v>#REF!</v>
      </c>
      <c r="F456" s="4" t="e" cm="1">
        <f t="array" ref="F456">AVERAGE(B456:B1963-$I$4/252)/_xlfn.STDEV.S(B456:B1963-$I$4)</f>
        <v>#REF!</v>
      </c>
      <c r="G456" s="4"/>
      <c r="H456" s="4"/>
      <c r="I456" s="4"/>
      <c r="J456" s="4"/>
    </row>
    <row r="457" spans="1:10" x14ac:dyDescent="0.2">
      <c r="A457" t="e">
        <f>LEFT(#REF!,10)</f>
        <v>#REF!</v>
      </c>
      <c r="B457" s="4" t="e">
        <f>(#REF!-#REF!)/#REF!</f>
        <v>#REF!</v>
      </c>
      <c r="C457" s="4" t="e">
        <f>(#REF!-#REF!)/#REF!</f>
        <v>#REF!</v>
      </c>
      <c r="D457" s="4" t="e">
        <f>LN(#REF!/#REF!)</f>
        <v>#REF!</v>
      </c>
      <c r="E457" s="4" t="e">
        <f t="shared" si="8"/>
        <v>#REF!</v>
      </c>
      <c r="F457" s="4" t="e" cm="1">
        <f t="array" ref="F457">AVERAGE(B457:B1964-$I$4/252)/_xlfn.STDEV.S(B457:B1964-$I$4)</f>
        <v>#REF!</v>
      </c>
      <c r="G457" s="4"/>
      <c r="H457" s="4"/>
      <c r="I457" s="4"/>
      <c r="J457" s="4"/>
    </row>
    <row r="458" spans="1:10" x14ac:dyDescent="0.2">
      <c r="A458" t="e">
        <f>LEFT(#REF!,10)</f>
        <v>#REF!</v>
      </c>
      <c r="B458" s="4" t="e">
        <f>(#REF!-#REF!)/#REF!</f>
        <v>#REF!</v>
      </c>
      <c r="C458" s="4" t="e">
        <f>(#REF!-#REF!)/#REF!</f>
        <v>#REF!</v>
      </c>
      <c r="D458" s="4" t="e">
        <f>LN(#REF!/#REF!)</f>
        <v>#REF!</v>
      </c>
      <c r="E458" s="4" t="e">
        <f t="shared" si="8"/>
        <v>#REF!</v>
      </c>
      <c r="F458" s="4" t="e" cm="1">
        <f t="array" ref="F458">AVERAGE(B458:B1965-$I$4/252)/_xlfn.STDEV.S(B458:B1965-$I$4)</f>
        <v>#REF!</v>
      </c>
      <c r="G458" s="4"/>
      <c r="H458" s="4"/>
      <c r="I458" s="4"/>
      <c r="J458" s="4"/>
    </row>
    <row r="459" spans="1:10" x14ac:dyDescent="0.2">
      <c r="A459" t="e">
        <f>LEFT(#REF!,10)</f>
        <v>#REF!</v>
      </c>
      <c r="B459" s="4" t="e">
        <f>(#REF!-#REF!)/#REF!</f>
        <v>#REF!</v>
      </c>
      <c r="C459" s="4" t="e">
        <f>(#REF!-#REF!)/#REF!</f>
        <v>#REF!</v>
      </c>
      <c r="D459" s="4" t="e">
        <f>LN(#REF!/#REF!)</f>
        <v>#REF!</v>
      </c>
      <c r="E459" s="4" t="e">
        <f t="shared" si="8"/>
        <v>#REF!</v>
      </c>
      <c r="F459" s="4" t="e" cm="1">
        <f t="array" ref="F459">AVERAGE(B459:B1966-$I$4/252)/_xlfn.STDEV.S(B459:B1966-$I$4)</f>
        <v>#REF!</v>
      </c>
      <c r="G459" s="4"/>
      <c r="H459" s="4"/>
      <c r="I459" s="4"/>
      <c r="J459" s="4"/>
    </row>
    <row r="460" spans="1:10" x14ac:dyDescent="0.2">
      <c r="A460" t="e">
        <f>LEFT(#REF!,10)</f>
        <v>#REF!</v>
      </c>
      <c r="B460" s="4" t="e">
        <f>(#REF!-#REF!)/#REF!</f>
        <v>#REF!</v>
      </c>
      <c r="C460" s="4" t="e">
        <f>(#REF!-#REF!)/#REF!</f>
        <v>#REF!</v>
      </c>
      <c r="D460" s="4" t="e">
        <f>LN(#REF!/#REF!)</f>
        <v>#REF!</v>
      </c>
      <c r="E460" s="4" t="e">
        <f t="shared" si="8"/>
        <v>#REF!</v>
      </c>
      <c r="F460" s="4" t="e" cm="1">
        <f t="array" ref="F460">AVERAGE(B460:B1967-$I$4/252)/_xlfn.STDEV.S(B460:B1967-$I$4)</f>
        <v>#REF!</v>
      </c>
      <c r="G460" s="4"/>
      <c r="H460" s="4"/>
      <c r="I460" s="4"/>
      <c r="J460" s="4"/>
    </row>
    <row r="461" spans="1:10" x14ac:dyDescent="0.2">
      <c r="A461" t="e">
        <f>LEFT(#REF!,10)</f>
        <v>#REF!</v>
      </c>
      <c r="B461" s="4" t="e">
        <f>(#REF!-#REF!)/#REF!</f>
        <v>#REF!</v>
      </c>
      <c r="C461" s="4" t="e">
        <f>(#REF!-#REF!)/#REF!</f>
        <v>#REF!</v>
      </c>
      <c r="D461" s="4" t="e">
        <f>LN(#REF!/#REF!)</f>
        <v>#REF!</v>
      </c>
      <c r="E461" s="4" t="e">
        <f t="shared" si="8"/>
        <v>#REF!</v>
      </c>
      <c r="F461" s="4" t="e" cm="1">
        <f t="array" ref="F461">AVERAGE(B461:B1968-$I$4/252)/_xlfn.STDEV.S(B461:B1968-$I$4)</f>
        <v>#REF!</v>
      </c>
      <c r="G461" s="4"/>
      <c r="H461" s="4"/>
      <c r="I461" s="4"/>
      <c r="J461" s="4"/>
    </row>
    <row r="462" spans="1:10" x14ac:dyDescent="0.2">
      <c r="A462" t="e">
        <f>LEFT(#REF!,10)</f>
        <v>#REF!</v>
      </c>
      <c r="B462" s="4" t="e">
        <f>(#REF!-#REF!)/#REF!</f>
        <v>#REF!</v>
      </c>
      <c r="C462" s="4" t="e">
        <f>(#REF!-#REF!)/#REF!</f>
        <v>#REF!</v>
      </c>
      <c r="D462" s="4" t="e">
        <f>LN(#REF!/#REF!)</f>
        <v>#REF!</v>
      </c>
      <c r="E462" s="4" t="e">
        <f t="shared" si="8"/>
        <v>#REF!</v>
      </c>
      <c r="F462" s="4" t="e" cm="1">
        <f t="array" ref="F462">AVERAGE(B462:B1969-$I$4/252)/_xlfn.STDEV.S(B462:B1969-$I$4)</f>
        <v>#REF!</v>
      </c>
      <c r="G462" s="4"/>
      <c r="H462" s="4"/>
      <c r="I462" s="4"/>
      <c r="J462" s="4"/>
    </row>
    <row r="463" spans="1:10" x14ac:dyDescent="0.2">
      <c r="A463" t="e">
        <f>LEFT(#REF!,10)</f>
        <v>#REF!</v>
      </c>
      <c r="B463" s="4" t="e">
        <f>(#REF!-#REF!)/#REF!</f>
        <v>#REF!</v>
      </c>
      <c r="C463" s="4" t="e">
        <f>(#REF!-#REF!)/#REF!</f>
        <v>#REF!</v>
      </c>
      <c r="D463" s="4" t="e">
        <f>LN(#REF!/#REF!)</f>
        <v>#REF!</v>
      </c>
      <c r="E463" s="4" t="e">
        <f t="shared" si="8"/>
        <v>#REF!</v>
      </c>
      <c r="F463" s="4" t="e" cm="1">
        <f t="array" ref="F463">AVERAGE(B463:B1970-$I$4/252)/_xlfn.STDEV.S(B463:B1970-$I$4)</f>
        <v>#REF!</v>
      </c>
      <c r="G463" s="4"/>
      <c r="H463" s="4"/>
      <c r="I463" s="4"/>
      <c r="J463" s="4"/>
    </row>
    <row r="464" spans="1:10" x14ac:dyDescent="0.2">
      <c r="A464" t="e">
        <f>LEFT(#REF!,10)</f>
        <v>#REF!</v>
      </c>
      <c r="B464" s="4" t="e">
        <f>(#REF!-#REF!)/#REF!</f>
        <v>#REF!</v>
      </c>
      <c r="C464" s="4" t="e">
        <f>(#REF!-#REF!)/#REF!</f>
        <v>#REF!</v>
      </c>
      <c r="D464" s="4" t="e">
        <f>LN(#REF!/#REF!)</f>
        <v>#REF!</v>
      </c>
      <c r="E464" s="4" t="e">
        <f t="shared" si="8"/>
        <v>#REF!</v>
      </c>
      <c r="F464" s="4" t="e" cm="1">
        <f t="array" ref="F464">AVERAGE(B464:B1971-$I$4/252)/_xlfn.STDEV.S(B464:B1971-$I$4)</f>
        <v>#REF!</v>
      </c>
      <c r="G464" s="4"/>
      <c r="H464" s="4"/>
      <c r="I464" s="4"/>
      <c r="J464" s="4"/>
    </row>
    <row r="465" spans="1:10" x14ac:dyDescent="0.2">
      <c r="A465" t="e">
        <f>LEFT(#REF!,10)</f>
        <v>#REF!</v>
      </c>
      <c r="B465" s="4" t="e">
        <f>(#REF!-#REF!)/#REF!</f>
        <v>#REF!</v>
      </c>
      <c r="C465" s="4" t="e">
        <f>(#REF!-#REF!)/#REF!</f>
        <v>#REF!</v>
      </c>
      <c r="D465" s="4" t="e">
        <f>LN(#REF!/#REF!)</f>
        <v>#REF!</v>
      </c>
      <c r="E465" s="4" t="e">
        <f t="shared" si="8"/>
        <v>#REF!</v>
      </c>
      <c r="F465" s="4" t="e" cm="1">
        <f t="array" ref="F465">AVERAGE(B465:B1972-$I$4/252)/_xlfn.STDEV.S(B465:B1972-$I$4)</f>
        <v>#REF!</v>
      </c>
      <c r="G465" s="4"/>
      <c r="H465" s="4"/>
      <c r="I465" s="4"/>
      <c r="J465" s="4"/>
    </row>
    <row r="466" spans="1:10" x14ac:dyDescent="0.2">
      <c r="A466" t="e">
        <f>LEFT(#REF!,10)</f>
        <v>#REF!</v>
      </c>
      <c r="B466" s="4" t="e">
        <f>(#REF!-#REF!)/#REF!</f>
        <v>#REF!</v>
      </c>
      <c r="C466" s="4" t="e">
        <f>(#REF!-#REF!)/#REF!</f>
        <v>#REF!</v>
      </c>
      <c r="D466" s="4" t="e">
        <f>LN(#REF!/#REF!)</f>
        <v>#REF!</v>
      </c>
      <c r="E466" s="4" t="e">
        <f t="shared" si="8"/>
        <v>#REF!</v>
      </c>
      <c r="F466" s="4" t="e" cm="1">
        <f t="array" ref="F466">AVERAGE(B466:B1973-$I$4/252)/_xlfn.STDEV.S(B466:B1973-$I$4)</f>
        <v>#REF!</v>
      </c>
      <c r="G466" s="4"/>
      <c r="H466" s="4"/>
      <c r="I466" s="4"/>
      <c r="J466" s="4"/>
    </row>
    <row r="467" spans="1:10" x14ac:dyDescent="0.2">
      <c r="A467" t="e">
        <f>LEFT(#REF!,10)</f>
        <v>#REF!</v>
      </c>
      <c r="B467" s="4" t="e">
        <f>(#REF!-#REF!)/#REF!</f>
        <v>#REF!</v>
      </c>
      <c r="C467" s="4" t="e">
        <f>(#REF!-#REF!)/#REF!</f>
        <v>#REF!</v>
      </c>
      <c r="D467" s="4" t="e">
        <f>LN(#REF!/#REF!)</f>
        <v>#REF!</v>
      </c>
      <c r="E467" s="4" t="e">
        <f t="shared" si="8"/>
        <v>#REF!</v>
      </c>
      <c r="F467" s="4" t="e" cm="1">
        <f t="array" ref="F467">AVERAGE(B467:B1974-$I$4/252)/_xlfn.STDEV.S(B467:B1974-$I$4)</f>
        <v>#REF!</v>
      </c>
      <c r="G467" s="4"/>
      <c r="H467" s="4"/>
      <c r="I467" s="4"/>
      <c r="J467" s="4"/>
    </row>
    <row r="468" spans="1:10" x14ac:dyDescent="0.2">
      <c r="A468" t="e">
        <f>LEFT(#REF!,10)</f>
        <v>#REF!</v>
      </c>
      <c r="B468" s="4" t="e">
        <f>(#REF!-#REF!)/#REF!</f>
        <v>#REF!</v>
      </c>
      <c r="C468" s="4" t="e">
        <f>(#REF!-#REF!)/#REF!</f>
        <v>#REF!</v>
      </c>
      <c r="D468" s="4" t="e">
        <f>LN(#REF!/#REF!)</f>
        <v>#REF!</v>
      </c>
      <c r="E468" s="4" t="e">
        <f t="shared" si="8"/>
        <v>#REF!</v>
      </c>
      <c r="F468" s="4" t="e" cm="1">
        <f t="array" ref="F468">AVERAGE(B468:B1975-$I$4/252)/_xlfn.STDEV.S(B468:B1975-$I$4)</f>
        <v>#REF!</v>
      </c>
      <c r="G468" s="4"/>
      <c r="H468" s="4"/>
      <c r="I468" s="4"/>
      <c r="J468" s="4"/>
    </row>
    <row r="469" spans="1:10" x14ac:dyDescent="0.2">
      <c r="A469" t="e">
        <f>LEFT(#REF!,10)</f>
        <v>#REF!</v>
      </c>
      <c r="B469" s="4" t="e">
        <f>(#REF!-#REF!)/#REF!</f>
        <v>#REF!</v>
      </c>
      <c r="C469" s="4" t="e">
        <f>(#REF!-#REF!)/#REF!</f>
        <v>#REF!</v>
      </c>
      <c r="D469" s="4" t="e">
        <f>LN(#REF!/#REF!)</f>
        <v>#REF!</v>
      </c>
      <c r="E469" s="4" t="e">
        <f t="shared" si="8"/>
        <v>#REF!</v>
      </c>
      <c r="F469" s="4" t="e" cm="1">
        <f t="array" ref="F469">AVERAGE(B469:B1976-$I$4/252)/_xlfn.STDEV.S(B469:B1976-$I$4)</f>
        <v>#REF!</v>
      </c>
      <c r="G469" s="4"/>
      <c r="H469" s="4"/>
      <c r="I469" s="4"/>
      <c r="J469" s="4"/>
    </row>
    <row r="470" spans="1:10" x14ac:dyDescent="0.2">
      <c r="A470" t="e">
        <f>LEFT(#REF!,10)</f>
        <v>#REF!</v>
      </c>
      <c r="B470" s="4" t="e">
        <f>(#REF!-#REF!)/#REF!</f>
        <v>#REF!</v>
      </c>
      <c r="C470" s="4" t="e">
        <f>(#REF!-#REF!)/#REF!</f>
        <v>#REF!</v>
      </c>
      <c r="D470" s="4" t="e">
        <f>LN(#REF!/#REF!)</f>
        <v>#REF!</v>
      </c>
      <c r="E470" s="4" t="e">
        <f t="shared" si="8"/>
        <v>#REF!</v>
      </c>
      <c r="F470" s="4" t="e" cm="1">
        <f t="array" ref="F470">AVERAGE(B470:B1977-$I$4/252)/_xlfn.STDEV.S(B470:B1977-$I$4)</f>
        <v>#REF!</v>
      </c>
      <c r="G470" s="4"/>
      <c r="H470" s="4"/>
      <c r="I470" s="4"/>
      <c r="J470" s="4"/>
    </row>
    <row r="471" spans="1:10" x14ac:dyDescent="0.2">
      <c r="A471" t="e">
        <f>LEFT(#REF!,10)</f>
        <v>#REF!</v>
      </c>
      <c r="B471" s="4" t="e">
        <f>(#REF!-#REF!)/#REF!</f>
        <v>#REF!</v>
      </c>
      <c r="C471" s="4" t="e">
        <f>(#REF!-#REF!)/#REF!</f>
        <v>#REF!</v>
      </c>
      <c r="D471" s="4" t="e">
        <f>LN(#REF!/#REF!)</f>
        <v>#REF!</v>
      </c>
      <c r="E471" s="4" t="e">
        <f t="shared" si="8"/>
        <v>#REF!</v>
      </c>
      <c r="F471" s="4" t="e" cm="1">
        <f t="array" ref="F471">AVERAGE(B471:B1978-$I$4/252)/_xlfn.STDEV.S(B471:B1978-$I$4)</f>
        <v>#REF!</v>
      </c>
      <c r="G471" s="4"/>
      <c r="H471" s="4"/>
      <c r="I471" s="4"/>
      <c r="J471" s="4"/>
    </row>
    <row r="472" spans="1:10" x14ac:dyDescent="0.2">
      <c r="A472" t="e">
        <f>LEFT(#REF!,10)</f>
        <v>#REF!</v>
      </c>
      <c r="B472" s="4" t="e">
        <f>(#REF!-#REF!)/#REF!</f>
        <v>#REF!</v>
      </c>
      <c r="C472" s="4" t="e">
        <f>(#REF!-#REF!)/#REF!</f>
        <v>#REF!</v>
      </c>
      <c r="D472" s="4" t="e">
        <f>LN(#REF!/#REF!)</f>
        <v>#REF!</v>
      </c>
      <c r="E472" s="4" t="e">
        <f t="shared" si="8"/>
        <v>#REF!</v>
      </c>
      <c r="F472" s="4" t="e" cm="1">
        <f t="array" ref="F472">AVERAGE(B472:B1979-$I$4/252)/_xlfn.STDEV.S(B472:B1979-$I$4)</f>
        <v>#REF!</v>
      </c>
      <c r="G472" s="4"/>
      <c r="H472" s="4"/>
      <c r="I472" s="4"/>
      <c r="J472" s="4"/>
    </row>
    <row r="473" spans="1:10" x14ac:dyDescent="0.2">
      <c r="A473" t="e">
        <f>LEFT(#REF!,10)</f>
        <v>#REF!</v>
      </c>
      <c r="B473" s="4" t="e">
        <f>(#REF!-#REF!)/#REF!</f>
        <v>#REF!</v>
      </c>
      <c r="C473" s="4" t="e">
        <f>(#REF!-#REF!)/#REF!</f>
        <v>#REF!</v>
      </c>
      <c r="D473" s="4" t="e">
        <f>LN(#REF!/#REF!)</f>
        <v>#REF!</v>
      </c>
      <c r="E473" s="4" t="e">
        <f t="shared" si="8"/>
        <v>#REF!</v>
      </c>
      <c r="F473" s="4" t="e" cm="1">
        <f t="array" ref="F473">AVERAGE(B473:B1980-$I$4/252)/_xlfn.STDEV.S(B473:B1980-$I$4)</f>
        <v>#REF!</v>
      </c>
      <c r="G473" s="4"/>
      <c r="H473" s="4"/>
      <c r="I473" s="4"/>
      <c r="J473" s="4"/>
    </row>
    <row r="474" spans="1:10" x14ac:dyDescent="0.2">
      <c r="A474" t="e">
        <f>LEFT(#REF!,10)</f>
        <v>#REF!</v>
      </c>
      <c r="B474" s="4" t="e">
        <f>(#REF!-#REF!)/#REF!</f>
        <v>#REF!</v>
      </c>
      <c r="C474" s="4" t="e">
        <f>(#REF!-#REF!)/#REF!</f>
        <v>#REF!</v>
      </c>
      <c r="D474" s="4" t="e">
        <f>LN(#REF!/#REF!)</f>
        <v>#REF!</v>
      </c>
      <c r="E474" s="4" t="e">
        <f t="shared" si="8"/>
        <v>#REF!</v>
      </c>
      <c r="F474" s="4" t="e" cm="1">
        <f t="array" ref="F474">AVERAGE(B474:B1981-$I$4/252)/_xlfn.STDEV.S(B474:B1981-$I$4)</f>
        <v>#REF!</v>
      </c>
      <c r="G474" s="4"/>
      <c r="H474" s="4"/>
      <c r="I474" s="4"/>
      <c r="J474" s="4"/>
    </row>
    <row r="475" spans="1:10" x14ac:dyDescent="0.2">
      <c r="A475" t="e">
        <f>LEFT(#REF!,10)</f>
        <v>#REF!</v>
      </c>
      <c r="B475" s="4" t="e">
        <f>(#REF!-#REF!)/#REF!</f>
        <v>#REF!</v>
      </c>
      <c r="C475" s="4" t="e">
        <f>(#REF!-#REF!)/#REF!</f>
        <v>#REF!</v>
      </c>
      <c r="D475" s="4" t="e">
        <f>LN(#REF!/#REF!)</f>
        <v>#REF!</v>
      </c>
      <c r="E475" s="4" t="e">
        <f t="shared" si="8"/>
        <v>#REF!</v>
      </c>
      <c r="F475" s="4" t="e" cm="1">
        <f t="array" ref="F475">AVERAGE(B475:B1982-$I$4/252)/_xlfn.STDEV.S(B475:B1982-$I$4)</f>
        <v>#REF!</v>
      </c>
      <c r="G475" s="4"/>
      <c r="H475" s="4"/>
      <c r="I475" s="4"/>
      <c r="J475" s="4"/>
    </row>
    <row r="476" spans="1:10" x14ac:dyDescent="0.2">
      <c r="A476" t="e">
        <f>LEFT(#REF!,10)</f>
        <v>#REF!</v>
      </c>
      <c r="B476" s="4" t="e">
        <f>(#REF!-#REF!)/#REF!</f>
        <v>#REF!</v>
      </c>
      <c r="C476" s="4" t="e">
        <f>(#REF!-#REF!)/#REF!</f>
        <v>#REF!</v>
      </c>
      <c r="D476" s="4" t="e">
        <f>LN(#REF!/#REF!)</f>
        <v>#REF!</v>
      </c>
      <c r="E476" s="4" t="e">
        <f t="shared" si="8"/>
        <v>#REF!</v>
      </c>
      <c r="F476" s="4" t="e" cm="1">
        <f t="array" ref="F476">AVERAGE(B476:B1983-$I$4/252)/_xlfn.STDEV.S(B476:B1983-$I$4)</f>
        <v>#REF!</v>
      </c>
      <c r="G476" s="4"/>
      <c r="H476" s="4"/>
      <c r="I476" s="4"/>
      <c r="J476" s="4"/>
    </row>
    <row r="477" spans="1:10" x14ac:dyDescent="0.2">
      <c r="A477" t="e">
        <f>LEFT(#REF!,10)</f>
        <v>#REF!</v>
      </c>
      <c r="B477" s="4" t="e">
        <f>(#REF!-#REF!)/#REF!</f>
        <v>#REF!</v>
      </c>
      <c r="C477" s="4" t="e">
        <f>(#REF!-#REF!)/#REF!</f>
        <v>#REF!</v>
      </c>
      <c r="D477" s="4" t="e">
        <f>LN(#REF!/#REF!)</f>
        <v>#REF!</v>
      </c>
      <c r="E477" s="4" t="e">
        <f t="shared" si="8"/>
        <v>#REF!</v>
      </c>
      <c r="F477" s="4" t="e" cm="1">
        <f t="array" ref="F477">AVERAGE(B477:B1984-$I$4/252)/_xlfn.STDEV.S(B477:B1984-$I$4)</f>
        <v>#REF!</v>
      </c>
      <c r="G477" s="4"/>
      <c r="H477" s="4"/>
      <c r="I477" s="4"/>
      <c r="J477" s="4"/>
    </row>
    <row r="478" spans="1:10" x14ac:dyDescent="0.2">
      <c r="A478" t="e">
        <f>LEFT(#REF!,10)</f>
        <v>#REF!</v>
      </c>
      <c r="B478" s="4" t="e">
        <f>(#REF!-#REF!)/#REF!</f>
        <v>#REF!</v>
      </c>
      <c r="C478" s="4" t="e">
        <f>(#REF!-#REF!)/#REF!</f>
        <v>#REF!</v>
      </c>
      <c r="D478" s="4" t="e">
        <f>LN(#REF!/#REF!)</f>
        <v>#REF!</v>
      </c>
      <c r="E478" s="4" t="e">
        <f t="shared" si="8"/>
        <v>#REF!</v>
      </c>
      <c r="F478" s="4" t="e" cm="1">
        <f t="array" ref="F478">AVERAGE(B478:B1985-$I$4/252)/_xlfn.STDEV.S(B478:B1985-$I$4)</f>
        <v>#REF!</v>
      </c>
      <c r="G478" s="4"/>
      <c r="H478" s="4"/>
      <c r="I478" s="4"/>
      <c r="J478" s="4"/>
    </row>
    <row r="479" spans="1:10" x14ac:dyDescent="0.2">
      <c r="A479" t="e">
        <f>LEFT(#REF!,10)</f>
        <v>#REF!</v>
      </c>
      <c r="B479" s="4" t="e">
        <f>(#REF!-#REF!)/#REF!</f>
        <v>#REF!</v>
      </c>
      <c r="C479" s="4" t="e">
        <f>(#REF!-#REF!)/#REF!</f>
        <v>#REF!</v>
      </c>
      <c r="D479" s="4" t="e">
        <f>LN(#REF!/#REF!)</f>
        <v>#REF!</v>
      </c>
      <c r="E479" s="4" t="e">
        <f t="shared" si="8"/>
        <v>#REF!</v>
      </c>
      <c r="F479" s="4" t="e" cm="1">
        <f t="array" ref="F479">AVERAGE(B479:B1986-$I$4/252)/_xlfn.STDEV.S(B479:B1986-$I$4)</f>
        <v>#REF!</v>
      </c>
      <c r="G479" s="4"/>
      <c r="H479" s="4"/>
      <c r="I479" s="4"/>
      <c r="J479" s="4"/>
    </row>
    <row r="480" spans="1:10" x14ac:dyDescent="0.2">
      <c r="A480" t="e">
        <f>LEFT(#REF!,10)</f>
        <v>#REF!</v>
      </c>
      <c r="B480" s="4" t="e">
        <f>(#REF!-#REF!)/#REF!</f>
        <v>#REF!</v>
      </c>
      <c r="C480" s="4" t="e">
        <f>(#REF!-#REF!)/#REF!</f>
        <v>#REF!</v>
      </c>
      <c r="D480" s="4" t="e">
        <f>LN(#REF!/#REF!)</f>
        <v>#REF!</v>
      </c>
      <c r="E480" s="4" t="e">
        <f t="shared" si="8"/>
        <v>#REF!</v>
      </c>
      <c r="F480" s="4" t="e" cm="1">
        <f t="array" ref="F480">AVERAGE(B480:B1987-$I$4/252)/_xlfn.STDEV.S(B480:B1987-$I$4)</f>
        <v>#REF!</v>
      </c>
      <c r="G480" s="4"/>
      <c r="H480" s="4"/>
      <c r="I480" s="4"/>
      <c r="J480" s="4"/>
    </row>
    <row r="481" spans="1:10" x14ac:dyDescent="0.2">
      <c r="A481" t="e">
        <f>LEFT(#REF!,10)</f>
        <v>#REF!</v>
      </c>
      <c r="B481" s="4" t="e">
        <f>(#REF!-#REF!)/#REF!</f>
        <v>#REF!</v>
      </c>
      <c r="C481" s="4" t="e">
        <f>(#REF!-#REF!)/#REF!</f>
        <v>#REF!</v>
      </c>
      <c r="D481" s="4" t="e">
        <f>LN(#REF!/#REF!)</f>
        <v>#REF!</v>
      </c>
      <c r="E481" s="4" t="e">
        <f t="shared" si="8"/>
        <v>#REF!</v>
      </c>
      <c r="F481" s="4" t="e" cm="1">
        <f t="array" ref="F481">AVERAGE(B481:B1988-$I$4/252)/_xlfn.STDEV.S(B481:B1988-$I$4)</f>
        <v>#REF!</v>
      </c>
      <c r="G481" s="4"/>
      <c r="H481" s="4"/>
      <c r="I481" s="4"/>
      <c r="J481" s="4"/>
    </row>
    <row r="482" spans="1:10" x14ac:dyDescent="0.2">
      <c r="A482" t="e">
        <f>LEFT(#REF!,10)</f>
        <v>#REF!</v>
      </c>
      <c r="B482" s="4" t="e">
        <f>(#REF!-#REF!)/#REF!</f>
        <v>#REF!</v>
      </c>
      <c r="C482" s="4" t="e">
        <f>(#REF!-#REF!)/#REF!</f>
        <v>#REF!</v>
      </c>
      <c r="D482" s="4" t="e">
        <f>LN(#REF!/#REF!)</f>
        <v>#REF!</v>
      </c>
      <c r="E482" s="4" t="e">
        <f t="shared" si="8"/>
        <v>#REF!</v>
      </c>
      <c r="F482" s="4" t="e" cm="1">
        <f t="array" ref="F482">AVERAGE(B482:B1989-$I$4/252)/_xlfn.STDEV.S(B482:B1989-$I$4)</f>
        <v>#REF!</v>
      </c>
      <c r="G482" s="4"/>
      <c r="H482" s="4"/>
      <c r="I482" s="4"/>
      <c r="J482" s="4"/>
    </row>
    <row r="483" spans="1:10" x14ac:dyDescent="0.2">
      <c r="A483" t="e">
        <f>LEFT(#REF!,10)</f>
        <v>#REF!</v>
      </c>
      <c r="B483" s="4" t="e">
        <f>(#REF!-#REF!)/#REF!</f>
        <v>#REF!</v>
      </c>
      <c r="C483" s="4" t="e">
        <f>(#REF!-#REF!)/#REF!</f>
        <v>#REF!</v>
      </c>
      <c r="D483" s="4" t="e">
        <f>LN(#REF!/#REF!)</f>
        <v>#REF!</v>
      </c>
      <c r="E483" s="4" t="e">
        <f t="shared" si="8"/>
        <v>#REF!</v>
      </c>
      <c r="F483" s="4" t="e" cm="1">
        <f t="array" ref="F483">AVERAGE(B483:B1990-$I$4/252)/_xlfn.STDEV.S(B483:B1990-$I$4)</f>
        <v>#REF!</v>
      </c>
      <c r="G483" s="4"/>
      <c r="H483" s="4"/>
      <c r="I483" s="4"/>
      <c r="J483" s="4"/>
    </row>
    <row r="484" spans="1:10" x14ac:dyDescent="0.2">
      <c r="A484" t="e">
        <f>LEFT(#REF!,10)</f>
        <v>#REF!</v>
      </c>
      <c r="B484" s="4" t="e">
        <f>(#REF!-#REF!)/#REF!</f>
        <v>#REF!</v>
      </c>
      <c r="C484" s="4" t="e">
        <f>(#REF!-#REF!)/#REF!</f>
        <v>#REF!</v>
      </c>
      <c r="D484" s="4" t="e">
        <f>LN(#REF!/#REF!)</f>
        <v>#REF!</v>
      </c>
      <c r="E484" s="4" t="e">
        <f t="shared" si="8"/>
        <v>#REF!</v>
      </c>
      <c r="F484" s="4" t="e" cm="1">
        <f t="array" ref="F484">AVERAGE(B484:B1991-$I$4/252)/_xlfn.STDEV.S(B484:B1991-$I$4)</f>
        <v>#REF!</v>
      </c>
      <c r="G484" s="4"/>
      <c r="H484" s="4"/>
      <c r="I484" s="4"/>
      <c r="J484" s="4"/>
    </row>
    <row r="485" spans="1:10" x14ac:dyDescent="0.2">
      <c r="A485" t="e">
        <f>LEFT(#REF!,10)</f>
        <v>#REF!</v>
      </c>
      <c r="B485" s="4" t="e">
        <f>(#REF!-#REF!)/#REF!</f>
        <v>#REF!</v>
      </c>
      <c r="C485" s="4" t="e">
        <f>(#REF!-#REF!)/#REF!</f>
        <v>#REF!</v>
      </c>
      <c r="D485" s="4" t="e">
        <f>LN(#REF!/#REF!)</f>
        <v>#REF!</v>
      </c>
      <c r="E485" s="4" t="e">
        <f t="shared" si="8"/>
        <v>#REF!</v>
      </c>
      <c r="F485" s="4" t="e" cm="1">
        <f t="array" ref="F485">AVERAGE(B485:B1992-$I$4/252)/_xlfn.STDEV.S(B485:B1992-$I$4)</f>
        <v>#REF!</v>
      </c>
      <c r="G485" s="4"/>
      <c r="H485" s="4"/>
      <c r="I485" s="4"/>
      <c r="J485" s="4"/>
    </row>
    <row r="486" spans="1:10" x14ac:dyDescent="0.2">
      <c r="A486" t="e">
        <f>LEFT(#REF!,10)</f>
        <v>#REF!</v>
      </c>
      <c r="B486" s="4" t="e">
        <f>(#REF!-#REF!)/#REF!</f>
        <v>#REF!</v>
      </c>
      <c r="C486" s="4" t="e">
        <f>(#REF!-#REF!)/#REF!</f>
        <v>#REF!</v>
      </c>
      <c r="D486" s="4" t="e">
        <f>LN(#REF!/#REF!)</f>
        <v>#REF!</v>
      </c>
      <c r="E486" s="4" t="e">
        <f t="shared" si="8"/>
        <v>#REF!</v>
      </c>
      <c r="F486" s="4" t="e" cm="1">
        <f t="array" ref="F486">AVERAGE(B486:B1993-$I$4/252)/_xlfn.STDEV.S(B486:B1993-$I$4)</f>
        <v>#REF!</v>
      </c>
      <c r="G486" s="4"/>
      <c r="H486" s="4"/>
      <c r="I486" s="4"/>
      <c r="J486" s="4"/>
    </row>
    <row r="487" spans="1:10" x14ac:dyDescent="0.2">
      <c r="A487" t="e">
        <f>LEFT(#REF!,10)</f>
        <v>#REF!</v>
      </c>
      <c r="B487" s="4" t="e">
        <f>(#REF!-#REF!)/#REF!</f>
        <v>#REF!</v>
      </c>
      <c r="C487" s="4" t="e">
        <f>(#REF!-#REF!)/#REF!</f>
        <v>#REF!</v>
      </c>
      <c r="D487" s="4" t="e">
        <f>LN(#REF!/#REF!)</f>
        <v>#REF!</v>
      </c>
      <c r="E487" s="4" t="e">
        <f t="shared" si="8"/>
        <v>#REF!</v>
      </c>
      <c r="F487" s="4" t="e" cm="1">
        <f t="array" ref="F487">AVERAGE(B487:B1994-$I$4/252)/_xlfn.STDEV.S(B487:B1994-$I$4)</f>
        <v>#REF!</v>
      </c>
      <c r="G487" s="4"/>
      <c r="H487" s="4"/>
      <c r="I487" s="4"/>
      <c r="J487" s="4"/>
    </row>
    <row r="488" spans="1:10" x14ac:dyDescent="0.2">
      <c r="A488" t="e">
        <f>LEFT(#REF!,10)</f>
        <v>#REF!</v>
      </c>
      <c r="B488" s="4" t="e">
        <f>(#REF!-#REF!)/#REF!</f>
        <v>#REF!</v>
      </c>
      <c r="C488" s="4" t="e">
        <f>(#REF!-#REF!)/#REF!</f>
        <v>#REF!</v>
      </c>
      <c r="D488" s="4" t="e">
        <f>LN(#REF!/#REF!)</f>
        <v>#REF!</v>
      </c>
      <c r="E488" s="4" t="e">
        <f t="shared" si="8"/>
        <v>#REF!</v>
      </c>
      <c r="F488" s="4" t="e" cm="1">
        <f t="array" ref="F488">AVERAGE(B488:B1995-$I$4/252)/_xlfn.STDEV.S(B488:B1995-$I$4)</f>
        <v>#REF!</v>
      </c>
      <c r="G488" s="4"/>
      <c r="H488" s="4"/>
      <c r="I488" s="4"/>
      <c r="J488" s="4"/>
    </row>
    <row r="489" spans="1:10" x14ac:dyDescent="0.2">
      <c r="A489" t="e">
        <f>LEFT(#REF!,10)</f>
        <v>#REF!</v>
      </c>
      <c r="B489" s="4" t="e">
        <f>(#REF!-#REF!)/#REF!</f>
        <v>#REF!</v>
      </c>
      <c r="C489" s="4" t="e">
        <f>(#REF!-#REF!)/#REF!</f>
        <v>#REF!</v>
      </c>
      <c r="D489" s="4" t="e">
        <f>LN(#REF!/#REF!)</f>
        <v>#REF!</v>
      </c>
      <c r="E489" s="4" t="e">
        <f t="shared" si="8"/>
        <v>#REF!</v>
      </c>
      <c r="F489" s="4" t="e" cm="1">
        <f t="array" ref="F489">AVERAGE(B489:B1996-$I$4/252)/_xlfn.STDEV.S(B489:B1996-$I$4)</f>
        <v>#REF!</v>
      </c>
      <c r="G489" s="4"/>
      <c r="H489" s="4"/>
      <c r="I489" s="4"/>
      <c r="J489" s="4"/>
    </row>
    <row r="490" spans="1:10" x14ac:dyDescent="0.2">
      <c r="A490" t="e">
        <f>LEFT(#REF!,10)</f>
        <v>#REF!</v>
      </c>
      <c r="B490" s="4" t="e">
        <f>(#REF!-#REF!)/#REF!</f>
        <v>#REF!</v>
      </c>
      <c r="C490" s="4" t="e">
        <f>(#REF!-#REF!)/#REF!</f>
        <v>#REF!</v>
      </c>
      <c r="D490" s="4" t="e">
        <f>LN(#REF!/#REF!)</f>
        <v>#REF!</v>
      </c>
      <c r="E490" s="4" t="e">
        <f t="shared" si="8"/>
        <v>#REF!</v>
      </c>
      <c r="F490" s="4" t="e" cm="1">
        <f t="array" ref="F490">AVERAGE(B490:B1997-$I$4/252)/_xlfn.STDEV.S(B490:B1997-$I$4)</f>
        <v>#REF!</v>
      </c>
      <c r="G490" s="4"/>
      <c r="H490" s="4"/>
      <c r="I490" s="4"/>
      <c r="J490" s="4"/>
    </row>
    <row r="491" spans="1:10" x14ac:dyDescent="0.2">
      <c r="A491" t="e">
        <f>LEFT(#REF!,10)</f>
        <v>#REF!</v>
      </c>
      <c r="B491" s="4" t="e">
        <f>(#REF!-#REF!)/#REF!</f>
        <v>#REF!</v>
      </c>
      <c r="C491" s="4" t="e">
        <f>(#REF!-#REF!)/#REF!</f>
        <v>#REF!</v>
      </c>
      <c r="D491" s="4" t="e">
        <f>LN(#REF!/#REF!)</f>
        <v>#REF!</v>
      </c>
      <c r="E491" s="4" t="e">
        <f t="shared" si="8"/>
        <v>#REF!</v>
      </c>
      <c r="F491" s="4" t="e" cm="1">
        <f t="array" ref="F491">AVERAGE(B491:B1998-$I$4/252)/_xlfn.STDEV.S(B491:B1998-$I$4)</f>
        <v>#REF!</v>
      </c>
      <c r="G491" s="4"/>
      <c r="H491" s="4"/>
      <c r="I491" s="4"/>
      <c r="J491" s="4"/>
    </row>
    <row r="492" spans="1:10" x14ac:dyDescent="0.2">
      <c r="A492" t="e">
        <f>LEFT(#REF!,10)</f>
        <v>#REF!</v>
      </c>
      <c r="B492" s="4" t="e">
        <f>(#REF!-#REF!)/#REF!</f>
        <v>#REF!</v>
      </c>
      <c r="C492" s="4" t="e">
        <f>(#REF!-#REF!)/#REF!</f>
        <v>#REF!</v>
      </c>
      <c r="D492" s="4" t="e">
        <f>LN(#REF!/#REF!)</f>
        <v>#REF!</v>
      </c>
      <c r="E492" s="4" t="e">
        <f t="shared" si="8"/>
        <v>#REF!</v>
      </c>
      <c r="F492" s="4" t="e" cm="1">
        <f t="array" ref="F492">AVERAGE(B492:B1999-$I$4/252)/_xlfn.STDEV.S(B492:B1999-$I$4)</f>
        <v>#REF!</v>
      </c>
      <c r="G492" s="4"/>
      <c r="H492" s="4"/>
      <c r="I492" s="4"/>
      <c r="J492" s="4"/>
    </row>
    <row r="493" spans="1:10" x14ac:dyDescent="0.2">
      <c r="A493" t="e">
        <f>LEFT(#REF!,10)</f>
        <v>#REF!</v>
      </c>
      <c r="B493" s="4" t="e">
        <f>(#REF!-#REF!)/#REF!</f>
        <v>#REF!</v>
      </c>
      <c r="C493" s="4" t="e">
        <f>(#REF!-#REF!)/#REF!</f>
        <v>#REF!</v>
      </c>
      <c r="D493" s="4" t="e">
        <f>LN(#REF!/#REF!)</f>
        <v>#REF!</v>
      </c>
      <c r="E493" s="4" t="e">
        <f t="shared" si="8"/>
        <v>#REF!</v>
      </c>
      <c r="F493" s="4" t="e" cm="1">
        <f t="array" ref="F493">AVERAGE(B493:B2000-$I$4/252)/_xlfn.STDEV.S(B493:B2000-$I$4)</f>
        <v>#REF!</v>
      </c>
      <c r="G493" s="4"/>
      <c r="H493" s="4"/>
      <c r="I493" s="4"/>
      <c r="J493" s="4"/>
    </row>
    <row r="494" spans="1:10" x14ac:dyDescent="0.2">
      <c r="A494" t="e">
        <f>LEFT(#REF!,10)</f>
        <v>#REF!</v>
      </c>
      <c r="B494" s="4" t="e">
        <f>(#REF!-#REF!)/#REF!</f>
        <v>#REF!</v>
      </c>
      <c r="C494" s="4" t="e">
        <f>(#REF!-#REF!)/#REF!</f>
        <v>#REF!</v>
      </c>
      <c r="D494" s="4" t="e">
        <f>LN(#REF!/#REF!)</f>
        <v>#REF!</v>
      </c>
      <c r="E494" s="4" t="e">
        <f t="shared" si="8"/>
        <v>#REF!</v>
      </c>
      <c r="F494" s="4" t="e" cm="1">
        <f t="array" ref="F494">AVERAGE(B494:B2001-$I$4/252)/_xlfn.STDEV.S(B494:B2001-$I$4)</f>
        <v>#REF!</v>
      </c>
      <c r="G494" s="4"/>
      <c r="H494" s="4"/>
      <c r="I494" s="4"/>
      <c r="J494" s="4"/>
    </row>
    <row r="495" spans="1:10" x14ac:dyDescent="0.2">
      <c r="A495" t="e">
        <f>LEFT(#REF!,10)</f>
        <v>#REF!</v>
      </c>
      <c r="B495" s="4" t="e">
        <f>(#REF!-#REF!)/#REF!</f>
        <v>#REF!</v>
      </c>
      <c r="C495" s="4" t="e">
        <f>(#REF!-#REF!)/#REF!</f>
        <v>#REF!</v>
      </c>
      <c r="D495" s="4" t="e">
        <f>LN(#REF!/#REF!)</f>
        <v>#REF!</v>
      </c>
      <c r="E495" s="4" t="e">
        <f t="shared" si="8"/>
        <v>#REF!</v>
      </c>
      <c r="F495" s="4" t="e" cm="1">
        <f t="array" ref="F495">AVERAGE(B495:B2002-$I$4/252)/_xlfn.STDEV.S(B495:B2002-$I$4)</f>
        <v>#REF!</v>
      </c>
      <c r="G495" s="4"/>
      <c r="H495" s="4"/>
      <c r="I495" s="4"/>
      <c r="J495" s="4"/>
    </row>
    <row r="496" spans="1:10" x14ac:dyDescent="0.2">
      <c r="A496" t="e">
        <f>LEFT(#REF!,10)</f>
        <v>#REF!</v>
      </c>
      <c r="B496" s="4" t="e">
        <f>(#REF!-#REF!)/#REF!</f>
        <v>#REF!</v>
      </c>
      <c r="C496" s="4" t="e">
        <f>(#REF!-#REF!)/#REF!</f>
        <v>#REF!</v>
      </c>
      <c r="D496" s="4" t="e">
        <f>LN(#REF!/#REF!)</f>
        <v>#REF!</v>
      </c>
      <c r="E496" s="4" t="e">
        <f t="shared" si="8"/>
        <v>#REF!</v>
      </c>
      <c r="F496" s="4" t="e" cm="1">
        <f t="array" ref="F496">AVERAGE(B496:B2003-$I$4/252)/_xlfn.STDEV.S(B496:B2003-$I$4)</f>
        <v>#REF!</v>
      </c>
      <c r="G496" s="4"/>
      <c r="H496" s="4"/>
      <c r="I496" s="4"/>
      <c r="J496" s="4"/>
    </row>
    <row r="497" spans="1:10" x14ac:dyDescent="0.2">
      <c r="A497" t="e">
        <f>LEFT(#REF!,10)</f>
        <v>#REF!</v>
      </c>
      <c r="B497" s="4" t="e">
        <f>(#REF!-#REF!)/#REF!</f>
        <v>#REF!</v>
      </c>
      <c r="C497" s="4" t="e">
        <f>(#REF!-#REF!)/#REF!</f>
        <v>#REF!</v>
      </c>
      <c r="D497" s="4" t="e">
        <f>LN(#REF!/#REF!)</f>
        <v>#REF!</v>
      </c>
      <c r="E497" s="4" t="e">
        <f t="shared" si="8"/>
        <v>#REF!</v>
      </c>
      <c r="F497" s="4" t="e" cm="1">
        <f t="array" ref="F497">AVERAGE(B497:B2004-$I$4/252)/_xlfn.STDEV.S(B497:B2004-$I$4)</f>
        <v>#REF!</v>
      </c>
      <c r="G497" s="4"/>
      <c r="H497" s="4"/>
      <c r="I497" s="4"/>
      <c r="J497" s="4"/>
    </row>
    <row r="498" spans="1:10" x14ac:dyDescent="0.2">
      <c r="A498" t="e">
        <f>LEFT(#REF!,10)</f>
        <v>#REF!</v>
      </c>
      <c r="B498" s="4" t="e">
        <f>(#REF!-#REF!)/#REF!</f>
        <v>#REF!</v>
      </c>
      <c r="C498" s="4" t="e">
        <f>(#REF!-#REF!)/#REF!</f>
        <v>#REF!</v>
      </c>
      <c r="D498" s="4" t="e">
        <f>LN(#REF!/#REF!)</f>
        <v>#REF!</v>
      </c>
      <c r="E498" s="4" t="e">
        <f t="shared" si="8"/>
        <v>#REF!</v>
      </c>
      <c r="F498" s="4" t="e" cm="1">
        <f t="array" ref="F498">AVERAGE(B498:B2005-$I$4/252)/_xlfn.STDEV.S(B498:B2005-$I$4)</f>
        <v>#REF!</v>
      </c>
      <c r="G498" s="4"/>
      <c r="H498" s="4"/>
      <c r="I498" s="4"/>
      <c r="J498" s="4"/>
    </row>
    <row r="499" spans="1:10" x14ac:dyDescent="0.2">
      <c r="A499" t="e">
        <f>LEFT(#REF!,10)</f>
        <v>#REF!</v>
      </c>
      <c r="B499" s="4" t="e">
        <f>(#REF!-#REF!)/#REF!</f>
        <v>#REF!</v>
      </c>
      <c r="C499" s="4" t="e">
        <f>(#REF!-#REF!)/#REF!</f>
        <v>#REF!</v>
      </c>
      <c r="D499" s="4" t="e">
        <f>LN(#REF!/#REF!)</f>
        <v>#REF!</v>
      </c>
      <c r="E499" s="4" t="e">
        <f t="shared" si="8"/>
        <v>#REF!</v>
      </c>
      <c r="F499" s="4" t="e" cm="1">
        <f t="array" ref="F499">AVERAGE(B499:B2006-$I$4/252)/_xlfn.STDEV.S(B499:B2006-$I$4)</f>
        <v>#REF!</v>
      </c>
      <c r="G499" s="4"/>
      <c r="H499" s="4"/>
      <c r="I499" s="4"/>
      <c r="J499" s="4"/>
    </row>
    <row r="500" spans="1:10" x14ac:dyDescent="0.2">
      <c r="A500" t="e">
        <f>LEFT(#REF!,10)</f>
        <v>#REF!</v>
      </c>
      <c r="B500" s="4" t="e">
        <f>(#REF!-#REF!)/#REF!</f>
        <v>#REF!</v>
      </c>
      <c r="C500" s="4" t="e">
        <f>(#REF!-#REF!)/#REF!</f>
        <v>#REF!</v>
      </c>
      <c r="D500" s="4" t="e">
        <f>LN(#REF!/#REF!)</f>
        <v>#REF!</v>
      </c>
      <c r="E500" s="4" t="e">
        <f t="shared" si="8"/>
        <v>#REF!</v>
      </c>
      <c r="F500" s="4" t="e" cm="1">
        <f t="array" ref="F500">AVERAGE(B500:B2007-$I$4/252)/_xlfn.STDEV.S(B500:B2007-$I$4)</f>
        <v>#REF!</v>
      </c>
      <c r="G500" s="4"/>
      <c r="H500" s="4"/>
      <c r="I500" s="4"/>
      <c r="J500" s="4"/>
    </row>
    <row r="501" spans="1:10" x14ac:dyDescent="0.2">
      <c r="A501" t="e">
        <f>LEFT(#REF!,10)</f>
        <v>#REF!</v>
      </c>
      <c r="B501" s="4" t="e">
        <f>(#REF!-#REF!)/#REF!</f>
        <v>#REF!</v>
      </c>
      <c r="C501" s="4" t="e">
        <f>(#REF!-#REF!)/#REF!</f>
        <v>#REF!</v>
      </c>
      <c r="D501" s="4" t="e">
        <f>LN(#REF!/#REF!)</f>
        <v>#REF!</v>
      </c>
      <c r="E501" s="4" t="e">
        <f t="shared" si="8"/>
        <v>#REF!</v>
      </c>
      <c r="F501" s="4" t="e" cm="1">
        <f t="array" ref="F501">AVERAGE(B501:B2008-$I$4/252)/_xlfn.STDEV.S(B501:B2008-$I$4)</f>
        <v>#REF!</v>
      </c>
      <c r="G501" s="4"/>
      <c r="H501" s="4"/>
      <c r="I501" s="4"/>
      <c r="J501" s="4"/>
    </row>
    <row r="502" spans="1:10" x14ac:dyDescent="0.2">
      <c r="A502" t="e">
        <f>LEFT(#REF!,10)</f>
        <v>#REF!</v>
      </c>
      <c r="B502" s="4" t="e">
        <f>(#REF!-#REF!)/#REF!</f>
        <v>#REF!</v>
      </c>
      <c r="C502" s="4" t="e">
        <f>(#REF!-#REF!)/#REF!</f>
        <v>#REF!</v>
      </c>
      <c r="D502" s="4" t="e">
        <f>LN(#REF!/#REF!)</f>
        <v>#REF!</v>
      </c>
      <c r="E502" s="4" t="e">
        <f t="shared" si="8"/>
        <v>#REF!</v>
      </c>
      <c r="F502" s="4" t="e" cm="1">
        <f t="array" ref="F502">AVERAGE(B502:B2009-$I$4/252)/_xlfn.STDEV.S(B502:B2009-$I$4)</f>
        <v>#REF!</v>
      </c>
      <c r="G502" s="4"/>
      <c r="H502" s="4"/>
      <c r="I502" s="4"/>
      <c r="J502" s="4"/>
    </row>
    <row r="503" spans="1:10" x14ac:dyDescent="0.2">
      <c r="A503" t="e">
        <f>LEFT(#REF!,10)</f>
        <v>#REF!</v>
      </c>
      <c r="B503" s="4" t="e">
        <f>(#REF!-#REF!)/#REF!</f>
        <v>#REF!</v>
      </c>
      <c r="C503" s="4" t="e">
        <f>(#REF!-#REF!)/#REF!</f>
        <v>#REF!</v>
      </c>
      <c r="D503" s="4" t="e">
        <f>LN(#REF!/#REF!)</f>
        <v>#REF!</v>
      </c>
      <c r="E503" s="4" t="e">
        <f t="shared" si="8"/>
        <v>#REF!</v>
      </c>
      <c r="F503" s="4" t="e" cm="1">
        <f t="array" ref="F503">AVERAGE(B503:B2010-$I$4/252)/_xlfn.STDEV.S(B503:B2010-$I$4)</f>
        <v>#REF!</v>
      </c>
      <c r="G503" s="4"/>
      <c r="H503" s="4"/>
      <c r="I503" s="4"/>
      <c r="J503" s="4"/>
    </row>
    <row r="504" spans="1:10" x14ac:dyDescent="0.2">
      <c r="A504" t="e">
        <f>LEFT(#REF!,10)</f>
        <v>#REF!</v>
      </c>
      <c r="B504" s="4" t="e">
        <f>(#REF!-#REF!)/#REF!</f>
        <v>#REF!</v>
      </c>
      <c r="C504" s="4" t="e">
        <f>(#REF!-#REF!)/#REF!</f>
        <v>#REF!</v>
      </c>
      <c r="D504" s="4" t="e">
        <f>LN(#REF!/#REF!)</f>
        <v>#REF!</v>
      </c>
      <c r="E504" s="4" t="e">
        <f t="shared" si="8"/>
        <v>#REF!</v>
      </c>
      <c r="F504" s="4" t="e" cm="1">
        <f t="array" ref="F504">AVERAGE(B504:B2011-$I$4/252)/_xlfn.STDEV.S(B504:B2011-$I$4)</f>
        <v>#REF!</v>
      </c>
      <c r="G504" s="4"/>
      <c r="H504" s="4"/>
      <c r="I504" s="4"/>
      <c r="J504" s="4"/>
    </row>
    <row r="505" spans="1:10" x14ac:dyDescent="0.2">
      <c r="A505" t="e">
        <f>LEFT(#REF!,10)</f>
        <v>#REF!</v>
      </c>
      <c r="B505" s="4" t="e">
        <f>(#REF!-#REF!)/#REF!</f>
        <v>#REF!</v>
      </c>
      <c r="C505" s="4" t="e">
        <f>(#REF!-#REF!)/#REF!</f>
        <v>#REF!</v>
      </c>
      <c r="D505" s="4" t="e">
        <f>LN(#REF!/#REF!)</f>
        <v>#REF!</v>
      </c>
      <c r="E505" s="4" t="e">
        <f t="shared" si="8"/>
        <v>#REF!</v>
      </c>
      <c r="F505" s="4" t="e" cm="1">
        <f t="array" ref="F505">AVERAGE(B505:B2012-$I$4/252)/_xlfn.STDEV.S(B505:B2012-$I$4)</f>
        <v>#REF!</v>
      </c>
      <c r="G505" s="4"/>
      <c r="H505" s="4"/>
      <c r="I505" s="4"/>
      <c r="J505" s="4"/>
    </row>
    <row r="506" spans="1:10" x14ac:dyDescent="0.2">
      <c r="A506" t="e">
        <f>LEFT(#REF!,10)</f>
        <v>#REF!</v>
      </c>
      <c r="B506" s="4" t="e">
        <f>(#REF!-#REF!)/#REF!</f>
        <v>#REF!</v>
      </c>
      <c r="C506" s="4" t="e">
        <f>(#REF!-#REF!)/#REF!</f>
        <v>#REF!</v>
      </c>
      <c r="D506" s="4" t="e">
        <f>LN(#REF!/#REF!)</f>
        <v>#REF!</v>
      </c>
      <c r="E506" s="4" t="e">
        <f t="shared" si="8"/>
        <v>#REF!</v>
      </c>
      <c r="F506" s="4" t="e" cm="1">
        <f t="array" ref="F506">AVERAGE(B506:B2013-$I$4/252)/_xlfn.STDEV.S(B506:B2013-$I$4)</f>
        <v>#REF!</v>
      </c>
      <c r="G506" s="4"/>
      <c r="H506" s="4"/>
      <c r="I506" s="4"/>
      <c r="J506" s="4"/>
    </row>
    <row r="507" spans="1:10" x14ac:dyDescent="0.2">
      <c r="A507" t="e">
        <f>LEFT(#REF!,10)</f>
        <v>#REF!</v>
      </c>
      <c r="B507" s="4" t="e">
        <f>(#REF!-#REF!)/#REF!</f>
        <v>#REF!</v>
      </c>
      <c r="C507" s="4" t="e">
        <f>(#REF!-#REF!)/#REF!</f>
        <v>#REF!</v>
      </c>
      <c r="D507" s="4" t="e">
        <f>LN(#REF!/#REF!)</f>
        <v>#REF!</v>
      </c>
      <c r="E507" s="4" t="e">
        <f t="shared" si="8"/>
        <v>#REF!</v>
      </c>
      <c r="F507" s="4" t="e" cm="1">
        <f t="array" ref="F507">AVERAGE(B507:B2014-$I$4/252)/_xlfn.STDEV.S(B507:B2014-$I$4)</f>
        <v>#REF!</v>
      </c>
      <c r="G507" s="4"/>
      <c r="H507" s="4"/>
      <c r="I507" s="4"/>
      <c r="J507" s="4"/>
    </row>
    <row r="508" spans="1:10" x14ac:dyDescent="0.2">
      <c r="A508" t="e">
        <f>LEFT(#REF!,10)</f>
        <v>#REF!</v>
      </c>
      <c r="B508" s="4" t="e">
        <f>(#REF!-#REF!)/#REF!</f>
        <v>#REF!</v>
      </c>
      <c r="C508" s="4" t="e">
        <f>(#REF!-#REF!)/#REF!</f>
        <v>#REF!</v>
      </c>
      <c r="D508" s="4" t="e">
        <f>LN(#REF!/#REF!)</f>
        <v>#REF!</v>
      </c>
      <c r="E508" s="4" t="e">
        <f t="shared" si="8"/>
        <v>#REF!</v>
      </c>
      <c r="F508" s="4" t="e" cm="1">
        <f t="array" ref="F508">AVERAGE(B508:B2015-$I$4/252)/_xlfn.STDEV.S(B508:B2015-$I$4)</f>
        <v>#REF!</v>
      </c>
      <c r="G508" s="6" t="e">
        <f>M17-($I$4+M9*(N17-$I$4))</f>
        <v>#REF!</v>
      </c>
      <c r="H508" s="6" t="e">
        <f>_xlfn.COVARIANCE.S(B508:B759,C508:C759)/_xlfn.VAR.S(C508:C759)</f>
        <v>#REF!</v>
      </c>
      <c r="I508" s="4"/>
      <c r="J508" s="6" t="e">
        <f>(M17-$I$4)/M9</f>
        <v>#REF!</v>
      </c>
    </row>
    <row r="509" spans="1:10" x14ac:dyDescent="0.2">
      <c r="A509" t="e">
        <f>LEFT(#REF!,10)</f>
        <v>#REF!</v>
      </c>
      <c r="B509" s="4" t="e">
        <f>(#REF!-#REF!)/#REF!</f>
        <v>#REF!</v>
      </c>
      <c r="C509" s="4" t="e">
        <f>(#REF!-#REF!)/#REF!</f>
        <v>#REF!</v>
      </c>
      <c r="D509" s="4" t="e">
        <f>LN(#REF!/#REF!)</f>
        <v>#REF!</v>
      </c>
      <c r="E509" s="4" t="e">
        <f t="shared" si="8"/>
        <v>#REF!</v>
      </c>
      <c r="F509" s="4" t="e" cm="1">
        <f t="array" ref="F509">AVERAGE(B509:B2016-$I$4/252)/_xlfn.STDEV.S(B509:B2016-$I$4)</f>
        <v>#REF!</v>
      </c>
      <c r="G509" s="4"/>
      <c r="H509" s="4"/>
      <c r="I509" s="4"/>
      <c r="J509" s="4"/>
    </row>
    <row r="510" spans="1:10" x14ac:dyDescent="0.2">
      <c r="A510" t="e">
        <f>LEFT(#REF!,10)</f>
        <v>#REF!</v>
      </c>
      <c r="B510" s="4" t="e">
        <f>(#REF!-#REF!)/#REF!</f>
        <v>#REF!</v>
      </c>
      <c r="C510" s="4" t="e">
        <f>(#REF!-#REF!)/#REF!</f>
        <v>#REF!</v>
      </c>
      <c r="D510" s="4" t="e">
        <f>LN(#REF!/#REF!)</f>
        <v>#REF!</v>
      </c>
      <c r="E510" s="4" t="e">
        <f t="shared" si="8"/>
        <v>#REF!</v>
      </c>
      <c r="F510" s="4" t="e" cm="1">
        <f t="array" ref="F510">AVERAGE(B510:B2017-$I$4/252)/_xlfn.STDEV.S(B510:B2017-$I$4)</f>
        <v>#REF!</v>
      </c>
      <c r="G510" s="4"/>
      <c r="H510" s="4"/>
      <c r="I510" s="4"/>
      <c r="J510" s="4"/>
    </row>
    <row r="511" spans="1:10" x14ac:dyDescent="0.2">
      <c r="A511" t="e">
        <f>LEFT(#REF!,10)</f>
        <v>#REF!</v>
      </c>
      <c r="B511" s="4" t="e">
        <f>(#REF!-#REF!)/#REF!</f>
        <v>#REF!</v>
      </c>
      <c r="C511" s="4" t="e">
        <f>(#REF!-#REF!)/#REF!</f>
        <v>#REF!</v>
      </c>
      <c r="D511" s="4" t="e">
        <f>LN(#REF!/#REF!)</f>
        <v>#REF!</v>
      </c>
      <c r="E511" s="4" t="e">
        <f t="shared" si="8"/>
        <v>#REF!</v>
      </c>
      <c r="F511" s="4" t="e" cm="1">
        <f t="array" ref="F511">AVERAGE(B511:B2018-$I$4/252)/_xlfn.STDEV.S(B511:B2018-$I$4)</f>
        <v>#REF!</v>
      </c>
      <c r="G511" s="4"/>
      <c r="H511" s="4"/>
      <c r="I511" s="4"/>
      <c r="J511" s="4"/>
    </row>
    <row r="512" spans="1:10" x14ac:dyDescent="0.2">
      <c r="A512" t="e">
        <f>LEFT(#REF!,10)</f>
        <v>#REF!</v>
      </c>
      <c r="B512" s="4" t="e">
        <f>(#REF!-#REF!)/#REF!</f>
        <v>#REF!</v>
      </c>
      <c r="C512" s="4" t="e">
        <f>(#REF!-#REF!)/#REF!</f>
        <v>#REF!</v>
      </c>
      <c r="D512" s="4" t="e">
        <f>LN(#REF!/#REF!)</f>
        <v>#REF!</v>
      </c>
      <c r="E512" s="4" t="e">
        <f t="shared" si="8"/>
        <v>#REF!</v>
      </c>
      <c r="F512" s="4" t="e" cm="1">
        <f t="array" ref="F512">AVERAGE(B512:B2019-$I$4/252)/_xlfn.STDEV.S(B512:B2019-$I$4)</f>
        <v>#REF!</v>
      </c>
      <c r="G512" s="4"/>
      <c r="H512" s="4"/>
      <c r="I512" s="4"/>
      <c r="J512" s="4"/>
    </row>
    <row r="513" spans="1:10" x14ac:dyDescent="0.2">
      <c r="A513" t="e">
        <f>LEFT(#REF!,10)</f>
        <v>#REF!</v>
      </c>
      <c r="B513" s="4" t="e">
        <f>(#REF!-#REF!)/#REF!</f>
        <v>#REF!</v>
      </c>
      <c r="C513" s="4" t="e">
        <f>(#REF!-#REF!)/#REF!</f>
        <v>#REF!</v>
      </c>
      <c r="D513" s="4" t="e">
        <f>LN(#REF!/#REF!)</f>
        <v>#REF!</v>
      </c>
      <c r="E513" s="4" t="e">
        <f t="shared" si="8"/>
        <v>#REF!</v>
      </c>
      <c r="F513" s="4" t="e" cm="1">
        <f t="array" ref="F513">AVERAGE(B513:B2020-$I$4/252)/_xlfn.STDEV.S(B513:B2020-$I$4)</f>
        <v>#REF!</v>
      </c>
      <c r="G513" s="4"/>
      <c r="H513" s="4"/>
      <c r="I513" s="4"/>
      <c r="J513" s="4"/>
    </row>
    <row r="514" spans="1:10" x14ac:dyDescent="0.2">
      <c r="A514" t="e">
        <f>LEFT(#REF!,10)</f>
        <v>#REF!</v>
      </c>
      <c r="B514" s="4" t="e">
        <f>(#REF!-#REF!)/#REF!</f>
        <v>#REF!</v>
      </c>
      <c r="C514" s="4" t="e">
        <f>(#REF!-#REF!)/#REF!</f>
        <v>#REF!</v>
      </c>
      <c r="D514" s="4" t="e">
        <f>LN(#REF!/#REF!)</f>
        <v>#REF!</v>
      </c>
      <c r="E514" s="4" t="e">
        <f t="shared" si="8"/>
        <v>#REF!</v>
      </c>
      <c r="F514" s="4" t="e" cm="1">
        <f t="array" ref="F514">AVERAGE(B514:B2021-$I$4/252)/_xlfn.STDEV.S(B514:B2021-$I$4)</f>
        <v>#REF!</v>
      </c>
      <c r="G514" s="4"/>
      <c r="H514" s="4"/>
      <c r="I514" s="4"/>
      <c r="J514" s="4"/>
    </row>
    <row r="515" spans="1:10" x14ac:dyDescent="0.2">
      <c r="A515" t="e">
        <f>LEFT(#REF!,10)</f>
        <v>#REF!</v>
      </c>
      <c r="B515" s="4" t="e">
        <f>(#REF!-#REF!)/#REF!</f>
        <v>#REF!</v>
      </c>
      <c r="C515" s="4" t="e">
        <f>(#REF!-#REF!)/#REF!</f>
        <v>#REF!</v>
      </c>
      <c r="D515" s="4" t="e">
        <f>LN(#REF!/#REF!)</f>
        <v>#REF!</v>
      </c>
      <c r="E515" s="4" t="e">
        <f t="shared" si="8"/>
        <v>#REF!</v>
      </c>
      <c r="F515" s="4" t="e" cm="1">
        <f t="array" ref="F515">AVERAGE(B515:B2022-$I$4/252)/_xlfn.STDEV.S(B515:B2022-$I$4)</f>
        <v>#REF!</v>
      </c>
      <c r="G515" s="4"/>
      <c r="H515" s="4"/>
      <c r="I515" s="4"/>
      <c r="J515" s="4"/>
    </row>
    <row r="516" spans="1:10" x14ac:dyDescent="0.2">
      <c r="A516" t="e">
        <f>LEFT(#REF!,10)</f>
        <v>#REF!</v>
      </c>
      <c r="B516" s="4" t="e">
        <f>(#REF!-#REF!)/#REF!</f>
        <v>#REF!</v>
      </c>
      <c r="C516" s="4" t="e">
        <f>(#REF!-#REF!)/#REF!</f>
        <v>#REF!</v>
      </c>
      <c r="D516" s="4" t="e">
        <f>LN(#REF!/#REF!)</f>
        <v>#REF!</v>
      </c>
      <c r="E516" s="4" t="e">
        <f t="shared" si="8"/>
        <v>#REF!</v>
      </c>
      <c r="F516" s="4" t="e" cm="1">
        <f t="array" ref="F516">AVERAGE(B516:B2023-$I$4/252)/_xlfn.STDEV.S(B516:B2023-$I$4)</f>
        <v>#REF!</v>
      </c>
      <c r="G516" s="4"/>
      <c r="H516" s="4"/>
      <c r="I516" s="4"/>
      <c r="J516" s="4"/>
    </row>
    <row r="517" spans="1:10" x14ac:dyDescent="0.2">
      <c r="A517" t="e">
        <f>LEFT(#REF!,10)</f>
        <v>#REF!</v>
      </c>
      <c r="B517" s="4" t="e">
        <f>(#REF!-#REF!)/#REF!</f>
        <v>#REF!</v>
      </c>
      <c r="C517" s="4" t="e">
        <f>(#REF!-#REF!)/#REF!</f>
        <v>#REF!</v>
      </c>
      <c r="D517" s="4" t="e">
        <f>LN(#REF!/#REF!)</f>
        <v>#REF!</v>
      </c>
      <c r="E517" s="4" t="e">
        <f t="shared" ref="E517:E580" si="9">_xlfn.STDEV.S(D517:D536)</f>
        <v>#REF!</v>
      </c>
      <c r="F517" s="4" t="e" cm="1">
        <f t="array" ref="F517">AVERAGE(B517:B2024-$I$4/252)/_xlfn.STDEV.S(B517:B2024-$I$4)</f>
        <v>#REF!</v>
      </c>
      <c r="G517" s="4"/>
      <c r="H517" s="4"/>
      <c r="I517" s="4"/>
      <c r="J517" s="4"/>
    </row>
    <row r="518" spans="1:10" x14ac:dyDescent="0.2">
      <c r="A518" t="e">
        <f>LEFT(#REF!,10)</f>
        <v>#REF!</v>
      </c>
      <c r="B518" s="4" t="e">
        <f>(#REF!-#REF!)/#REF!</f>
        <v>#REF!</v>
      </c>
      <c r="C518" s="4" t="e">
        <f>(#REF!-#REF!)/#REF!</f>
        <v>#REF!</v>
      </c>
      <c r="D518" s="4" t="e">
        <f>LN(#REF!/#REF!)</f>
        <v>#REF!</v>
      </c>
      <c r="E518" s="4" t="e">
        <f t="shared" si="9"/>
        <v>#REF!</v>
      </c>
      <c r="F518" s="4" t="e" cm="1">
        <f t="array" ref="F518">AVERAGE(B518:B2025-$I$4/252)/_xlfn.STDEV.S(B518:B2025-$I$4)</f>
        <v>#REF!</v>
      </c>
      <c r="G518" s="4"/>
      <c r="H518" s="4"/>
      <c r="I518" s="4"/>
      <c r="J518" s="4"/>
    </row>
    <row r="519" spans="1:10" x14ac:dyDescent="0.2">
      <c r="A519" t="e">
        <f>LEFT(#REF!,10)</f>
        <v>#REF!</v>
      </c>
      <c r="B519" s="4" t="e">
        <f>(#REF!-#REF!)/#REF!</f>
        <v>#REF!</v>
      </c>
      <c r="C519" s="4" t="e">
        <f>(#REF!-#REF!)/#REF!</f>
        <v>#REF!</v>
      </c>
      <c r="D519" s="4" t="e">
        <f>LN(#REF!/#REF!)</f>
        <v>#REF!</v>
      </c>
      <c r="E519" s="4" t="e">
        <f t="shared" si="9"/>
        <v>#REF!</v>
      </c>
      <c r="F519" s="4" t="e" cm="1">
        <f t="array" ref="F519">AVERAGE(B519:B2026-$I$4/252)/_xlfn.STDEV.S(B519:B2026-$I$4)</f>
        <v>#REF!</v>
      </c>
      <c r="G519" s="4"/>
      <c r="H519" s="4"/>
      <c r="I519" s="4"/>
      <c r="J519" s="4"/>
    </row>
    <row r="520" spans="1:10" x14ac:dyDescent="0.2">
      <c r="A520" t="e">
        <f>LEFT(#REF!,10)</f>
        <v>#REF!</v>
      </c>
      <c r="B520" s="4" t="e">
        <f>(#REF!-#REF!)/#REF!</f>
        <v>#REF!</v>
      </c>
      <c r="C520" s="4" t="e">
        <f>(#REF!-#REF!)/#REF!</f>
        <v>#REF!</v>
      </c>
      <c r="D520" s="4" t="e">
        <f>LN(#REF!/#REF!)</f>
        <v>#REF!</v>
      </c>
      <c r="E520" s="4" t="e">
        <f t="shared" si="9"/>
        <v>#REF!</v>
      </c>
      <c r="F520" s="4" t="e" cm="1">
        <f t="array" ref="F520">AVERAGE(B520:B2027-$I$4/252)/_xlfn.STDEV.S(B520:B2027-$I$4)</f>
        <v>#REF!</v>
      </c>
      <c r="G520" s="4"/>
      <c r="H520" s="4"/>
      <c r="I520" s="4"/>
      <c r="J520" s="4"/>
    </row>
    <row r="521" spans="1:10" x14ac:dyDescent="0.2">
      <c r="A521" t="e">
        <f>LEFT(#REF!,10)</f>
        <v>#REF!</v>
      </c>
      <c r="B521" s="4" t="e">
        <f>(#REF!-#REF!)/#REF!</f>
        <v>#REF!</v>
      </c>
      <c r="C521" s="4" t="e">
        <f>(#REF!-#REF!)/#REF!</f>
        <v>#REF!</v>
      </c>
      <c r="D521" s="4" t="e">
        <f>LN(#REF!/#REF!)</f>
        <v>#REF!</v>
      </c>
      <c r="E521" s="4" t="e">
        <f t="shared" si="9"/>
        <v>#REF!</v>
      </c>
      <c r="F521" s="4" t="e" cm="1">
        <f t="array" ref="F521">AVERAGE(B521:B2028-$I$4/252)/_xlfn.STDEV.S(B521:B2028-$I$4)</f>
        <v>#REF!</v>
      </c>
      <c r="G521" s="4"/>
      <c r="H521" s="4"/>
      <c r="I521" s="4"/>
      <c r="J521" s="4"/>
    </row>
    <row r="522" spans="1:10" x14ac:dyDescent="0.2">
      <c r="A522" t="e">
        <f>LEFT(#REF!,10)</f>
        <v>#REF!</v>
      </c>
      <c r="B522" s="4" t="e">
        <f>(#REF!-#REF!)/#REF!</f>
        <v>#REF!</v>
      </c>
      <c r="C522" s="4" t="e">
        <f>(#REF!-#REF!)/#REF!</f>
        <v>#REF!</v>
      </c>
      <c r="D522" s="4" t="e">
        <f>LN(#REF!/#REF!)</f>
        <v>#REF!</v>
      </c>
      <c r="E522" s="4" t="e">
        <f t="shared" si="9"/>
        <v>#REF!</v>
      </c>
      <c r="F522" s="4" t="e" cm="1">
        <f t="array" ref="F522">AVERAGE(B522:B2029-$I$4/252)/_xlfn.STDEV.S(B522:B2029-$I$4)</f>
        <v>#REF!</v>
      </c>
      <c r="G522" s="4"/>
      <c r="H522" s="4"/>
      <c r="I522" s="4"/>
      <c r="J522" s="4"/>
    </row>
    <row r="523" spans="1:10" x14ac:dyDescent="0.2">
      <c r="A523" t="e">
        <f>LEFT(#REF!,10)</f>
        <v>#REF!</v>
      </c>
      <c r="B523" s="4" t="e">
        <f>(#REF!-#REF!)/#REF!</f>
        <v>#REF!</v>
      </c>
      <c r="C523" s="4" t="e">
        <f>(#REF!-#REF!)/#REF!</f>
        <v>#REF!</v>
      </c>
      <c r="D523" s="4" t="e">
        <f>LN(#REF!/#REF!)</f>
        <v>#REF!</v>
      </c>
      <c r="E523" s="4" t="e">
        <f t="shared" si="9"/>
        <v>#REF!</v>
      </c>
      <c r="F523" s="4" t="e" cm="1">
        <f t="array" ref="F523">AVERAGE(B523:B2030-$I$4/252)/_xlfn.STDEV.S(B523:B2030-$I$4)</f>
        <v>#REF!</v>
      </c>
      <c r="G523" s="4"/>
      <c r="H523" s="4"/>
      <c r="I523" s="4"/>
      <c r="J523" s="4"/>
    </row>
    <row r="524" spans="1:10" x14ac:dyDescent="0.2">
      <c r="A524" t="e">
        <f>LEFT(#REF!,10)</f>
        <v>#REF!</v>
      </c>
      <c r="B524" s="4" t="e">
        <f>(#REF!-#REF!)/#REF!</f>
        <v>#REF!</v>
      </c>
      <c r="C524" s="4" t="e">
        <f>(#REF!-#REF!)/#REF!</f>
        <v>#REF!</v>
      </c>
      <c r="D524" s="4" t="e">
        <f>LN(#REF!/#REF!)</f>
        <v>#REF!</v>
      </c>
      <c r="E524" s="4" t="e">
        <f t="shared" si="9"/>
        <v>#REF!</v>
      </c>
      <c r="F524" s="4" t="e" cm="1">
        <f t="array" ref="F524">AVERAGE(B524:B2031-$I$4/252)/_xlfn.STDEV.S(B524:B2031-$I$4)</f>
        <v>#REF!</v>
      </c>
      <c r="G524" s="4"/>
      <c r="H524" s="4"/>
      <c r="I524" s="4"/>
      <c r="J524" s="4"/>
    </row>
    <row r="525" spans="1:10" x14ac:dyDescent="0.2">
      <c r="A525" t="e">
        <f>LEFT(#REF!,10)</f>
        <v>#REF!</v>
      </c>
      <c r="B525" s="4" t="e">
        <f>(#REF!-#REF!)/#REF!</f>
        <v>#REF!</v>
      </c>
      <c r="C525" s="4" t="e">
        <f>(#REF!-#REF!)/#REF!</f>
        <v>#REF!</v>
      </c>
      <c r="D525" s="4" t="e">
        <f>LN(#REF!/#REF!)</f>
        <v>#REF!</v>
      </c>
      <c r="E525" s="4" t="e">
        <f t="shared" si="9"/>
        <v>#REF!</v>
      </c>
      <c r="F525" s="4" t="e" cm="1">
        <f t="array" ref="F525">AVERAGE(B525:B2032-$I$4/252)/_xlfn.STDEV.S(B525:B2032-$I$4)</f>
        <v>#REF!</v>
      </c>
      <c r="G525" s="4"/>
      <c r="H525" s="4"/>
      <c r="I525" s="4"/>
      <c r="J525" s="4"/>
    </row>
    <row r="526" spans="1:10" x14ac:dyDescent="0.2">
      <c r="A526" t="e">
        <f>LEFT(#REF!,10)</f>
        <v>#REF!</v>
      </c>
      <c r="B526" s="4" t="e">
        <f>(#REF!-#REF!)/#REF!</f>
        <v>#REF!</v>
      </c>
      <c r="C526" s="4" t="e">
        <f>(#REF!-#REF!)/#REF!</f>
        <v>#REF!</v>
      </c>
      <c r="D526" s="4" t="e">
        <f>LN(#REF!/#REF!)</f>
        <v>#REF!</v>
      </c>
      <c r="E526" s="4" t="e">
        <f t="shared" si="9"/>
        <v>#REF!</v>
      </c>
      <c r="F526" s="4" t="e" cm="1">
        <f t="array" ref="F526">AVERAGE(B526:B2033-$I$4/252)/_xlfn.STDEV.S(B526:B2033-$I$4)</f>
        <v>#REF!</v>
      </c>
      <c r="G526" s="4"/>
      <c r="H526" s="4"/>
      <c r="I526" s="4"/>
      <c r="J526" s="4"/>
    </row>
    <row r="527" spans="1:10" x14ac:dyDescent="0.2">
      <c r="A527" t="e">
        <f>LEFT(#REF!,10)</f>
        <v>#REF!</v>
      </c>
      <c r="B527" s="4" t="e">
        <f>(#REF!-#REF!)/#REF!</f>
        <v>#REF!</v>
      </c>
      <c r="C527" s="4" t="e">
        <f>(#REF!-#REF!)/#REF!</f>
        <v>#REF!</v>
      </c>
      <c r="D527" s="4" t="e">
        <f>LN(#REF!/#REF!)</f>
        <v>#REF!</v>
      </c>
      <c r="E527" s="4" t="e">
        <f t="shared" si="9"/>
        <v>#REF!</v>
      </c>
      <c r="F527" s="4" t="e" cm="1">
        <f t="array" ref="F527">AVERAGE(B527:B2034-$I$4/252)/_xlfn.STDEV.S(B527:B2034-$I$4)</f>
        <v>#REF!</v>
      </c>
      <c r="G527" s="4"/>
      <c r="H527" s="4"/>
      <c r="I527" s="4"/>
      <c r="J527" s="4"/>
    </row>
    <row r="528" spans="1:10" x14ac:dyDescent="0.2">
      <c r="A528" t="e">
        <f>LEFT(#REF!,10)</f>
        <v>#REF!</v>
      </c>
      <c r="B528" s="4" t="e">
        <f>(#REF!-#REF!)/#REF!</f>
        <v>#REF!</v>
      </c>
      <c r="C528" s="4" t="e">
        <f>(#REF!-#REF!)/#REF!</f>
        <v>#REF!</v>
      </c>
      <c r="D528" s="4" t="e">
        <f>LN(#REF!/#REF!)</f>
        <v>#REF!</v>
      </c>
      <c r="E528" s="4" t="e">
        <f t="shared" si="9"/>
        <v>#REF!</v>
      </c>
      <c r="F528" s="4" t="e" cm="1">
        <f t="array" ref="F528">AVERAGE(B528:B2035-$I$4/252)/_xlfn.STDEV.S(B528:B2035-$I$4)</f>
        <v>#REF!</v>
      </c>
      <c r="G528" s="4"/>
      <c r="H528" s="4"/>
      <c r="I528" s="4"/>
      <c r="J528" s="4"/>
    </row>
    <row r="529" spans="1:10" x14ac:dyDescent="0.2">
      <c r="A529" t="e">
        <f>LEFT(#REF!,10)</f>
        <v>#REF!</v>
      </c>
      <c r="B529" s="4" t="e">
        <f>(#REF!-#REF!)/#REF!</f>
        <v>#REF!</v>
      </c>
      <c r="C529" s="4" t="e">
        <f>(#REF!-#REF!)/#REF!</f>
        <v>#REF!</v>
      </c>
      <c r="D529" s="4" t="e">
        <f>LN(#REF!/#REF!)</f>
        <v>#REF!</v>
      </c>
      <c r="E529" s="4" t="e">
        <f t="shared" si="9"/>
        <v>#REF!</v>
      </c>
      <c r="F529" s="4" t="e" cm="1">
        <f t="array" ref="F529">AVERAGE(B529:B2036-$I$4/252)/_xlfn.STDEV.S(B529:B2036-$I$4)</f>
        <v>#REF!</v>
      </c>
      <c r="G529" s="4"/>
      <c r="H529" s="4"/>
      <c r="I529" s="4"/>
      <c r="J529" s="4"/>
    </row>
    <row r="530" spans="1:10" x14ac:dyDescent="0.2">
      <c r="A530" t="e">
        <f>LEFT(#REF!,10)</f>
        <v>#REF!</v>
      </c>
      <c r="B530" s="4" t="e">
        <f>(#REF!-#REF!)/#REF!</f>
        <v>#REF!</v>
      </c>
      <c r="C530" s="4" t="e">
        <f>(#REF!-#REF!)/#REF!</f>
        <v>#REF!</v>
      </c>
      <c r="D530" s="4" t="e">
        <f>LN(#REF!/#REF!)</f>
        <v>#REF!</v>
      </c>
      <c r="E530" s="4" t="e">
        <f t="shared" si="9"/>
        <v>#REF!</v>
      </c>
      <c r="F530" s="4" t="e" cm="1">
        <f t="array" ref="F530">AVERAGE(B530:B2037-$I$4/252)/_xlfn.STDEV.S(B530:B2037-$I$4)</f>
        <v>#REF!</v>
      </c>
      <c r="G530" s="4"/>
      <c r="H530" s="4"/>
      <c r="I530" s="4"/>
      <c r="J530" s="4"/>
    </row>
    <row r="531" spans="1:10" x14ac:dyDescent="0.2">
      <c r="A531" t="e">
        <f>LEFT(#REF!,10)</f>
        <v>#REF!</v>
      </c>
      <c r="B531" s="4" t="e">
        <f>(#REF!-#REF!)/#REF!</f>
        <v>#REF!</v>
      </c>
      <c r="C531" s="4" t="e">
        <f>(#REF!-#REF!)/#REF!</f>
        <v>#REF!</v>
      </c>
      <c r="D531" s="4" t="e">
        <f>LN(#REF!/#REF!)</f>
        <v>#REF!</v>
      </c>
      <c r="E531" s="4" t="e">
        <f t="shared" si="9"/>
        <v>#REF!</v>
      </c>
      <c r="F531" s="4" t="e" cm="1">
        <f t="array" ref="F531">AVERAGE(B531:B2038-$I$4/252)/_xlfn.STDEV.S(B531:B2038-$I$4)</f>
        <v>#REF!</v>
      </c>
      <c r="G531" s="4"/>
      <c r="H531" s="4"/>
      <c r="I531" s="4"/>
      <c r="J531" s="4"/>
    </row>
    <row r="532" spans="1:10" x14ac:dyDescent="0.2">
      <c r="A532" t="e">
        <f>LEFT(#REF!,10)</f>
        <v>#REF!</v>
      </c>
      <c r="B532" s="4" t="e">
        <f>(#REF!-#REF!)/#REF!</f>
        <v>#REF!</v>
      </c>
      <c r="C532" s="4" t="e">
        <f>(#REF!-#REF!)/#REF!</f>
        <v>#REF!</v>
      </c>
      <c r="D532" s="4" t="e">
        <f>LN(#REF!/#REF!)</f>
        <v>#REF!</v>
      </c>
      <c r="E532" s="4" t="e">
        <f t="shared" si="9"/>
        <v>#REF!</v>
      </c>
      <c r="F532" s="4" t="e" cm="1">
        <f t="array" ref="F532">AVERAGE(B532:B2039-$I$4/252)/_xlfn.STDEV.S(B532:B2039-$I$4)</f>
        <v>#REF!</v>
      </c>
      <c r="G532" s="4"/>
      <c r="H532" s="4"/>
      <c r="I532" s="4"/>
      <c r="J532" s="4"/>
    </row>
    <row r="533" spans="1:10" x14ac:dyDescent="0.2">
      <c r="A533" t="e">
        <f>LEFT(#REF!,10)</f>
        <v>#REF!</v>
      </c>
      <c r="B533" s="4" t="e">
        <f>(#REF!-#REF!)/#REF!</f>
        <v>#REF!</v>
      </c>
      <c r="C533" s="4" t="e">
        <f>(#REF!-#REF!)/#REF!</f>
        <v>#REF!</v>
      </c>
      <c r="D533" s="4" t="e">
        <f>LN(#REF!/#REF!)</f>
        <v>#REF!</v>
      </c>
      <c r="E533" s="4" t="e">
        <f t="shared" si="9"/>
        <v>#REF!</v>
      </c>
      <c r="F533" s="4" t="e" cm="1">
        <f t="array" ref="F533">AVERAGE(B533:B2040-$I$4/252)/_xlfn.STDEV.S(B533:B2040-$I$4)</f>
        <v>#REF!</v>
      </c>
      <c r="G533" s="4"/>
      <c r="H533" s="4"/>
      <c r="I533" s="4"/>
      <c r="J533" s="4"/>
    </row>
    <row r="534" spans="1:10" x14ac:dyDescent="0.2">
      <c r="A534" t="e">
        <f>LEFT(#REF!,10)</f>
        <v>#REF!</v>
      </c>
      <c r="B534" s="4" t="e">
        <f>(#REF!-#REF!)/#REF!</f>
        <v>#REF!</v>
      </c>
      <c r="C534" s="4" t="e">
        <f>(#REF!-#REF!)/#REF!</f>
        <v>#REF!</v>
      </c>
      <c r="D534" s="4" t="e">
        <f>LN(#REF!/#REF!)</f>
        <v>#REF!</v>
      </c>
      <c r="E534" s="4" t="e">
        <f t="shared" si="9"/>
        <v>#REF!</v>
      </c>
      <c r="F534" s="4" t="e" cm="1">
        <f t="array" ref="F534">AVERAGE(B534:B2041-$I$4/252)/_xlfn.STDEV.S(B534:B2041-$I$4)</f>
        <v>#REF!</v>
      </c>
      <c r="G534" s="4"/>
      <c r="H534" s="4"/>
      <c r="I534" s="4"/>
      <c r="J534" s="4"/>
    </row>
    <row r="535" spans="1:10" x14ac:dyDescent="0.2">
      <c r="A535" t="e">
        <f>LEFT(#REF!,10)</f>
        <v>#REF!</v>
      </c>
      <c r="B535" s="4" t="e">
        <f>(#REF!-#REF!)/#REF!</f>
        <v>#REF!</v>
      </c>
      <c r="C535" s="4" t="e">
        <f>(#REF!-#REF!)/#REF!</f>
        <v>#REF!</v>
      </c>
      <c r="D535" s="4" t="e">
        <f>LN(#REF!/#REF!)</f>
        <v>#REF!</v>
      </c>
      <c r="E535" s="4" t="e">
        <f t="shared" si="9"/>
        <v>#REF!</v>
      </c>
      <c r="F535" s="4" t="e" cm="1">
        <f t="array" ref="F535">AVERAGE(B535:B2042-$I$4/252)/_xlfn.STDEV.S(B535:B2042-$I$4)</f>
        <v>#REF!</v>
      </c>
      <c r="G535" s="4"/>
      <c r="H535" s="4"/>
      <c r="I535" s="4"/>
      <c r="J535" s="4"/>
    </row>
    <row r="536" spans="1:10" x14ac:dyDescent="0.2">
      <c r="A536" t="e">
        <f>LEFT(#REF!,10)</f>
        <v>#REF!</v>
      </c>
      <c r="B536" s="4" t="e">
        <f>(#REF!-#REF!)/#REF!</f>
        <v>#REF!</v>
      </c>
      <c r="C536" s="4" t="e">
        <f>(#REF!-#REF!)/#REF!</f>
        <v>#REF!</v>
      </c>
      <c r="D536" s="4" t="e">
        <f>LN(#REF!/#REF!)</f>
        <v>#REF!</v>
      </c>
      <c r="E536" s="4" t="e">
        <f t="shared" si="9"/>
        <v>#REF!</v>
      </c>
      <c r="F536" s="4" t="e" cm="1">
        <f t="array" ref="F536">AVERAGE(B536:B2043-$I$4/252)/_xlfn.STDEV.S(B536:B2043-$I$4)</f>
        <v>#REF!</v>
      </c>
      <c r="G536" s="4"/>
      <c r="H536" s="4"/>
      <c r="I536" s="4"/>
      <c r="J536" s="4"/>
    </row>
    <row r="537" spans="1:10" x14ac:dyDescent="0.2">
      <c r="A537" t="e">
        <f>LEFT(#REF!,10)</f>
        <v>#REF!</v>
      </c>
      <c r="B537" s="4" t="e">
        <f>(#REF!-#REF!)/#REF!</f>
        <v>#REF!</v>
      </c>
      <c r="C537" s="4" t="e">
        <f>(#REF!-#REF!)/#REF!</f>
        <v>#REF!</v>
      </c>
      <c r="D537" s="4" t="e">
        <f>LN(#REF!/#REF!)</f>
        <v>#REF!</v>
      </c>
      <c r="E537" s="4" t="e">
        <f t="shared" si="9"/>
        <v>#REF!</v>
      </c>
      <c r="F537" s="4" t="e" cm="1">
        <f t="array" ref="F537">AVERAGE(B537:B2044-$I$4/252)/_xlfn.STDEV.S(B537:B2044-$I$4)</f>
        <v>#REF!</v>
      </c>
      <c r="G537" s="4"/>
      <c r="H537" s="4"/>
      <c r="I537" s="4"/>
      <c r="J537" s="4"/>
    </row>
    <row r="538" spans="1:10" x14ac:dyDescent="0.2">
      <c r="A538" t="e">
        <f>LEFT(#REF!,10)</f>
        <v>#REF!</v>
      </c>
      <c r="B538" s="4" t="e">
        <f>(#REF!-#REF!)/#REF!</f>
        <v>#REF!</v>
      </c>
      <c r="C538" s="4" t="e">
        <f>(#REF!-#REF!)/#REF!</f>
        <v>#REF!</v>
      </c>
      <c r="D538" s="4" t="e">
        <f>LN(#REF!/#REF!)</f>
        <v>#REF!</v>
      </c>
      <c r="E538" s="4" t="e">
        <f t="shared" si="9"/>
        <v>#REF!</v>
      </c>
      <c r="F538" s="4" t="e" cm="1">
        <f t="array" ref="F538">AVERAGE(B538:B2045-$I$4/252)/_xlfn.STDEV.S(B538:B2045-$I$4)</f>
        <v>#REF!</v>
      </c>
      <c r="G538" s="4"/>
      <c r="H538" s="4"/>
      <c r="I538" s="4"/>
      <c r="J538" s="4"/>
    </row>
    <row r="539" spans="1:10" x14ac:dyDescent="0.2">
      <c r="A539" t="e">
        <f>LEFT(#REF!,10)</f>
        <v>#REF!</v>
      </c>
      <c r="B539" s="4" t="e">
        <f>(#REF!-#REF!)/#REF!</f>
        <v>#REF!</v>
      </c>
      <c r="C539" s="4" t="e">
        <f>(#REF!-#REF!)/#REF!</f>
        <v>#REF!</v>
      </c>
      <c r="D539" s="4" t="e">
        <f>LN(#REF!/#REF!)</f>
        <v>#REF!</v>
      </c>
      <c r="E539" s="4" t="e">
        <f t="shared" si="9"/>
        <v>#REF!</v>
      </c>
      <c r="F539" s="4" t="e" cm="1">
        <f t="array" ref="F539">AVERAGE(B539:B2046-$I$4/252)/_xlfn.STDEV.S(B539:B2046-$I$4)</f>
        <v>#REF!</v>
      </c>
      <c r="G539" s="4"/>
      <c r="H539" s="4"/>
      <c r="I539" s="4"/>
      <c r="J539" s="4"/>
    </row>
    <row r="540" spans="1:10" x14ac:dyDescent="0.2">
      <c r="A540" t="e">
        <f>LEFT(#REF!,10)</f>
        <v>#REF!</v>
      </c>
      <c r="B540" s="4" t="e">
        <f>(#REF!-#REF!)/#REF!</f>
        <v>#REF!</v>
      </c>
      <c r="C540" s="4" t="e">
        <f>(#REF!-#REF!)/#REF!</f>
        <v>#REF!</v>
      </c>
      <c r="D540" s="4" t="e">
        <f>LN(#REF!/#REF!)</f>
        <v>#REF!</v>
      </c>
      <c r="E540" s="4" t="e">
        <f t="shared" si="9"/>
        <v>#REF!</v>
      </c>
      <c r="F540" s="4" t="e" cm="1">
        <f t="array" ref="F540">AVERAGE(B540:B2047-$I$4/252)/_xlfn.STDEV.S(B540:B2047-$I$4)</f>
        <v>#REF!</v>
      </c>
      <c r="G540" s="4"/>
      <c r="H540" s="4"/>
      <c r="I540" s="4"/>
      <c r="J540" s="4"/>
    </row>
    <row r="541" spans="1:10" x14ac:dyDescent="0.2">
      <c r="A541" t="e">
        <f>LEFT(#REF!,10)</f>
        <v>#REF!</v>
      </c>
      <c r="B541" s="4" t="e">
        <f>(#REF!-#REF!)/#REF!</f>
        <v>#REF!</v>
      </c>
      <c r="C541" s="4" t="e">
        <f>(#REF!-#REF!)/#REF!</f>
        <v>#REF!</v>
      </c>
      <c r="D541" s="4" t="e">
        <f>LN(#REF!/#REF!)</f>
        <v>#REF!</v>
      </c>
      <c r="E541" s="4" t="e">
        <f t="shared" si="9"/>
        <v>#REF!</v>
      </c>
      <c r="F541" s="4" t="e" cm="1">
        <f t="array" ref="F541">AVERAGE(B541:B2048-$I$4/252)/_xlfn.STDEV.S(B541:B2048-$I$4)</f>
        <v>#REF!</v>
      </c>
      <c r="G541" s="4"/>
      <c r="H541" s="4"/>
      <c r="I541" s="4"/>
      <c r="J541" s="4"/>
    </row>
    <row r="542" spans="1:10" x14ac:dyDescent="0.2">
      <c r="A542" t="e">
        <f>LEFT(#REF!,10)</f>
        <v>#REF!</v>
      </c>
      <c r="B542" s="4" t="e">
        <f>(#REF!-#REF!)/#REF!</f>
        <v>#REF!</v>
      </c>
      <c r="C542" s="4" t="e">
        <f>(#REF!-#REF!)/#REF!</f>
        <v>#REF!</v>
      </c>
      <c r="D542" s="4" t="e">
        <f>LN(#REF!/#REF!)</f>
        <v>#REF!</v>
      </c>
      <c r="E542" s="4" t="e">
        <f t="shared" si="9"/>
        <v>#REF!</v>
      </c>
      <c r="F542" s="4" t="e" cm="1">
        <f t="array" ref="F542">AVERAGE(B542:B2049-$I$4/252)/_xlfn.STDEV.S(B542:B2049-$I$4)</f>
        <v>#REF!</v>
      </c>
      <c r="G542" s="4"/>
      <c r="H542" s="4"/>
      <c r="I542" s="4"/>
      <c r="J542" s="4"/>
    </row>
    <row r="543" spans="1:10" x14ac:dyDescent="0.2">
      <c r="A543" t="e">
        <f>LEFT(#REF!,10)</f>
        <v>#REF!</v>
      </c>
      <c r="B543" s="4" t="e">
        <f>(#REF!-#REF!)/#REF!</f>
        <v>#REF!</v>
      </c>
      <c r="C543" s="4" t="e">
        <f>(#REF!-#REF!)/#REF!</f>
        <v>#REF!</v>
      </c>
      <c r="D543" s="4" t="e">
        <f>LN(#REF!/#REF!)</f>
        <v>#REF!</v>
      </c>
      <c r="E543" s="4" t="e">
        <f t="shared" si="9"/>
        <v>#REF!</v>
      </c>
      <c r="F543" s="4" t="e" cm="1">
        <f t="array" ref="F543">AVERAGE(B543:B2050-$I$4/252)/_xlfn.STDEV.S(B543:B2050-$I$4)</f>
        <v>#REF!</v>
      </c>
      <c r="G543" s="4"/>
      <c r="H543" s="4"/>
      <c r="I543" s="4"/>
      <c r="J543" s="4"/>
    </row>
    <row r="544" spans="1:10" x14ac:dyDescent="0.2">
      <c r="A544" t="e">
        <f>LEFT(#REF!,10)</f>
        <v>#REF!</v>
      </c>
      <c r="B544" s="4" t="e">
        <f>(#REF!-#REF!)/#REF!</f>
        <v>#REF!</v>
      </c>
      <c r="C544" s="4" t="e">
        <f>(#REF!-#REF!)/#REF!</f>
        <v>#REF!</v>
      </c>
      <c r="D544" s="4" t="e">
        <f>LN(#REF!/#REF!)</f>
        <v>#REF!</v>
      </c>
      <c r="E544" s="4" t="e">
        <f t="shared" si="9"/>
        <v>#REF!</v>
      </c>
      <c r="F544" s="4" t="e" cm="1">
        <f t="array" ref="F544">AVERAGE(B544:B2051-$I$4/252)/_xlfn.STDEV.S(B544:B2051-$I$4)</f>
        <v>#REF!</v>
      </c>
      <c r="G544" s="4"/>
      <c r="H544" s="4"/>
      <c r="I544" s="4"/>
      <c r="J544" s="4"/>
    </row>
    <row r="545" spans="1:10" x14ac:dyDescent="0.2">
      <c r="A545" t="e">
        <f>LEFT(#REF!,10)</f>
        <v>#REF!</v>
      </c>
      <c r="B545" s="4" t="e">
        <f>(#REF!-#REF!)/#REF!</f>
        <v>#REF!</v>
      </c>
      <c r="C545" s="4" t="e">
        <f>(#REF!-#REF!)/#REF!</f>
        <v>#REF!</v>
      </c>
      <c r="D545" s="4" t="e">
        <f>LN(#REF!/#REF!)</f>
        <v>#REF!</v>
      </c>
      <c r="E545" s="4" t="e">
        <f t="shared" si="9"/>
        <v>#REF!</v>
      </c>
      <c r="F545" s="4" t="e" cm="1">
        <f t="array" ref="F545">AVERAGE(B545:B2052-$I$4/252)/_xlfn.STDEV.S(B545:B2052-$I$4)</f>
        <v>#REF!</v>
      </c>
      <c r="G545" s="4"/>
      <c r="H545" s="4"/>
      <c r="I545" s="4"/>
      <c r="J545" s="4"/>
    </row>
    <row r="546" spans="1:10" x14ac:dyDescent="0.2">
      <c r="A546" t="e">
        <f>LEFT(#REF!,10)</f>
        <v>#REF!</v>
      </c>
      <c r="B546" s="4" t="e">
        <f>(#REF!-#REF!)/#REF!</f>
        <v>#REF!</v>
      </c>
      <c r="C546" s="4" t="e">
        <f>(#REF!-#REF!)/#REF!</f>
        <v>#REF!</v>
      </c>
      <c r="D546" s="4" t="e">
        <f>LN(#REF!/#REF!)</f>
        <v>#REF!</v>
      </c>
      <c r="E546" s="4" t="e">
        <f t="shared" si="9"/>
        <v>#REF!</v>
      </c>
      <c r="F546" s="4" t="e" cm="1">
        <f t="array" ref="F546">AVERAGE(B546:B2053-$I$4/252)/_xlfn.STDEV.S(B546:B2053-$I$4)</f>
        <v>#REF!</v>
      </c>
      <c r="G546" s="4"/>
      <c r="H546" s="4"/>
      <c r="I546" s="4"/>
      <c r="J546" s="4"/>
    </row>
    <row r="547" spans="1:10" x14ac:dyDescent="0.2">
      <c r="A547" t="e">
        <f>LEFT(#REF!,10)</f>
        <v>#REF!</v>
      </c>
      <c r="B547" s="4" t="e">
        <f>(#REF!-#REF!)/#REF!</f>
        <v>#REF!</v>
      </c>
      <c r="C547" s="4" t="e">
        <f>(#REF!-#REF!)/#REF!</f>
        <v>#REF!</v>
      </c>
      <c r="D547" s="4" t="e">
        <f>LN(#REF!/#REF!)</f>
        <v>#REF!</v>
      </c>
      <c r="E547" s="4" t="e">
        <f t="shared" si="9"/>
        <v>#REF!</v>
      </c>
      <c r="F547" s="4" t="e" cm="1">
        <f t="array" ref="F547">AVERAGE(B547:B2054-$I$4/252)/_xlfn.STDEV.S(B547:B2054-$I$4)</f>
        <v>#REF!</v>
      </c>
      <c r="G547" s="4"/>
      <c r="H547" s="4"/>
      <c r="I547" s="4"/>
      <c r="J547" s="4"/>
    </row>
    <row r="548" spans="1:10" x14ac:dyDescent="0.2">
      <c r="A548" t="e">
        <f>LEFT(#REF!,10)</f>
        <v>#REF!</v>
      </c>
      <c r="B548" s="4" t="e">
        <f>(#REF!-#REF!)/#REF!</f>
        <v>#REF!</v>
      </c>
      <c r="C548" s="4" t="e">
        <f>(#REF!-#REF!)/#REF!</f>
        <v>#REF!</v>
      </c>
      <c r="D548" s="4" t="e">
        <f>LN(#REF!/#REF!)</f>
        <v>#REF!</v>
      </c>
      <c r="E548" s="4" t="e">
        <f t="shared" si="9"/>
        <v>#REF!</v>
      </c>
      <c r="F548" s="4" t="e" cm="1">
        <f t="array" ref="F548">AVERAGE(B548:B2055-$I$4/252)/_xlfn.STDEV.S(B548:B2055-$I$4)</f>
        <v>#REF!</v>
      </c>
      <c r="G548" s="4"/>
      <c r="H548" s="4"/>
      <c r="I548" s="4"/>
      <c r="J548" s="4"/>
    </row>
    <row r="549" spans="1:10" x14ac:dyDescent="0.2">
      <c r="A549" t="e">
        <f>LEFT(#REF!,10)</f>
        <v>#REF!</v>
      </c>
      <c r="B549" s="4" t="e">
        <f>(#REF!-#REF!)/#REF!</f>
        <v>#REF!</v>
      </c>
      <c r="C549" s="4" t="e">
        <f>(#REF!-#REF!)/#REF!</f>
        <v>#REF!</v>
      </c>
      <c r="D549" s="4" t="e">
        <f>LN(#REF!/#REF!)</f>
        <v>#REF!</v>
      </c>
      <c r="E549" s="4" t="e">
        <f t="shared" si="9"/>
        <v>#REF!</v>
      </c>
      <c r="F549" s="4" t="e" cm="1">
        <f t="array" ref="F549">AVERAGE(B549:B2056-$I$4/252)/_xlfn.STDEV.S(B549:B2056-$I$4)</f>
        <v>#REF!</v>
      </c>
      <c r="G549" s="4"/>
      <c r="H549" s="4"/>
      <c r="I549" s="4"/>
      <c r="J549" s="4"/>
    </row>
    <row r="550" spans="1:10" x14ac:dyDescent="0.2">
      <c r="A550" t="e">
        <f>LEFT(#REF!,10)</f>
        <v>#REF!</v>
      </c>
      <c r="B550" s="4" t="e">
        <f>(#REF!-#REF!)/#REF!</f>
        <v>#REF!</v>
      </c>
      <c r="C550" s="4" t="e">
        <f>(#REF!-#REF!)/#REF!</f>
        <v>#REF!</v>
      </c>
      <c r="D550" s="4" t="e">
        <f>LN(#REF!/#REF!)</f>
        <v>#REF!</v>
      </c>
      <c r="E550" s="4" t="e">
        <f t="shared" si="9"/>
        <v>#REF!</v>
      </c>
      <c r="F550" s="4" t="e" cm="1">
        <f t="array" ref="F550">AVERAGE(B550:B2057-$I$4/252)/_xlfn.STDEV.S(B550:B2057-$I$4)</f>
        <v>#REF!</v>
      </c>
      <c r="G550" s="4"/>
      <c r="H550" s="4"/>
      <c r="I550" s="4"/>
      <c r="J550" s="4"/>
    </row>
    <row r="551" spans="1:10" x14ac:dyDescent="0.2">
      <c r="A551" t="e">
        <f>LEFT(#REF!,10)</f>
        <v>#REF!</v>
      </c>
      <c r="B551" s="4" t="e">
        <f>(#REF!-#REF!)/#REF!</f>
        <v>#REF!</v>
      </c>
      <c r="C551" s="4" t="e">
        <f>(#REF!-#REF!)/#REF!</f>
        <v>#REF!</v>
      </c>
      <c r="D551" s="4" t="e">
        <f>LN(#REF!/#REF!)</f>
        <v>#REF!</v>
      </c>
      <c r="E551" s="4" t="e">
        <f t="shared" si="9"/>
        <v>#REF!</v>
      </c>
      <c r="F551" s="4" t="e" cm="1">
        <f t="array" ref="F551">AVERAGE(B551:B2058-$I$4/252)/_xlfn.STDEV.S(B551:B2058-$I$4)</f>
        <v>#REF!</v>
      </c>
      <c r="G551" s="4"/>
      <c r="H551" s="4"/>
      <c r="I551" s="4"/>
      <c r="J551" s="4"/>
    </row>
    <row r="552" spans="1:10" x14ac:dyDescent="0.2">
      <c r="A552" t="e">
        <f>LEFT(#REF!,10)</f>
        <v>#REF!</v>
      </c>
      <c r="B552" s="4" t="e">
        <f>(#REF!-#REF!)/#REF!</f>
        <v>#REF!</v>
      </c>
      <c r="C552" s="4" t="e">
        <f>(#REF!-#REF!)/#REF!</f>
        <v>#REF!</v>
      </c>
      <c r="D552" s="4" t="e">
        <f>LN(#REF!/#REF!)</f>
        <v>#REF!</v>
      </c>
      <c r="E552" s="4" t="e">
        <f t="shared" si="9"/>
        <v>#REF!</v>
      </c>
      <c r="F552" s="4" t="e" cm="1">
        <f t="array" ref="F552">AVERAGE(B552:B2059-$I$4/252)/_xlfn.STDEV.S(B552:B2059-$I$4)</f>
        <v>#REF!</v>
      </c>
      <c r="G552" s="4"/>
      <c r="H552" s="4"/>
      <c r="I552" s="4"/>
      <c r="J552" s="4"/>
    </row>
    <row r="553" spans="1:10" x14ac:dyDescent="0.2">
      <c r="A553" t="e">
        <f>LEFT(#REF!,10)</f>
        <v>#REF!</v>
      </c>
      <c r="B553" s="4" t="e">
        <f>(#REF!-#REF!)/#REF!</f>
        <v>#REF!</v>
      </c>
      <c r="C553" s="4" t="e">
        <f>(#REF!-#REF!)/#REF!</f>
        <v>#REF!</v>
      </c>
      <c r="D553" s="4" t="e">
        <f>LN(#REF!/#REF!)</f>
        <v>#REF!</v>
      </c>
      <c r="E553" s="4" t="e">
        <f t="shared" si="9"/>
        <v>#REF!</v>
      </c>
      <c r="F553" s="4" t="e" cm="1">
        <f t="array" ref="F553">AVERAGE(B553:B2060-$I$4/252)/_xlfn.STDEV.S(B553:B2060-$I$4)</f>
        <v>#REF!</v>
      </c>
      <c r="G553" s="4"/>
      <c r="H553" s="4"/>
      <c r="I553" s="4"/>
      <c r="J553" s="4"/>
    </row>
    <row r="554" spans="1:10" x14ac:dyDescent="0.2">
      <c r="A554" t="e">
        <f>LEFT(#REF!,10)</f>
        <v>#REF!</v>
      </c>
      <c r="B554" s="4" t="e">
        <f>(#REF!-#REF!)/#REF!</f>
        <v>#REF!</v>
      </c>
      <c r="C554" s="4" t="e">
        <f>(#REF!-#REF!)/#REF!</f>
        <v>#REF!</v>
      </c>
      <c r="D554" s="4" t="e">
        <f>LN(#REF!/#REF!)</f>
        <v>#REF!</v>
      </c>
      <c r="E554" s="4" t="e">
        <f t="shared" si="9"/>
        <v>#REF!</v>
      </c>
      <c r="F554" s="4" t="e" cm="1">
        <f t="array" ref="F554">AVERAGE(B554:B2061-$I$4/252)/_xlfn.STDEV.S(B554:B2061-$I$4)</f>
        <v>#REF!</v>
      </c>
      <c r="G554" s="4"/>
      <c r="H554" s="4"/>
      <c r="I554" s="4"/>
      <c r="J554" s="4"/>
    </row>
    <row r="555" spans="1:10" x14ac:dyDescent="0.2">
      <c r="A555" t="e">
        <f>LEFT(#REF!,10)</f>
        <v>#REF!</v>
      </c>
      <c r="B555" s="4" t="e">
        <f>(#REF!-#REF!)/#REF!</f>
        <v>#REF!</v>
      </c>
      <c r="C555" s="4" t="e">
        <f>(#REF!-#REF!)/#REF!</f>
        <v>#REF!</v>
      </c>
      <c r="D555" s="4" t="e">
        <f>LN(#REF!/#REF!)</f>
        <v>#REF!</v>
      </c>
      <c r="E555" s="4" t="e">
        <f t="shared" si="9"/>
        <v>#REF!</v>
      </c>
      <c r="F555" s="4" t="e" cm="1">
        <f t="array" ref="F555">AVERAGE(B555:B2062-$I$4/252)/_xlfn.STDEV.S(B555:B2062-$I$4)</f>
        <v>#REF!</v>
      </c>
      <c r="G555" s="4"/>
      <c r="H555" s="4"/>
      <c r="I555" s="4"/>
      <c r="J555" s="4"/>
    </row>
    <row r="556" spans="1:10" x14ac:dyDescent="0.2">
      <c r="A556" t="e">
        <f>LEFT(#REF!,10)</f>
        <v>#REF!</v>
      </c>
      <c r="B556" s="4" t="e">
        <f>(#REF!-#REF!)/#REF!</f>
        <v>#REF!</v>
      </c>
      <c r="C556" s="4" t="e">
        <f>(#REF!-#REF!)/#REF!</f>
        <v>#REF!</v>
      </c>
      <c r="D556" s="4" t="e">
        <f>LN(#REF!/#REF!)</f>
        <v>#REF!</v>
      </c>
      <c r="E556" s="4" t="e">
        <f t="shared" si="9"/>
        <v>#REF!</v>
      </c>
      <c r="F556" s="4" t="e" cm="1">
        <f t="array" ref="F556">AVERAGE(B556:B2063-$I$4/252)/_xlfn.STDEV.S(B556:B2063-$I$4)</f>
        <v>#REF!</v>
      </c>
      <c r="G556" s="4"/>
      <c r="H556" s="4"/>
      <c r="I556" s="4"/>
      <c r="J556" s="4"/>
    </row>
    <row r="557" spans="1:10" x14ac:dyDescent="0.2">
      <c r="A557" t="e">
        <f>LEFT(#REF!,10)</f>
        <v>#REF!</v>
      </c>
      <c r="B557" s="4" t="e">
        <f>(#REF!-#REF!)/#REF!</f>
        <v>#REF!</v>
      </c>
      <c r="C557" s="4" t="e">
        <f>(#REF!-#REF!)/#REF!</f>
        <v>#REF!</v>
      </c>
      <c r="D557" s="4" t="e">
        <f>LN(#REF!/#REF!)</f>
        <v>#REF!</v>
      </c>
      <c r="E557" s="4" t="e">
        <f t="shared" si="9"/>
        <v>#REF!</v>
      </c>
      <c r="F557" s="4" t="e" cm="1">
        <f t="array" ref="F557">AVERAGE(B557:B2064-$I$4/252)/_xlfn.STDEV.S(B557:B2064-$I$4)</f>
        <v>#REF!</v>
      </c>
      <c r="G557" s="4"/>
      <c r="H557" s="4"/>
      <c r="I557" s="4"/>
      <c r="J557" s="4"/>
    </row>
    <row r="558" spans="1:10" x14ac:dyDescent="0.2">
      <c r="A558" t="e">
        <f>LEFT(#REF!,10)</f>
        <v>#REF!</v>
      </c>
      <c r="B558" s="4" t="e">
        <f>(#REF!-#REF!)/#REF!</f>
        <v>#REF!</v>
      </c>
      <c r="C558" s="4" t="e">
        <f>(#REF!-#REF!)/#REF!</f>
        <v>#REF!</v>
      </c>
      <c r="D558" s="4" t="e">
        <f>LN(#REF!/#REF!)</f>
        <v>#REF!</v>
      </c>
      <c r="E558" s="4" t="e">
        <f t="shared" si="9"/>
        <v>#REF!</v>
      </c>
      <c r="F558" s="4" t="e" cm="1">
        <f t="array" ref="F558">AVERAGE(B558:B2065-$I$4/252)/_xlfn.STDEV.S(B558:B2065-$I$4)</f>
        <v>#REF!</v>
      </c>
      <c r="G558" s="4"/>
      <c r="H558" s="4"/>
      <c r="I558" s="4"/>
      <c r="J558" s="4"/>
    </row>
    <row r="559" spans="1:10" x14ac:dyDescent="0.2">
      <c r="A559" t="e">
        <f>LEFT(#REF!,10)</f>
        <v>#REF!</v>
      </c>
      <c r="B559" s="4" t="e">
        <f>(#REF!-#REF!)/#REF!</f>
        <v>#REF!</v>
      </c>
      <c r="C559" s="4" t="e">
        <f>(#REF!-#REF!)/#REF!</f>
        <v>#REF!</v>
      </c>
      <c r="D559" s="4" t="e">
        <f>LN(#REF!/#REF!)</f>
        <v>#REF!</v>
      </c>
      <c r="E559" s="4" t="e">
        <f t="shared" si="9"/>
        <v>#REF!</v>
      </c>
      <c r="F559" s="4" t="e" cm="1">
        <f t="array" ref="F559">AVERAGE(B559:B2066-$I$4/252)/_xlfn.STDEV.S(B559:B2066-$I$4)</f>
        <v>#REF!</v>
      </c>
      <c r="G559" s="4"/>
      <c r="H559" s="4"/>
      <c r="I559" s="4"/>
      <c r="J559" s="4"/>
    </row>
    <row r="560" spans="1:10" x14ac:dyDescent="0.2">
      <c r="A560" t="e">
        <f>LEFT(#REF!,10)</f>
        <v>#REF!</v>
      </c>
      <c r="B560" s="4" t="e">
        <f>(#REF!-#REF!)/#REF!</f>
        <v>#REF!</v>
      </c>
      <c r="C560" s="4" t="e">
        <f>(#REF!-#REF!)/#REF!</f>
        <v>#REF!</v>
      </c>
      <c r="D560" s="4" t="e">
        <f>LN(#REF!/#REF!)</f>
        <v>#REF!</v>
      </c>
      <c r="E560" s="4" t="e">
        <f t="shared" si="9"/>
        <v>#REF!</v>
      </c>
      <c r="F560" s="4" t="e" cm="1">
        <f t="array" ref="F560">AVERAGE(B560:B2067-$I$4/252)/_xlfn.STDEV.S(B560:B2067-$I$4)</f>
        <v>#REF!</v>
      </c>
      <c r="G560" s="4"/>
      <c r="H560" s="4"/>
      <c r="I560" s="4"/>
      <c r="J560" s="4"/>
    </row>
    <row r="561" spans="1:10" x14ac:dyDescent="0.2">
      <c r="A561" t="e">
        <f>LEFT(#REF!,10)</f>
        <v>#REF!</v>
      </c>
      <c r="B561" s="4" t="e">
        <f>(#REF!-#REF!)/#REF!</f>
        <v>#REF!</v>
      </c>
      <c r="C561" s="4" t="e">
        <f>(#REF!-#REF!)/#REF!</f>
        <v>#REF!</v>
      </c>
      <c r="D561" s="4" t="e">
        <f>LN(#REF!/#REF!)</f>
        <v>#REF!</v>
      </c>
      <c r="E561" s="4" t="e">
        <f t="shared" si="9"/>
        <v>#REF!</v>
      </c>
      <c r="F561" s="4" t="e" cm="1">
        <f t="array" ref="F561">AVERAGE(B561:B2068-$I$4/252)/_xlfn.STDEV.S(B561:B2068-$I$4)</f>
        <v>#REF!</v>
      </c>
      <c r="G561" s="4"/>
      <c r="H561" s="4"/>
      <c r="I561" s="4"/>
      <c r="J561" s="4"/>
    </row>
    <row r="562" spans="1:10" x14ac:dyDescent="0.2">
      <c r="A562" t="e">
        <f>LEFT(#REF!,10)</f>
        <v>#REF!</v>
      </c>
      <c r="B562" s="4" t="e">
        <f>(#REF!-#REF!)/#REF!</f>
        <v>#REF!</v>
      </c>
      <c r="C562" s="4" t="e">
        <f>(#REF!-#REF!)/#REF!</f>
        <v>#REF!</v>
      </c>
      <c r="D562" s="4" t="e">
        <f>LN(#REF!/#REF!)</f>
        <v>#REF!</v>
      </c>
      <c r="E562" s="4" t="e">
        <f t="shared" si="9"/>
        <v>#REF!</v>
      </c>
      <c r="F562" s="4" t="e" cm="1">
        <f t="array" ref="F562">AVERAGE(B562:B2069-$I$4/252)/_xlfn.STDEV.S(B562:B2069-$I$4)</f>
        <v>#REF!</v>
      </c>
      <c r="G562" s="4"/>
      <c r="H562" s="4"/>
      <c r="I562" s="4"/>
      <c r="J562" s="4"/>
    </row>
    <row r="563" spans="1:10" x14ac:dyDescent="0.2">
      <c r="A563" t="e">
        <f>LEFT(#REF!,10)</f>
        <v>#REF!</v>
      </c>
      <c r="B563" s="4" t="e">
        <f>(#REF!-#REF!)/#REF!</f>
        <v>#REF!</v>
      </c>
      <c r="C563" s="4" t="e">
        <f>(#REF!-#REF!)/#REF!</f>
        <v>#REF!</v>
      </c>
      <c r="D563" s="4" t="e">
        <f>LN(#REF!/#REF!)</f>
        <v>#REF!</v>
      </c>
      <c r="E563" s="4" t="e">
        <f t="shared" si="9"/>
        <v>#REF!</v>
      </c>
      <c r="F563" s="4" t="e" cm="1">
        <f t="array" ref="F563">AVERAGE(B563:B2070-$I$4/252)/_xlfn.STDEV.S(B563:B2070-$I$4)</f>
        <v>#REF!</v>
      </c>
      <c r="G563" s="4"/>
      <c r="H563" s="4"/>
      <c r="I563" s="4"/>
      <c r="J563" s="4"/>
    </row>
    <row r="564" spans="1:10" x14ac:dyDescent="0.2">
      <c r="A564" t="e">
        <f>LEFT(#REF!,10)</f>
        <v>#REF!</v>
      </c>
      <c r="B564" s="4" t="e">
        <f>(#REF!-#REF!)/#REF!</f>
        <v>#REF!</v>
      </c>
      <c r="C564" s="4" t="e">
        <f>(#REF!-#REF!)/#REF!</f>
        <v>#REF!</v>
      </c>
      <c r="D564" s="4" t="e">
        <f>LN(#REF!/#REF!)</f>
        <v>#REF!</v>
      </c>
      <c r="E564" s="4" t="e">
        <f t="shared" si="9"/>
        <v>#REF!</v>
      </c>
      <c r="F564" s="4" t="e" cm="1">
        <f t="array" ref="F564">AVERAGE(B564:B2071-$I$4/252)/_xlfn.STDEV.S(B564:B2071-$I$4)</f>
        <v>#REF!</v>
      </c>
      <c r="G564" s="4"/>
      <c r="H564" s="4"/>
      <c r="I564" s="4"/>
      <c r="J564" s="4"/>
    </row>
    <row r="565" spans="1:10" x14ac:dyDescent="0.2">
      <c r="A565" t="e">
        <f>LEFT(#REF!,10)</f>
        <v>#REF!</v>
      </c>
      <c r="B565" s="4" t="e">
        <f>(#REF!-#REF!)/#REF!</f>
        <v>#REF!</v>
      </c>
      <c r="C565" s="4" t="e">
        <f>(#REF!-#REF!)/#REF!</f>
        <v>#REF!</v>
      </c>
      <c r="D565" s="4" t="e">
        <f>LN(#REF!/#REF!)</f>
        <v>#REF!</v>
      </c>
      <c r="E565" s="4" t="e">
        <f t="shared" si="9"/>
        <v>#REF!</v>
      </c>
      <c r="F565" s="4" t="e" cm="1">
        <f t="array" ref="F565">AVERAGE(B565:B2072-$I$4/252)/_xlfn.STDEV.S(B565:B2072-$I$4)</f>
        <v>#REF!</v>
      </c>
      <c r="G565" s="4"/>
      <c r="H565" s="4"/>
      <c r="I565" s="4"/>
      <c r="J565" s="4"/>
    </row>
    <row r="566" spans="1:10" x14ac:dyDescent="0.2">
      <c r="A566" t="e">
        <f>LEFT(#REF!,10)</f>
        <v>#REF!</v>
      </c>
      <c r="B566" s="4" t="e">
        <f>(#REF!-#REF!)/#REF!</f>
        <v>#REF!</v>
      </c>
      <c r="C566" s="4" t="e">
        <f>(#REF!-#REF!)/#REF!</f>
        <v>#REF!</v>
      </c>
      <c r="D566" s="4" t="e">
        <f>LN(#REF!/#REF!)</f>
        <v>#REF!</v>
      </c>
      <c r="E566" s="4" t="e">
        <f t="shared" si="9"/>
        <v>#REF!</v>
      </c>
      <c r="F566" s="4" t="e" cm="1">
        <f t="array" ref="F566">AVERAGE(B566:B2073-$I$4/252)/_xlfn.STDEV.S(B566:B2073-$I$4)</f>
        <v>#REF!</v>
      </c>
      <c r="G566" s="4"/>
      <c r="H566" s="4"/>
      <c r="I566" s="4"/>
      <c r="J566" s="4"/>
    </row>
    <row r="567" spans="1:10" x14ac:dyDescent="0.2">
      <c r="A567" t="e">
        <f>LEFT(#REF!,10)</f>
        <v>#REF!</v>
      </c>
      <c r="B567" s="4" t="e">
        <f>(#REF!-#REF!)/#REF!</f>
        <v>#REF!</v>
      </c>
      <c r="C567" s="4" t="e">
        <f>(#REF!-#REF!)/#REF!</f>
        <v>#REF!</v>
      </c>
      <c r="D567" s="4" t="e">
        <f>LN(#REF!/#REF!)</f>
        <v>#REF!</v>
      </c>
      <c r="E567" s="4" t="e">
        <f t="shared" si="9"/>
        <v>#REF!</v>
      </c>
      <c r="F567" s="4" t="e" cm="1">
        <f t="array" ref="F567">AVERAGE(B567:B2074-$I$4/252)/_xlfn.STDEV.S(B567:B2074-$I$4)</f>
        <v>#REF!</v>
      </c>
      <c r="G567" s="4"/>
      <c r="H567" s="4"/>
      <c r="I567" s="4"/>
      <c r="J567" s="4"/>
    </row>
    <row r="568" spans="1:10" x14ac:dyDescent="0.2">
      <c r="A568" t="e">
        <f>LEFT(#REF!,10)</f>
        <v>#REF!</v>
      </c>
      <c r="B568" s="4" t="e">
        <f>(#REF!-#REF!)/#REF!</f>
        <v>#REF!</v>
      </c>
      <c r="C568" s="4" t="e">
        <f>(#REF!-#REF!)/#REF!</f>
        <v>#REF!</v>
      </c>
      <c r="D568" s="4" t="e">
        <f>LN(#REF!/#REF!)</f>
        <v>#REF!</v>
      </c>
      <c r="E568" s="4" t="e">
        <f t="shared" si="9"/>
        <v>#REF!</v>
      </c>
      <c r="F568" s="4" t="e" cm="1">
        <f t="array" ref="F568">AVERAGE(B568:B2075-$I$4/252)/_xlfn.STDEV.S(B568:B2075-$I$4)</f>
        <v>#REF!</v>
      </c>
      <c r="G568" s="4"/>
      <c r="H568" s="4"/>
      <c r="I568" s="4"/>
      <c r="J568" s="4"/>
    </row>
    <row r="569" spans="1:10" x14ac:dyDescent="0.2">
      <c r="A569" t="e">
        <f>LEFT(#REF!,10)</f>
        <v>#REF!</v>
      </c>
      <c r="B569" s="4" t="e">
        <f>(#REF!-#REF!)/#REF!</f>
        <v>#REF!</v>
      </c>
      <c r="C569" s="4" t="e">
        <f>(#REF!-#REF!)/#REF!</f>
        <v>#REF!</v>
      </c>
      <c r="D569" s="4" t="e">
        <f>LN(#REF!/#REF!)</f>
        <v>#REF!</v>
      </c>
      <c r="E569" s="4" t="e">
        <f t="shared" si="9"/>
        <v>#REF!</v>
      </c>
      <c r="F569" s="4" t="e" cm="1">
        <f t="array" ref="F569">AVERAGE(B569:B2076-$I$4/252)/_xlfn.STDEV.S(B569:B2076-$I$4)</f>
        <v>#REF!</v>
      </c>
      <c r="G569" s="4"/>
      <c r="H569" s="4"/>
      <c r="I569" s="4"/>
      <c r="J569" s="4"/>
    </row>
    <row r="570" spans="1:10" x14ac:dyDescent="0.2">
      <c r="A570" t="e">
        <f>LEFT(#REF!,10)</f>
        <v>#REF!</v>
      </c>
      <c r="B570" s="4" t="e">
        <f>(#REF!-#REF!)/#REF!</f>
        <v>#REF!</v>
      </c>
      <c r="C570" s="4" t="e">
        <f>(#REF!-#REF!)/#REF!</f>
        <v>#REF!</v>
      </c>
      <c r="D570" s="4" t="e">
        <f>LN(#REF!/#REF!)</f>
        <v>#REF!</v>
      </c>
      <c r="E570" s="4" t="e">
        <f t="shared" si="9"/>
        <v>#REF!</v>
      </c>
      <c r="F570" s="4" t="e" cm="1">
        <f t="array" ref="F570">AVERAGE(B570:B2077-$I$4/252)/_xlfn.STDEV.S(B570:B2077-$I$4)</f>
        <v>#REF!</v>
      </c>
      <c r="G570" s="4"/>
      <c r="H570" s="4"/>
      <c r="I570" s="4"/>
      <c r="J570" s="4"/>
    </row>
    <row r="571" spans="1:10" x14ac:dyDescent="0.2">
      <c r="A571" t="e">
        <f>LEFT(#REF!,10)</f>
        <v>#REF!</v>
      </c>
      <c r="B571" s="4" t="e">
        <f>(#REF!-#REF!)/#REF!</f>
        <v>#REF!</v>
      </c>
      <c r="C571" s="4" t="e">
        <f>(#REF!-#REF!)/#REF!</f>
        <v>#REF!</v>
      </c>
      <c r="D571" s="4" t="e">
        <f>LN(#REF!/#REF!)</f>
        <v>#REF!</v>
      </c>
      <c r="E571" s="4" t="e">
        <f t="shared" si="9"/>
        <v>#REF!</v>
      </c>
      <c r="F571" s="4" t="e" cm="1">
        <f t="array" ref="F571">AVERAGE(B571:B2078-$I$4/252)/_xlfn.STDEV.S(B571:B2078-$I$4)</f>
        <v>#REF!</v>
      </c>
      <c r="G571" s="4"/>
      <c r="H571" s="4"/>
      <c r="I571" s="4"/>
      <c r="J571" s="4"/>
    </row>
    <row r="572" spans="1:10" x14ac:dyDescent="0.2">
      <c r="A572" t="e">
        <f>LEFT(#REF!,10)</f>
        <v>#REF!</v>
      </c>
      <c r="B572" s="4" t="e">
        <f>(#REF!-#REF!)/#REF!</f>
        <v>#REF!</v>
      </c>
      <c r="C572" s="4" t="e">
        <f>(#REF!-#REF!)/#REF!</f>
        <v>#REF!</v>
      </c>
      <c r="D572" s="4" t="e">
        <f>LN(#REF!/#REF!)</f>
        <v>#REF!</v>
      </c>
      <c r="E572" s="4" t="e">
        <f t="shared" si="9"/>
        <v>#REF!</v>
      </c>
      <c r="F572" s="4" t="e" cm="1">
        <f t="array" ref="F572">AVERAGE(B572:B2079-$I$4/252)/_xlfn.STDEV.S(B572:B2079-$I$4)</f>
        <v>#REF!</v>
      </c>
      <c r="G572" s="4"/>
      <c r="H572" s="4"/>
      <c r="I572" s="4"/>
      <c r="J572" s="4"/>
    </row>
    <row r="573" spans="1:10" x14ac:dyDescent="0.2">
      <c r="A573" t="e">
        <f>LEFT(#REF!,10)</f>
        <v>#REF!</v>
      </c>
      <c r="B573" s="4" t="e">
        <f>(#REF!-#REF!)/#REF!</f>
        <v>#REF!</v>
      </c>
      <c r="C573" s="4" t="e">
        <f>(#REF!-#REF!)/#REF!</f>
        <v>#REF!</v>
      </c>
      <c r="D573" s="4" t="e">
        <f>LN(#REF!/#REF!)</f>
        <v>#REF!</v>
      </c>
      <c r="E573" s="4" t="e">
        <f t="shared" si="9"/>
        <v>#REF!</v>
      </c>
      <c r="F573" s="4" t="e" cm="1">
        <f t="array" ref="F573">AVERAGE(B573:B2080-$I$4/252)/_xlfn.STDEV.S(B573:B2080-$I$4)</f>
        <v>#REF!</v>
      </c>
      <c r="G573" s="4"/>
      <c r="H573" s="4"/>
      <c r="I573" s="4"/>
      <c r="J573" s="4"/>
    </row>
    <row r="574" spans="1:10" x14ac:dyDescent="0.2">
      <c r="A574" t="e">
        <f>LEFT(#REF!,10)</f>
        <v>#REF!</v>
      </c>
      <c r="B574" s="4" t="e">
        <f>(#REF!-#REF!)/#REF!</f>
        <v>#REF!</v>
      </c>
      <c r="C574" s="4" t="e">
        <f>(#REF!-#REF!)/#REF!</f>
        <v>#REF!</v>
      </c>
      <c r="D574" s="4" t="e">
        <f>LN(#REF!/#REF!)</f>
        <v>#REF!</v>
      </c>
      <c r="E574" s="4" t="e">
        <f t="shared" si="9"/>
        <v>#REF!</v>
      </c>
      <c r="F574" s="4" t="e" cm="1">
        <f t="array" ref="F574">AVERAGE(B574:B2081-$I$4/252)/_xlfn.STDEV.S(B574:B2081-$I$4)</f>
        <v>#REF!</v>
      </c>
      <c r="G574" s="4"/>
      <c r="H574" s="4"/>
      <c r="I574" s="4"/>
      <c r="J574" s="4"/>
    </row>
    <row r="575" spans="1:10" x14ac:dyDescent="0.2">
      <c r="A575" t="e">
        <f>LEFT(#REF!,10)</f>
        <v>#REF!</v>
      </c>
      <c r="B575" s="4" t="e">
        <f>(#REF!-#REF!)/#REF!</f>
        <v>#REF!</v>
      </c>
      <c r="C575" s="4" t="e">
        <f>(#REF!-#REF!)/#REF!</f>
        <v>#REF!</v>
      </c>
      <c r="D575" s="4" t="e">
        <f>LN(#REF!/#REF!)</f>
        <v>#REF!</v>
      </c>
      <c r="E575" s="4" t="e">
        <f t="shared" si="9"/>
        <v>#REF!</v>
      </c>
      <c r="F575" s="4" t="e" cm="1">
        <f t="array" ref="F575">AVERAGE(B575:B2082-$I$4/252)/_xlfn.STDEV.S(B575:B2082-$I$4)</f>
        <v>#REF!</v>
      </c>
      <c r="G575" s="4"/>
      <c r="H575" s="4"/>
      <c r="I575" s="4"/>
      <c r="J575" s="4"/>
    </row>
    <row r="576" spans="1:10" x14ac:dyDescent="0.2">
      <c r="A576" t="e">
        <f>LEFT(#REF!,10)</f>
        <v>#REF!</v>
      </c>
      <c r="B576" s="4" t="e">
        <f>(#REF!-#REF!)/#REF!</f>
        <v>#REF!</v>
      </c>
      <c r="C576" s="4" t="e">
        <f>(#REF!-#REF!)/#REF!</f>
        <v>#REF!</v>
      </c>
      <c r="D576" s="4" t="e">
        <f>LN(#REF!/#REF!)</f>
        <v>#REF!</v>
      </c>
      <c r="E576" s="4" t="e">
        <f t="shared" si="9"/>
        <v>#REF!</v>
      </c>
      <c r="F576" s="4" t="e" cm="1">
        <f t="array" ref="F576">AVERAGE(B576:B2083-$I$4/252)/_xlfn.STDEV.S(B576:B2083-$I$4)</f>
        <v>#REF!</v>
      </c>
      <c r="G576" s="4"/>
      <c r="H576" s="4"/>
      <c r="I576" s="4"/>
      <c r="J576" s="4"/>
    </row>
    <row r="577" spans="1:10" x14ac:dyDescent="0.2">
      <c r="A577" t="e">
        <f>LEFT(#REF!,10)</f>
        <v>#REF!</v>
      </c>
      <c r="B577" s="4" t="e">
        <f>(#REF!-#REF!)/#REF!</f>
        <v>#REF!</v>
      </c>
      <c r="C577" s="4" t="e">
        <f>(#REF!-#REF!)/#REF!</f>
        <v>#REF!</v>
      </c>
      <c r="D577" s="4" t="e">
        <f>LN(#REF!/#REF!)</f>
        <v>#REF!</v>
      </c>
      <c r="E577" s="4" t="e">
        <f t="shared" si="9"/>
        <v>#REF!</v>
      </c>
      <c r="F577" s="4" t="e" cm="1">
        <f t="array" ref="F577">AVERAGE(B577:B2084-$I$4/252)/_xlfn.STDEV.S(B577:B2084-$I$4)</f>
        <v>#REF!</v>
      </c>
      <c r="G577" s="4"/>
      <c r="H577" s="4"/>
      <c r="I577" s="4"/>
      <c r="J577" s="4"/>
    </row>
    <row r="578" spans="1:10" x14ac:dyDescent="0.2">
      <c r="A578" t="e">
        <f>LEFT(#REF!,10)</f>
        <v>#REF!</v>
      </c>
      <c r="B578" s="4" t="e">
        <f>(#REF!-#REF!)/#REF!</f>
        <v>#REF!</v>
      </c>
      <c r="C578" s="4" t="e">
        <f>(#REF!-#REF!)/#REF!</f>
        <v>#REF!</v>
      </c>
      <c r="D578" s="4" t="e">
        <f>LN(#REF!/#REF!)</f>
        <v>#REF!</v>
      </c>
      <c r="E578" s="4" t="e">
        <f t="shared" si="9"/>
        <v>#REF!</v>
      </c>
      <c r="F578" s="4" t="e" cm="1">
        <f t="array" ref="F578">AVERAGE(B578:B2085-$I$4/252)/_xlfn.STDEV.S(B578:B2085-$I$4)</f>
        <v>#REF!</v>
      </c>
      <c r="G578" s="4"/>
      <c r="H578" s="4"/>
      <c r="I578" s="4"/>
      <c r="J578" s="4"/>
    </row>
    <row r="579" spans="1:10" x14ac:dyDescent="0.2">
      <c r="A579" t="e">
        <f>LEFT(#REF!,10)</f>
        <v>#REF!</v>
      </c>
      <c r="B579" s="4" t="e">
        <f>(#REF!-#REF!)/#REF!</f>
        <v>#REF!</v>
      </c>
      <c r="C579" s="4" t="e">
        <f>(#REF!-#REF!)/#REF!</f>
        <v>#REF!</v>
      </c>
      <c r="D579" s="4" t="e">
        <f>LN(#REF!/#REF!)</f>
        <v>#REF!</v>
      </c>
      <c r="E579" s="4" t="e">
        <f t="shared" si="9"/>
        <v>#REF!</v>
      </c>
      <c r="F579" s="4" t="e" cm="1">
        <f t="array" ref="F579">AVERAGE(B579:B2086-$I$4/252)/_xlfn.STDEV.S(B579:B2086-$I$4)</f>
        <v>#REF!</v>
      </c>
      <c r="G579" s="4"/>
      <c r="H579" s="4"/>
      <c r="I579" s="4"/>
      <c r="J579" s="4"/>
    </row>
    <row r="580" spans="1:10" x14ac:dyDescent="0.2">
      <c r="A580" t="e">
        <f>LEFT(#REF!,10)</f>
        <v>#REF!</v>
      </c>
      <c r="B580" s="4" t="e">
        <f>(#REF!-#REF!)/#REF!</f>
        <v>#REF!</v>
      </c>
      <c r="C580" s="4" t="e">
        <f>(#REF!-#REF!)/#REF!</f>
        <v>#REF!</v>
      </c>
      <c r="D580" s="4" t="e">
        <f>LN(#REF!/#REF!)</f>
        <v>#REF!</v>
      </c>
      <c r="E580" s="4" t="e">
        <f t="shared" si="9"/>
        <v>#REF!</v>
      </c>
      <c r="F580" s="4" t="e" cm="1">
        <f t="array" ref="F580">AVERAGE(B580:B2087-$I$4/252)/_xlfn.STDEV.S(B580:B2087-$I$4)</f>
        <v>#REF!</v>
      </c>
      <c r="G580" s="4"/>
      <c r="H580" s="4"/>
      <c r="I580" s="4"/>
      <c r="J580" s="4"/>
    </row>
    <row r="581" spans="1:10" x14ac:dyDescent="0.2">
      <c r="A581" t="e">
        <f>LEFT(#REF!,10)</f>
        <v>#REF!</v>
      </c>
      <c r="B581" s="4" t="e">
        <f>(#REF!-#REF!)/#REF!</f>
        <v>#REF!</v>
      </c>
      <c r="C581" s="4" t="e">
        <f>(#REF!-#REF!)/#REF!</f>
        <v>#REF!</v>
      </c>
      <c r="D581" s="4" t="e">
        <f>LN(#REF!/#REF!)</f>
        <v>#REF!</v>
      </c>
      <c r="E581" s="4" t="e">
        <f t="shared" ref="E581:E644" si="10">_xlfn.STDEV.S(D581:D600)</f>
        <v>#REF!</v>
      </c>
      <c r="F581" s="4" t="e" cm="1">
        <f t="array" ref="F581">AVERAGE(B581:B2088-$I$4/252)/_xlfn.STDEV.S(B581:B2088-$I$4)</f>
        <v>#REF!</v>
      </c>
      <c r="G581" s="4"/>
      <c r="H581" s="4"/>
      <c r="I581" s="4"/>
      <c r="J581" s="4"/>
    </row>
    <row r="582" spans="1:10" x14ac:dyDescent="0.2">
      <c r="A582" t="e">
        <f>LEFT(#REF!,10)</f>
        <v>#REF!</v>
      </c>
      <c r="B582" s="4" t="e">
        <f>(#REF!-#REF!)/#REF!</f>
        <v>#REF!</v>
      </c>
      <c r="C582" s="4" t="e">
        <f>(#REF!-#REF!)/#REF!</f>
        <v>#REF!</v>
      </c>
      <c r="D582" s="4" t="e">
        <f>LN(#REF!/#REF!)</f>
        <v>#REF!</v>
      </c>
      <c r="E582" s="4" t="e">
        <f t="shared" si="10"/>
        <v>#REF!</v>
      </c>
      <c r="F582" s="4" t="e" cm="1">
        <f t="array" ref="F582">AVERAGE(B582:B2089-$I$4/252)/_xlfn.STDEV.S(B582:B2089-$I$4)</f>
        <v>#REF!</v>
      </c>
      <c r="G582" s="4"/>
      <c r="H582" s="4"/>
      <c r="I582" s="4"/>
      <c r="J582" s="4"/>
    </row>
    <row r="583" spans="1:10" x14ac:dyDescent="0.2">
      <c r="A583" t="e">
        <f>LEFT(#REF!,10)</f>
        <v>#REF!</v>
      </c>
      <c r="B583" s="4" t="e">
        <f>(#REF!-#REF!)/#REF!</f>
        <v>#REF!</v>
      </c>
      <c r="C583" s="4" t="e">
        <f>(#REF!-#REF!)/#REF!</f>
        <v>#REF!</v>
      </c>
      <c r="D583" s="4" t="e">
        <f>LN(#REF!/#REF!)</f>
        <v>#REF!</v>
      </c>
      <c r="E583" s="4" t="e">
        <f t="shared" si="10"/>
        <v>#REF!</v>
      </c>
      <c r="F583" s="4" t="e" cm="1">
        <f t="array" ref="F583">AVERAGE(B583:B2090-$I$4/252)/_xlfn.STDEV.S(B583:B2090-$I$4)</f>
        <v>#REF!</v>
      </c>
      <c r="G583" s="4"/>
      <c r="H583" s="4"/>
      <c r="I583" s="4"/>
      <c r="J583" s="4"/>
    </row>
    <row r="584" spans="1:10" x14ac:dyDescent="0.2">
      <c r="A584" t="e">
        <f>LEFT(#REF!,10)</f>
        <v>#REF!</v>
      </c>
      <c r="B584" s="4" t="e">
        <f>(#REF!-#REF!)/#REF!</f>
        <v>#REF!</v>
      </c>
      <c r="C584" s="4" t="e">
        <f>(#REF!-#REF!)/#REF!</f>
        <v>#REF!</v>
      </c>
      <c r="D584" s="4" t="e">
        <f>LN(#REF!/#REF!)</f>
        <v>#REF!</v>
      </c>
      <c r="E584" s="4" t="e">
        <f t="shared" si="10"/>
        <v>#REF!</v>
      </c>
      <c r="F584" s="4" t="e" cm="1">
        <f t="array" ref="F584">AVERAGE(B584:B2091-$I$4/252)/_xlfn.STDEV.S(B584:B2091-$I$4)</f>
        <v>#REF!</v>
      </c>
      <c r="G584" s="4"/>
      <c r="H584" s="4"/>
      <c r="I584" s="4"/>
      <c r="J584" s="4"/>
    </row>
    <row r="585" spans="1:10" x14ac:dyDescent="0.2">
      <c r="A585" t="e">
        <f>LEFT(#REF!,10)</f>
        <v>#REF!</v>
      </c>
      <c r="B585" s="4" t="e">
        <f>(#REF!-#REF!)/#REF!</f>
        <v>#REF!</v>
      </c>
      <c r="C585" s="4" t="e">
        <f>(#REF!-#REF!)/#REF!</f>
        <v>#REF!</v>
      </c>
      <c r="D585" s="4" t="e">
        <f>LN(#REF!/#REF!)</f>
        <v>#REF!</v>
      </c>
      <c r="E585" s="4" t="e">
        <f t="shared" si="10"/>
        <v>#REF!</v>
      </c>
      <c r="F585" s="4" t="e" cm="1">
        <f t="array" ref="F585">AVERAGE(B585:B2092-$I$4/252)/_xlfn.STDEV.S(B585:B2092-$I$4)</f>
        <v>#REF!</v>
      </c>
      <c r="G585" s="4"/>
      <c r="H585" s="4"/>
      <c r="I585" s="4"/>
      <c r="J585" s="4"/>
    </row>
    <row r="586" spans="1:10" x14ac:dyDescent="0.2">
      <c r="A586" t="e">
        <f>LEFT(#REF!,10)</f>
        <v>#REF!</v>
      </c>
      <c r="B586" s="4" t="e">
        <f>(#REF!-#REF!)/#REF!</f>
        <v>#REF!</v>
      </c>
      <c r="C586" s="4" t="e">
        <f>(#REF!-#REF!)/#REF!</f>
        <v>#REF!</v>
      </c>
      <c r="D586" s="4" t="e">
        <f>LN(#REF!/#REF!)</f>
        <v>#REF!</v>
      </c>
      <c r="E586" s="4" t="e">
        <f t="shared" si="10"/>
        <v>#REF!</v>
      </c>
      <c r="F586" s="4" t="e" cm="1">
        <f t="array" ref="F586">AVERAGE(B586:B2093-$I$4/252)/_xlfn.STDEV.S(B586:B2093-$I$4)</f>
        <v>#REF!</v>
      </c>
      <c r="G586" s="4"/>
      <c r="H586" s="4"/>
      <c r="I586" s="4"/>
      <c r="J586" s="4"/>
    </row>
    <row r="587" spans="1:10" x14ac:dyDescent="0.2">
      <c r="A587" t="e">
        <f>LEFT(#REF!,10)</f>
        <v>#REF!</v>
      </c>
      <c r="B587" s="4" t="e">
        <f>(#REF!-#REF!)/#REF!</f>
        <v>#REF!</v>
      </c>
      <c r="C587" s="4" t="e">
        <f>(#REF!-#REF!)/#REF!</f>
        <v>#REF!</v>
      </c>
      <c r="D587" s="4" t="e">
        <f>LN(#REF!/#REF!)</f>
        <v>#REF!</v>
      </c>
      <c r="E587" s="4" t="e">
        <f t="shared" si="10"/>
        <v>#REF!</v>
      </c>
      <c r="F587" s="4" t="e" cm="1">
        <f t="array" ref="F587">AVERAGE(B587:B2094-$I$4/252)/_xlfn.STDEV.S(B587:B2094-$I$4)</f>
        <v>#REF!</v>
      </c>
      <c r="G587" s="4"/>
      <c r="H587" s="4"/>
      <c r="I587" s="4"/>
      <c r="J587" s="4"/>
    </row>
    <row r="588" spans="1:10" x14ac:dyDescent="0.2">
      <c r="A588" t="e">
        <f>LEFT(#REF!,10)</f>
        <v>#REF!</v>
      </c>
      <c r="B588" s="4" t="e">
        <f>(#REF!-#REF!)/#REF!</f>
        <v>#REF!</v>
      </c>
      <c r="C588" s="4" t="e">
        <f>(#REF!-#REF!)/#REF!</f>
        <v>#REF!</v>
      </c>
      <c r="D588" s="4" t="e">
        <f>LN(#REF!/#REF!)</f>
        <v>#REF!</v>
      </c>
      <c r="E588" s="4" t="e">
        <f t="shared" si="10"/>
        <v>#REF!</v>
      </c>
      <c r="F588" s="4" t="e" cm="1">
        <f t="array" ref="F588">AVERAGE(B588:B2095-$I$4/252)/_xlfn.STDEV.S(B588:B2095-$I$4)</f>
        <v>#REF!</v>
      </c>
      <c r="G588" s="4"/>
      <c r="H588" s="4"/>
      <c r="I588" s="4"/>
      <c r="J588" s="4"/>
    </row>
    <row r="589" spans="1:10" x14ac:dyDescent="0.2">
      <c r="A589" t="e">
        <f>LEFT(#REF!,10)</f>
        <v>#REF!</v>
      </c>
      <c r="B589" s="4" t="e">
        <f>(#REF!-#REF!)/#REF!</f>
        <v>#REF!</v>
      </c>
      <c r="C589" s="4" t="e">
        <f>(#REF!-#REF!)/#REF!</f>
        <v>#REF!</v>
      </c>
      <c r="D589" s="4" t="e">
        <f>LN(#REF!/#REF!)</f>
        <v>#REF!</v>
      </c>
      <c r="E589" s="4" t="e">
        <f t="shared" si="10"/>
        <v>#REF!</v>
      </c>
      <c r="F589" s="4" t="e" cm="1">
        <f t="array" ref="F589">AVERAGE(B589:B2096-$I$4/252)/_xlfn.STDEV.S(B589:B2096-$I$4)</f>
        <v>#REF!</v>
      </c>
      <c r="G589" s="4"/>
      <c r="H589" s="4"/>
      <c r="I589" s="4"/>
      <c r="J589" s="4"/>
    </row>
    <row r="590" spans="1:10" x14ac:dyDescent="0.2">
      <c r="A590" t="e">
        <f>LEFT(#REF!,10)</f>
        <v>#REF!</v>
      </c>
      <c r="B590" s="4" t="e">
        <f>(#REF!-#REF!)/#REF!</f>
        <v>#REF!</v>
      </c>
      <c r="C590" s="4" t="e">
        <f>(#REF!-#REF!)/#REF!</f>
        <v>#REF!</v>
      </c>
      <c r="D590" s="4" t="e">
        <f>LN(#REF!/#REF!)</f>
        <v>#REF!</v>
      </c>
      <c r="E590" s="4" t="e">
        <f t="shared" si="10"/>
        <v>#REF!</v>
      </c>
      <c r="F590" s="4" t="e" cm="1">
        <f t="array" ref="F590">AVERAGE(B590:B2097-$I$4/252)/_xlfn.STDEV.S(B590:B2097-$I$4)</f>
        <v>#REF!</v>
      </c>
      <c r="G590" s="4"/>
      <c r="H590" s="4"/>
      <c r="I590" s="4"/>
      <c r="J590" s="4"/>
    </row>
    <row r="591" spans="1:10" x14ac:dyDescent="0.2">
      <c r="A591" t="e">
        <f>LEFT(#REF!,10)</f>
        <v>#REF!</v>
      </c>
      <c r="B591" s="4" t="e">
        <f>(#REF!-#REF!)/#REF!</f>
        <v>#REF!</v>
      </c>
      <c r="C591" s="4" t="e">
        <f>(#REF!-#REF!)/#REF!</f>
        <v>#REF!</v>
      </c>
      <c r="D591" s="4" t="e">
        <f>LN(#REF!/#REF!)</f>
        <v>#REF!</v>
      </c>
      <c r="E591" s="4" t="e">
        <f t="shared" si="10"/>
        <v>#REF!</v>
      </c>
      <c r="F591" s="4" t="e" cm="1">
        <f t="array" ref="F591">AVERAGE(B591:B2098-$I$4/252)/_xlfn.STDEV.S(B591:B2098-$I$4)</f>
        <v>#REF!</v>
      </c>
      <c r="G591" s="4"/>
      <c r="H591" s="4"/>
      <c r="I591" s="4"/>
      <c r="J591" s="4"/>
    </row>
    <row r="592" spans="1:10" x14ac:dyDescent="0.2">
      <c r="A592" t="e">
        <f>LEFT(#REF!,10)</f>
        <v>#REF!</v>
      </c>
      <c r="B592" s="4" t="e">
        <f>(#REF!-#REF!)/#REF!</f>
        <v>#REF!</v>
      </c>
      <c r="C592" s="4" t="e">
        <f>(#REF!-#REF!)/#REF!</f>
        <v>#REF!</v>
      </c>
      <c r="D592" s="4" t="e">
        <f>LN(#REF!/#REF!)</f>
        <v>#REF!</v>
      </c>
      <c r="E592" s="4" t="e">
        <f t="shared" si="10"/>
        <v>#REF!</v>
      </c>
      <c r="F592" s="4" t="e" cm="1">
        <f t="array" ref="F592">AVERAGE(B592:B2099-$I$4/252)/_xlfn.STDEV.S(B592:B2099-$I$4)</f>
        <v>#REF!</v>
      </c>
      <c r="G592" s="4"/>
      <c r="H592" s="4"/>
      <c r="I592" s="4"/>
      <c r="J592" s="4"/>
    </row>
    <row r="593" spans="1:10" x14ac:dyDescent="0.2">
      <c r="A593" t="e">
        <f>LEFT(#REF!,10)</f>
        <v>#REF!</v>
      </c>
      <c r="B593" s="4" t="e">
        <f>(#REF!-#REF!)/#REF!</f>
        <v>#REF!</v>
      </c>
      <c r="C593" s="4" t="e">
        <f>(#REF!-#REF!)/#REF!</f>
        <v>#REF!</v>
      </c>
      <c r="D593" s="4" t="e">
        <f>LN(#REF!/#REF!)</f>
        <v>#REF!</v>
      </c>
      <c r="E593" s="4" t="e">
        <f t="shared" si="10"/>
        <v>#REF!</v>
      </c>
      <c r="F593" s="4" t="e" cm="1">
        <f t="array" ref="F593">AVERAGE(B593:B2100-$I$4/252)/_xlfn.STDEV.S(B593:B2100-$I$4)</f>
        <v>#REF!</v>
      </c>
      <c r="G593" s="4"/>
      <c r="H593" s="4"/>
      <c r="I593" s="4"/>
      <c r="J593" s="4"/>
    </row>
    <row r="594" spans="1:10" x14ac:dyDescent="0.2">
      <c r="A594" t="e">
        <f>LEFT(#REF!,10)</f>
        <v>#REF!</v>
      </c>
      <c r="B594" s="4" t="e">
        <f>(#REF!-#REF!)/#REF!</f>
        <v>#REF!</v>
      </c>
      <c r="C594" s="4" t="e">
        <f>(#REF!-#REF!)/#REF!</f>
        <v>#REF!</v>
      </c>
      <c r="D594" s="4" t="e">
        <f>LN(#REF!/#REF!)</f>
        <v>#REF!</v>
      </c>
      <c r="E594" s="4" t="e">
        <f t="shared" si="10"/>
        <v>#REF!</v>
      </c>
      <c r="F594" s="4" t="e" cm="1">
        <f t="array" ref="F594">AVERAGE(B594:B2101-$I$4/252)/_xlfn.STDEV.S(B594:B2101-$I$4)</f>
        <v>#REF!</v>
      </c>
      <c r="G594" s="4"/>
      <c r="H594" s="4"/>
      <c r="I594" s="4"/>
      <c r="J594" s="4"/>
    </row>
    <row r="595" spans="1:10" x14ac:dyDescent="0.2">
      <c r="A595" t="e">
        <f>LEFT(#REF!,10)</f>
        <v>#REF!</v>
      </c>
      <c r="B595" s="4" t="e">
        <f>(#REF!-#REF!)/#REF!</f>
        <v>#REF!</v>
      </c>
      <c r="C595" s="4" t="e">
        <f>(#REF!-#REF!)/#REF!</f>
        <v>#REF!</v>
      </c>
      <c r="D595" s="4" t="e">
        <f>LN(#REF!/#REF!)</f>
        <v>#REF!</v>
      </c>
      <c r="E595" s="4" t="e">
        <f t="shared" si="10"/>
        <v>#REF!</v>
      </c>
      <c r="F595" s="4" t="e" cm="1">
        <f t="array" ref="F595">AVERAGE(B595:B2102-$I$4/252)/_xlfn.STDEV.S(B595:B2102-$I$4)</f>
        <v>#REF!</v>
      </c>
      <c r="G595" s="4"/>
      <c r="H595" s="4"/>
      <c r="I595" s="4"/>
      <c r="J595" s="4"/>
    </row>
    <row r="596" spans="1:10" x14ac:dyDescent="0.2">
      <c r="A596" t="e">
        <f>LEFT(#REF!,10)</f>
        <v>#REF!</v>
      </c>
      <c r="B596" s="4" t="e">
        <f>(#REF!-#REF!)/#REF!</f>
        <v>#REF!</v>
      </c>
      <c r="C596" s="4" t="e">
        <f>(#REF!-#REF!)/#REF!</f>
        <v>#REF!</v>
      </c>
      <c r="D596" s="4" t="e">
        <f>LN(#REF!/#REF!)</f>
        <v>#REF!</v>
      </c>
      <c r="E596" s="4" t="e">
        <f t="shared" si="10"/>
        <v>#REF!</v>
      </c>
      <c r="F596" s="4" t="e" cm="1">
        <f t="array" ref="F596">AVERAGE(B596:B2103-$I$4/252)/_xlfn.STDEV.S(B596:B2103-$I$4)</f>
        <v>#REF!</v>
      </c>
      <c r="G596" s="4"/>
      <c r="H596" s="4"/>
      <c r="I596" s="4"/>
      <c r="J596" s="4"/>
    </row>
    <row r="597" spans="1:10" x14ac:dyDescent="0.2">
      <c r="A597" t="e">
        <f>LEFT(#REF!,10)</f>
        <v>#REF!</v>
      </c>
      <c r="B597" s="4" t="e">
        <f>(#REF!-#REF!)/#REF!</f>
        <v>#REF!</v>
      </c>
      <c r="C597" s="4" t="e">
        <f>(#REF!-#REF!)/#REF!</f>
        <v>#REF!</v>
      </c>
      <c r="D597" s="4" t="e">
        <f>LN(#REF!/#REF!)</f>
        <v>#REF!</v>
      </c>
      <c r="E597" s="4" t="e">
        <f t="shared" si="10"/>
        <v>#REF!</v>
      </c>
      <c r="F597" s="4" t="e" cm="1">
        <f t="array" ref="F597">AVERAGE(B597:B2104-$I$4/252)/_xlfn.STDEV.S(B597:B2104-$I$4)</f>
        <v>#REF!</v>
      </c>
      <c r="G597" s="4"/>
      <c r="H597" s="4"/>
      <c r="I597" s="4"/>
      <c r="J597" s="4"/>
    </row>
    <row r="598" spans="1:10" x14ac:dyDescent="0.2">
      <c r="A598" t="e">
        <f>LEFT(#REF!,10)</f>
        <v>#REF!</v>
      </c>
      <c r="B598" s="4" t="e">
        <f>(#REF!-#REF!)/#REF!</f>
        <v>#REF!</v>
      </c>
      <c r="C598" s="4" t="e">
        <f>(#REF!-#REF!)/#REF!</f>
        <v>#REF!</v>
      </c>
      <c r="D598" s="4" t="e">
        <f>LN(#REF!/#REF!)</f>
        <v>#REF!</v>
      </c>
      <c r="E598" s="4" t="e">
        <f t="shared" si="10"/>
        <v>#REF!</v>
      </c>
      <c r="F598" s="4" t="e" cm="1">
        <f t="array" ref="F598">AVERAGE(B598:B2105-$I$4/252)/_xlfn.STDEV.S(B598:B2105-$I$4)</f>
        <v>#REF!</v>
      </c>
      <c r="G598" s="4"/>
      <c r="H598" s="4"/>
      <c r="I598" s="4"/>
      <c r="J598" s="4"/>
    </row>
    <row r="599" spans="1:10" x14ac:dyDescent="0.2">
      <c r="A599" t="e">
        <f>LEFT(#REF!,10)</f>
        <v>#REF!</v>
      </c>
      <c r="B599" s="4" t="e">
        <f>(#REF!-#REF!)/#REF!</f>
        <v>#REF!</v>
      </c>
      <c r="C599" s="4" t="e">
        <f>(#REF!-#REF!)/#REF!</f>
        <v>#REF!</v>
      </c>
      <c r="D599" s="4" t="e">
        <f>LN(#REF!/#REF!)</f>
        <v>#REF!</v>
      </c>
      <c r="E599" s="4" t="e">
        <f t="shared" si="10"/>
        <v>#REF!</v>
      </c>
      <c r="F599" s="4" t="e" cm="1">
        <f t="array" ref="F599">AVERAGE(B599:B2106-$I$4/252)/_xlfn.STDEV.S(B599:B2106-$I$4)</f>
        <v>#REF!</v>
      </c>
      <c r="G599" s="4"/>
      <c r="H599" s="4"/>
      <c r="I599" s="4"/>
      <c r="J599" s="4"/>
    </row>
    <row r="600" spans="1:10" x14ac:dyDescent="0.2">
      <c r="A600" t="e">
        <f>LEFT(#REF!,10)</f>
        <v>#REF!</v>
      </c>
      <c r="B600" s="4" t="e">
        <f>(#REF!-#REF!)/#REF!</f>
        <v>#REF!</v>
      </c>
      <c r="C600" s="4" t="e">
        <f>(#REF!-#REF!)/#REF!</f>
        <v>#REF!</v>
      </c>
      <c r="D600" s="4" t="e">
        <f>LN(#REF!/#REF!)</f>
        <v>#REF!</v>
      </c>
      <c r="E600" s="4" t="e">
        <f t="shared" si="10"/>
        <v>#REF!</v>
      </c>
      <c r="F600" s="4" t="e" cm="1">
        <f t="array" ref="F600">AVERAGE(B600:B2107-$I$4/252)/_xlfn.STDEV.S(B600:B2107-$I$4)</f>
        <v>#REF!</v>
      </c>
      <c r="G600" s="4"/>
      <c r="H600" s="4"/>
      <c r="I600" s="4"/>
      <c r="J600" s="4"/>
    </row>
    <row r="601" spans="1:10" x14ac:dyDescent="0.2">
      <c r="A601" t="e">
        <f>LEFT(#REF!,10)</f>
        <v>#REF!</v>
      </c>
      <c r="B601" s="4" t="e">
        <f>(#REF!-#REF!)/#REF!</f>
        <v>#REF!</v>
      </c>
      <c r="C601" s="4" t="e">
        <f>(#REF!-#REF!)/#REF!</f>
        <v>#REF!</v>
      </c>
      <c r="D601" s="4" t="e">
        <f>LN(#REF!/#REF!)</f>
        <v>#REF!</v>
      </c>
      <c r="E601" s="4" t="e">
        <f t="shared" si="10"/>
        <v>#REF!</v>
      </c>
      <c r="F601" s="4" t="e" cm="1">
        <f t="array" ref="F601">AVERAGE(B601:B2108-$I$4/252)/_xlfn.STDEV.S(B601:B2108-$I$4)</f>
        <v>#REF!</v>
      </c>
      <c r="G601" s="4"/>
      <c r="H601" s="4"/>
      <c r="I601" s="4"/>
      <c r="J601" s="4"/>
    </row>
    <row r="602" spans="1:10" x14ac:dyDescent="0.2">
      <c r="A602" t="e">
        <f>LEFT(#REF!,10)</f>
        <v>#REF!</v>
      </c>
      <c r="B602" s="4" t="e">
        <f>(#REF!-#REF!)/#REF!</f>
        <v>#REF!</v>
      </c>
      <c r="C602" s="4" t="e">
        <f>(#REF!-#REF!)/#REF!</f>
        <v>#REF!</v>
      </c>
      <c r="D602" s="4" t="e">
        <f>LN(#REF!/#REF!)</f>
        <v>#REF!</v>
      </c>
      <c r="E602" s="4" t="e">
        <f t="shared" si="10"/>
        <v>#REF!</v>
      </c>
      <c r="F602" s="4" t="e" cm="1">
        <f t="array" ref="F602">AVERAGE(B602:B2109-$I$4/252)/_xlfn.STDEV.S(B602:B2109-$I$4)</f>
        <v>#REF!</v>
      </c>
      <c r="G602" s="4"/>
      <c r="H602" s="4"/>
      <c r="I602" s="4"/>
      <c r="J602" s="4"/>
    </row>
    <row r="603" spans="1:10" x14ac:dyDescent="0.2">
      <c r="A603" t="e">
        <f>LEFT(#REF!,10)</f>
        <v>#REF!</v>
      </c>
      <c r="B603" s="4" t="e">
        <f>(#REF!-#REF!)/#REF!</f>
        <v>#REF!</v>
      </c>
      <c r="C603" s="4" t="e">
        <f>(#REF!-#REF!)/#REF!</f>
        <v>#REF!</v>
      </c>
      <c r="D603" s="4" t="e">
        <f>LN(#REF!/#REF!)</f>
        <v>#REF!</v>
      </c>
      <c r="E603" s="4" t="e">
        <f t="shared" si="10"/>
        <v>#REF!</v>
      </c>
      <c r="F603" s="4" t="e" cm="1">
        <f t="array" ref="F603">AVERAGE(B603:B2110-$I$4/252)/_xlfn.STDEV.S(B603:B2110-$I$4)</f>
        <v>#REF!</v>
      </c>
      <c r="G603" s="4"/>
      <c r="H603" s="4"/>
      <c r="I603" s="4"/>
      <c r="J603" s="4"/>
    </row>
    <row r="604" spans="1:10" x14ac:dyDescent="0.2">
      <c r="A604" t="e">
        <f>LEFT(#REF!,10)</f>
        <v>#REF!</v>
      </c>
      <c r="B604" s="4" t="e">
        <f>(#REF!-#REF!)/#REF!</f>
        <v>#REF!</v>
      </c>
      <c r="C604" s="4" t="e">
        <f>(#REF!-#REF!)/#REF!</f>
        <v>#REF!</v>
      </c>
      <c r="D604" s="4" t="e">
        <f>LN(#REF!/#REF!)</f>
        <v>#REF!</v>
      </c>
      <c r="E604" s="4" t="e">
        <f t="shared" si="10"/>
        <v>#REF!</v>
      </c>
      <c r="F604" s="4" t="e" cm="1">
        <f t="array" ref="F604">AVERAGE(B604:B2111-$I$4/252)/_xlfn.STDEV.S(B604:B2111-$I$4)</f>
        <v>#REF!</v>
      </c>
      <c r="G604" s="4"/>
      <c r="H604" s="4"/>
      <c r="I604" s="4"/>
      <c r="J604" s="4"/>
    </row>
    <row r="605" spans="1:10" x14ac:dyDescent="0.2">
      <c r="A605" t="e">
        <f>LEFT(#REF!,10)</f>
        <v>#REF!</v>
      </c>
      <c r="B605" s="4" t="e">
        <f>(#REF!-#REF!)/#REF!</f>
        <v>#REF!</v>
      </c>
      <c r="C605" s="4" t="e">
        <f>(#REF!-#REF!)/#REF!</f>
        <v>#REF!</v>
      </c>
      <c r="D605" s="4" t="e">
        <f>LN(#REF!/#REF!)</f>
        <v>#REF!</v>
      </c>
      <c r="E605" s="4" t="e">
        <f t="shared" si="10"/>
        <v>#REF!</v>
      </c>
      <c r="F605" s="4" t="e" cm="1">
        <f t="array" ref="F605">AVERAGE(B605:B2112-$I$4/252)/_xlfn.STDEV.S(B605:B2112-$I$4)</f>
        <v>#REF!</v>
      </c>
      <c r="G605" s="4"/>
      <c r="H605" s="4"/>
      <c r="I605" s="4"/>
      <c r="J605" s="4"/>
    </row>
    <row r="606" spans="1:10" x14ac:dyDescent="0.2">
      <c r="A606" t="e">
        <f>LEFT(#REF!,10)</f>
        <v>#REF!</v>
      </c>
      <c r="B606" s="4" t="e">
        <f>(#REF!-#REF!)/#REF!</f>
        <v>#REF!</v>
      </c>
      <c r="C606" s="4" t="e">
        <f>(#REF!-#REF!)/#REF!</f>
        <v>#REF!</v>
      </c>
      <c r="D606" s="4" t="e">
        <f>LN(#REF!/#REF!)</f>
        <v>#REF!</v>
      </c>
      <c r="E606" s="4" t="e">
        <f t="shared" si="10"/>
        <v>#REF!</v>
      </c>
      <c r="F606" s="4" t="e" cm="1">
        <f t="array" ref="F606">AVERAGE(B606:B2113-$I$4/252)/_xlfn.STDEV.S(B606:B2113-$I$4)</f>
        <v>#REF!</v>
      </c>
      <c r="G606" s="4"/>
      <c r="H606" s="4"/>
      <c r="I606" s="4"/>
      <c r="J606" s="4"/>
    </row>
    <row r="607" spans="1:10" x14ac:dyDescent="0.2">
      <c r="A607" t="e">
        <f>LEFT(#REF!,10)</f>
        <v>#REF!</v>
      </c>
      <c r="B607" s="4" t="e">
        <f>(#REF!-#REF!)/#REF!</f>
        <v>#REF!</v>
      </c>
      <c r="C607" s="4" t="e">
        <f>(#REF!-#REF!)/#REF!</f>
        <v>#REF!</v>
      </c>
      <c r="D607" s="4" t="e">
        <f>LN(#REF!/#REF!)</f>
        <v>#REF!</v>
      </c>
      <c r="E607" s="4" t="e">
        <f t="shared" si="10"/>
        <v>#REF!</v>
      </c>
      <c r="F607" s="4" t="e" cm="1">
        <f t="array" ref="F607">AVERAGE(B607:B2114-$I$4/252)/_xlfn.STDEV.S(B607:B2114-$I$4)</f>
        <v>#REF!</v>
      </c>
      <c r="G607" s="4"/>
      <c r="H607" s="4"/>
      <c r="I607" s="4"/>
      <c r="J607" s="4"/>
    </row>
    <row r="608" spans="1:10" x14ac:dyDescent="0.2">
      <c r="A608" t="e">
        <f>LEFT(#REF!,10)</f>
        <v>#REF!</v>
      </c>
      <c r="B608" s="4" t="e">
        <f>(#REF!-#REF!)/#REF!</f>
        <v>#REF!</v>
      </c>
      <c r="C608" s="4" t="e">
        <f>(#REF!-#REF!)/#REF!</f>
        <v>#REF!</v>
      </c>
      <c r="D608" s="4" t="e">
        <f>LN(#REF!/#REF!)</f>
        <v>#REF!</v>
      </c>
      <c r="E608" s="4" t="e">
        <f t="shared" si="10"/>
        <v>#REF!</v>
      </c>
      <c r="F608" s="4" t="e" cm="1">
        <f t="array" ref="F608">AVERAGE(B608:B2115-$I$4/252)/_xlfn.STDEV.S(B608:B2115-$I$4)</f>
        <v>#REF!</v>
      </c>
      <c r="G608" s="4"/>
      <c r="H608" s="4"/>
      <c r="I608" s="4"/>
      <c r="J608" s="4"/>
    </row>
    <row r="609" spans="1:10" x14ac:dyDescent="0.2">
      <c r="A609" t="e">
        <f>LEFT(#REF!,10)</f>
        <v>#REF!</v>
      </c>
      <c r="B609" s="4" t="e">
        <f>(#REF!-#REF!)/#REF!</f>
        <v>#REF!</v>
      </c>
      <c r="C609" s="4" t="e">
        <f>(#REF!-#REF!)/#REF!</f>
        <v>#REF!</v>
      </c>
      <c r="D609" s="4" t="e">
        <f>LN(#REF!/#REF!)</f>
        <v>#REF!</v>
      </c>
      <c r="E609" s="4" t="e">
        <f t="shared" si="10"/>
        <v>#REF!</v>
      </c>
      <c r="F609" s="4" t="e" cm="1">
        <f t="array" ref="F609">AVERAGE(B609:B2116-$I$4/252)/_xlfn.STDEV.S(B609:B2116-$I$4)</f>
        <v>#REF!</v>
      </c>
      <c r="G609" s="4"/>
      <c r="H609" s="4"/>
      <c r="I609" s="4"/>
      <c r="J609" s="4"/>
    </row>
    <row r="610" spans="1:10" x14ac:dyDescent="0.2">
      <c r="A610" t="e">
        <f>LEFT(#REF!,10)</f>
        <v>#REF!</v>
      </c>
      <c r="B610" s="4" t="e">
        <f>(#REF!-#REF!)/#REF!</f>
        <v>#REF!</v>
      </c>
      <c r="C610" s="4" t="e">
        <f>(#REF!-#REF!)/#REF!</f>
        <v>#REF!</v>
      </c>
      <c r="D610" s="4" t="e">
        <f>LN(#REF!/#REF!)</f>
        <v>#REF!</v>
      </c>
      <c r="E610" s="4" t="e">
        <f t="shared" si="10"/>
        <v>#REF!</v>
      </c>
      <c r="F610" s="4" t="e" cm="1">
        <f t="array" ref="F610">AVERAGE(B610:B2117-$I$4/252)/_xlfn.STDEV.S(B610:B2117-$I$4)</f>
        <v>#REF!</v>
      </c>
      <c r="G610" s="4"/>
      <c r="H610" s="4"/>
      <c r="I610" s="4"/>
      <c r="J610" s="4"/>
    </row>
    <row r="611" spans="1:10" x14ac:dyDescent="0.2">
      <c r="A611" t="e">
        <f>LEFT(#REF!,10)</f>
        <v>#REF!</v>
      </c>
      <c r="B611" s="4" t="e">
        <f>(#REF!-#REF!)/#REF!</f>
        <v>#REF!</v>
      </c>
      <c r="C611" s="4" t="e">
        <f>(#REF!-#REF!)/#REF!</f>
        <v>#REF!</v>
      </c>
      <c r="D611" s="4" t="e">
        <f>LN(#REF!/#REF!)</f>
        <v>#REF!</v>
      </c>
      <c r="E611" s="4" t="e">
        <f t="shared" si="10"/>
        <v>#REF!</v>
      </c>
      <c r="F611" s="4" t="e" cm="1">
        <f t="array" ref="F611">AVERAGE(B611:B2118-$I$4/252)/_xlfn.STDEV.S(B611:B2118-$I$4)</f>
        <v>#REF!</v>
      </c>
      <c r="G611" s="4"/>
      <c r="H611" s="4"/>
      <c r="I611" s="4"/>
      <c r="J611" s="4"/>
    </row>
    <row r="612" spans="1:10" x14ac:dyDescent="0.2">
      <c r="A612" t="e">
        <f>LEFT(#REF!,10)</f>
        <v>#REF!</v>
      </c>
      <c r="B612" s="4" t="e">
        <f>(#REF!-#REF!)/#REF!</f>
        <v>#REF!</v>
      </c>
      <c r="C612" s="4" t="e">
        <f>(#REF!-#REF!)/#REF!</f>
        <v>#REF!</v>
      </c>
      <c r="D612" s="4" t="e">
        <f>LN(#REF!/#REF!)</f>
        <v>#REF!</v>
      </c>
      <c r="E612" s="4" t="e">
        <f t="shared" si="10"/>
        <v>#REF!</v>
      </c>
      <c r="F612" s="4" t="e" cm="1">
        <f t="array" ref="F612">AVERAGE(B612:B2119-$I$4/252)/_xlfn.STDEV.S(B612:B2119-$I$4)</f>
        <v>#REF!</v>
      </c>
      <c r="G612" s="4"/>
      <c r="H612" s="4"/>
      <c r="I612" s="4"/>
      <c r="J612" s="4"/>
    </row>
    <row r="613" spans="1:10" x14ac:dyDescent="0.2">
      <c r="A613" t="e">
        <f>LEFT(#REF!,10)</f>
        <v>#REF!</v>
      </c>
      <c r="B613" s="4" t="e">
        <f>(#REF!-#REF!)/#REF!</f>
        <v>#REF!</v>
      </c>
      <c r="C613" s="4" t="e">
        <f>(#REF!-#REF!)/#REF!</f>
        <v>#REF!</v>
      </c>
      <c r="D613" s="4" t="e">
        <f>LN(#REF!/#REF!)</f>
        <v>#REF!</v>
      </c>
      <c r="E613" s="4" t="e">
        <f t="shared" si="10"/>
        <v>#REF!</v>
      </c>
      <c r="F613" s="4" t="e" cm="1">
        <f t="array" ref="F613">AVERAGE(B613:B2120-$I$4/252)/_xlfn.STDEV.S(B613:B2120-$I$4)</f>
        <v>#REF!</v>
      </c>
      <c r="G613" s="4"/>
      <c r="H613" s="4"/>
      <c r="I613" s="4"/>
      <c r="J613" s="4"/>
    </row>
    <row r="614" spans="1:10" x14ac:dyDescent="0.2">
      <c r="A614" t="e">
        <f>LEFT(#REF!,10)</f>
        <v>#REF!</v>
      </c>
      <c r="B614" s="4" t="e">
        <f>(#REF!-#REF!)/#REF!</f>
        <v>#REF!</v>
      </c>
      <c r="C614" s="4" t="e">
        <f>(#REF!-#REF!)/#REF!</f>
        <v>#REF!</v>
      </c>
      <c r="D614" s="4" t="e">
        <f>LN(#REF!/#REF!)</f>
        <v>#REF!</v>
      </c>
      <c r="E614" s="4" t="e">
        <f t="shared" si="10"/>
        <v>#REF!</v>
      </c>
      <c r="F614" s="4" t="e" cm="1">
        <f t="array" ref="F614">AVERAGE(B614:B2121-$I$4/252)/_xlfn.STDEV.S(B614:B2121-$I$4)</f>
        <v>#REF!</v>
      </c>
      <c r="G614" s="4"/>
      <c r="H614" s="4"/>
      <c r="I614" s="4"/>
      <c r="J614" s="4"/>
    </row>
    <row r="615" spans="1:10" x14ac:dyDescent="0.2">
      <c r="A615" t="e">
        <f>LEFT(#REF!,10)</f>
        <v>#REF!</v>
      </c>
      <c r="B615" s="4" t="e">
        <f>(#REF!-#REF!)/#REF!</f>
        <v>#REF!</v>
      </c>
      <c r="C615" s="4" t="e">
        <f>(#REF!-#REF!)/#REF!</f>
        <v>#REF!</v>
      </c>
      <c r="D615" s="4" t="e">
        <f>LN(#REF!/#REF!)</f>
        <v>#REF!</v>
      </c>
      <c r="E615" s="4" t="e">
        <f t="shared" si="10"/>
        <v>#REF!</v>
      </c>
      <c r="F615" s="4" t="e" cm="1">
        <f t="array" ref="F615">AVERAGE(B615:B2122-$I$4/252)/_xlfn.STDEV.S(B615:B2122-$I$4)</f>
        <v>#REF!</v>
      </c>
      <c r="G615" s="4"/>
      <c r="H615" s="4"/>
      <c r="I615" s="4"/>
      <c r="J615" s="4"/>
    </row>
    <row r="616" spans="1:10" x14ac:dyDescent="0.2">
      <c r="A616" t="e">
        <f>LEFT(#REF!,10)</f>
        <v>#REF!</v>
      </c>
      <c r="B616" s="4" t="e">
        <f>(#REF!-#REF!)/#REF!</f>
        <v>#REF!</v>
      </c>
      <c r="C616" s="4" t="e">
        <f>(#REF!-#REF!)/#REF!</f>
        <v>#REF!</v>
      </c>
      <c r="D616" s="4" t="e">
        <f>LN(#REF!/#REF!)</f>
        <v>#REF!</v>
      </c>
      <c r="E616" s="4" t="e">
        <f t="shared" si="10"/>
        <v>#REF!</v>
      </c>
      <c r="F616" s="4" t="e" cm="1">
        <f t="array" ref="F616">AVERAGE(B616:B2123-$I$4/252)/_xlfn.STDEV.S(B616:B2123-$I$4)</f>
        <v>#REF!</v>
      </c>
      <c r="G616" s="4"/>
      <c r="H616" s="4"/>
      <c r="I616" s="4"/>
      <c r="J616" s="4"/>
    </row>
    <row r="617" spans="1:10" x14ac:dyDescent="0.2">
      <c r="A617" t="e">
        <f>LEFT(#REF!,10)</f>
        <v>#REF!</v>
      </c>
      <c r="B617" s="4" t="e">
        <f>(#REF!-#REF!)/#REF!</f>
        <v>#REF!</v>
      </c>
      <c r="C617" s="4" t="e">
        <f>(#REF!-#REF!)/#REF!</f>
        <v>#REF!</v>
      </c>
      <c r="D617" s="4" t="e">
        <f>LN(#REF!/#REF!)</f>
        <v>#REF!</v>
      </c>
      <c r="E617" s="4" t="e">
        <f t="shared" si="10"/>
        <v>#REF!</v>
      </c>
      <c r="F617" s="4" t="e" cm="1">
        <f t="array" ref="F617">AVERAGE(B617:B2124-$I$4/252)/_xlfn.STDEV.S(B617:B2124-$I$4)</f>
        <v>#REF!</v>
      </c>
      <c r="G617" s="4"/>
      <c r="H617" s="4"/>
      <c r="I617" s="4"/>
      <c r="J617" s="4"/>
    </row>
    <row r="618" spans="1:10" x14ac:dyDescent="0.2">
      <c r="A618" t="e">
        <f>LEFT(#REF!,10)</f>
        <v>#REF!</v>
      </c>
      <c r="B618" s="4" t="e">
        <f>(#REF!-#REF!)/#REF!</f>
        <v>#REF!</v>
      </c>
      <c r="C618" s="4" t="e">
        <f>(#REF!-#REF!)/#REF!</f>
        <v>#REF!</v>
      </c>
      <c r="D618" s="4" t="e">
        <f>LN(#REF!/#REF!)</f>
        <v>#REF!</v>
      </c>
      <c r="E618" s="4" t="e">
        <f t="shared" si="10"/>
        <v>#REF!</v>
      </c>
      <c r="F618" s="4" t="e" cm="1">
        <f t="array" ref="F618">AVERAGE(B618:B2125-$I$4/252)/_xlfn.STDEV.S(B618:B2125-$I$4)</f>
        <v>#REF!</v>
      </c>
      <c r="G618" s="4"/>
      <c r="H618" s="4"/>
      <c r="I618" s="4"/>
      <c r="J618" s="4"/>
    </row>
    <row r="619" spans="1:10" x14ac:dyDescent="0.2">
      <c r="A619" t="e">
        <f>LEFT(#REF!,10)</f>
        <v>#REF!</v>
      </c>
      <c r="B619" s="4" t="e">
        <f>(#REF!-#REF!)/#REF!</f>
        <v>#REF!</v>
      </c>
      <c r="C619" s="4" t="e">
        <f>(#REF!-#REF!)/#REF!</f>
        <v>#REF!</v>
      </c>
      <c r="D619" s="4" t="e">
        <f>LN(#REF!/#REF!)</f>
        <v>#REF!</v>
      </c>
      <c r="E619" s="4" t="e">
        <f t="shared" si="10"/>
        <v>#REF!</v>
      </c>
      <c r="F619" s="4" t="e" cm="1">
        <f t="array" ref="F619">AVERAGE(B619:B2126-$I$4/252)/_xlfn.STDEV.S(B619:B2126-$I$4)</f>
        <v>#REF!</v>
      </c>
      <c r="G619" s="4"/>
      <c r="H619" s="4"/>
      <c r="I619" s="4"/>
      <c r="J619" s="4"/>
    </row>
    <row r="620" spans="1:10" x14ac:dyDescent="0.2">
      <c r="A620" t="e">
        <f>LEFT(#REF!,10)</f>
        <v>#REF!</v>
      </c>
      <c r="B620" s="4" t="e">
        <f>(#REF!-#REF!)/#REF!</f>
        <v>#REF!</v>
      </c>
      <c r="C620" s="4" t="e">
        <f>(#REF!-#REF!)/#REF!</f>
        <v>#REF!</v>
      </c>
      <c r="D620" s="4" t="e">
        <f>LN(#REF!/#REF!)</f>
        <v>#REF!</v>
      </c>
      <c r="E620" s="4" t="e">
        <f t="shared" si="10"/>
        <v>#REF!</v>
      </c>
      <c r="F620" s="4" t="e" cm="1">
        <f t="array" ref="F620">AVERAGE(B620:B2127-$I$4/252)/_xlfn.STDEV.S(B620:B2127-$I$4)</f>
        <v>#REF!</v>
      </c>
      <c r="G620" s="4"/>
      <c r="H620" s="4"/>
      <c r="I620" s="4"/>
      <c r="J620" s="4"/>
    </row>
    <row r="621" spans="1:10" x14ac:dyDescent="0.2">
      <c r="A621" t="e">
        <f>LEFT(#REF!,10)</f>
        <v>#REF!</v>
      </c>
      <c r="B621" s="4" t="e">
        <f>(#REF!-#REF!)/#REF!</f>
        <v>#REF!</v>
      </c>
      <c r="C621" s="4" t="e">
        <f>(#REF!-#REF!)/#REF!</f>
        <v>#REF!</v>
      </c>
      <c r="D621" s="4" t="e">
        <f>LN(#REF!/#REF!)</f>
        <v>#REF!</v>
      </c>
      <c r="E621" s="4" t="e">
        <f t="shared" si="10"/>
        <v>#REF!</v>
      </c>
      <c r="F621" s="4" t="e" cm="1">
        <f t="array" ref="F621">AVERAGE(B621:B2128-$I$4/252)/_xlfn.STDEV.S(B621:B2128-$I$4)</f>
        <v>#REF!</v>
      </c>
      <c r="G621" s="4"/>
      <c r="H621" s="4"/>
      <c r="I621" s="4"/>
      <c r="J621" s="4"/>
    </row>
    <row r="622" spans="1:10" x14ac:dyDescent="0.2">
      <c r="A622" t="e">
        <f>LEFT(#REF!,10)</f>
        <v>#REF!</v>
      </c>
      <c r="B622" s="4" t="e">
        <f>(#REF!-#REF!)/#REF!</f>
        <v>#REF!</v>
      </c>
      <c r="C622" s="4" t="e">
        <f>(#REF!-#REF!)/#REF!</f>
        <v>#REF!</v>
      </c>
      <c r="D622" s="4" t="e">
        <f>LN(#REF!/#REF!)</f>
        <v>#REF!</v>
      </c>
      <c r="E622" s="4" t="e">
        <f t="shared" si="10"/>
        <v>#REF!</v>
      </c>
      <c r="F622" s="4" t="e" cm="1">
        <f t="array" ref="F622">AVERAGE(B622:B2129-$I$4/252)/_xlfn.STDEV.S(B622:B2129-$I$4)</f>
        <v>#REF!</v>
      </c>
      <c r="G622" s="4"/>
      <c r="H622" s="4"/>
      <c r="I622" s="4"/>
      <c r="J622" s="4"/>
    </row>
    <row r="623" spans="1:10" x14ac:dyDescent="0.2">
      <c r="A623" t="e">
        <f>LEFT(#REF!,10)</f>
        <v>#REF!</v>
      </c>
      <c r="B623" s="4" t="e">
        <f>(#REF!-#REF!)/#REF!</f>
        <v>#REF!</v>
      </c>
      <c r="C623" s="4" t="e">
        <f>(#REF!-#REF!)/#REF!</f>
        <v>#REF!</v>
      </c>
      <c r="D623" s="4" t="e">
        <f>LN(#REF!/#REF!)</f>
        <v>#REF!</v>
      </c>
      <c r="E623" s="4" t="e">
        <f t="shared" si="10"/>
        <v>#REF!</v>
      </c>
      <c r="F623" s="4" t="e" cm="1">
        <f t="array" ref="F623">AVERAGE(B623:B2130-$I$4/252)/_xlfn.STDEV.S(B623:B2130-$I$4)</f>
        <v>#REF!</v>
      </c>
      <c r="G623" s="4"/>
      <c r="H623" s="4"/>
      <c r="I623" s="4"/>
      <c r="J623" s="4"/>
    </row>
    <row r="624" spans="1:10" x14ac:dyDescent="0.2">
      <c r="A624" t="e">
        <f>LEFT(#REF!,10)</f>
        <v>#REF!</v>
      </c>
      <c r="B624" s="4" t="e">
        <f>(#REF!-#REF!)/#REF!</f>
        <v>#REF!</v>
      </c>
      <c r="C624" s="4" t="e">
        <f>(#REF!-#REF!)/#REF!</f>
        <v>#REF!</v>
      </c>
      <c r="D624" s="4" t="e">
        <f>LN(#REF!/#REF!)</f>
        <v>#REF!</v>
      </c>
      <c r="E624" s="4" t="e">
        <f t="shared" si="10"/>
        <v>#REF!</v>
      </c>
      <c r="F624" s="4" t="e" cm="1">
        <f t="array" ref="F624">AVERAGE(B624:B2131-$I$4/252)/_xlfn.STDEV.S(B624:B2131-$I$4)</f>
        <v>#REF!</v>
      </c>
      <c r="G624" s="4"/>
      <c r="H624" s="4"/>
      <c r="I624" s="4"/>
      <c r="J624" s="4"/>
    </row>
    <row r="625" spans="1:10" x14ac:dyDescent="0.2">
      <c r="A625" t="e">
        <f>LEFT(#REF!,10)</f>
        <v>#REF!</v>
      </c>
      <c r="B625" s="4" t="e">
        <f>(#REF!-#REF!)/#REF!</f>
        <v>#REF!</v>
      </c>
      <c r="C625" s="4" t="e">
        <f>(#REF!-#REF!)/#REF!</f>
        <v>#REF!</v>
      </c>
      <c r="D625" s="4" t="e">
        <f>LN(#REF!/#REF!)</f>
        <v>#REF!</v>
      </c>
      <c r="E625" s="4" t="e">
        <f t="shared" si="10"/>
        <v>#REF!</v>
      </c>
      <c r="F625" s="4" t="e" cm="1">
        <f t="array" ref="F625">AVERAGE(B625:B2132-$I$4/252)/_xlfn.STDEV.S(B625:B2132-$I$4)</f>
        <v>#REF!</v>
      </c>
      <c r="G625" s="4"/>
      <c r="H625" s="4"/>
      <c r="I625" s="4"/>
      <c r="J625" s="4"/>
    </row>
    <row r="626" spans="1:10" x14ac:dyDescent="0.2">
      <c r="A626" t="e">
        <f>LEFT(#REF!,10)</f>
        <v>#REF!</v>
      </c>
      <c r="B626" s="4" t="e">
        <f>(#REF!-#REF!)/#REF!</f>
        <v>#REF!</v>
      </c>
      <c r="C626" s="4" t="e">
        <f>(#REF!-#REF!)/#REF!</f>
        <v>#REF!</v>
      </c>
      <c r="D626" s="4" t="e">
        <f>LN(#REF!/#REF!)</f>
        <v>#REF!</v>
      </c>
      <c r="E626" s="4" t="e">
        <f t="shared" si="10"/>
        <v>#REF!</v>
      </c>
      <c r="F626" s="4" t="e" cm="1">
        <f t="array" ref="F626">AVERAGE(B626:B2133-$I$4/252)/_xlfn.STDEV.S(B626:B2133-$I$4)</f>
        <v>#REF!</v>
      </c>
      <c r="G626" s="4"/>
      <c r="H626" s="4"/>
      <c r="I626" s="4"/>
      <c r="J626" s="4"/>
    </row>
    <row r="627" spans="1:10" x14ac:dyDescent="0.2">
      <c r="A627" t="e">
        <f>LEFT(#REF!,10)</f>
        <v>#REF!</v>
      </c>
      <c r="B627" s="4" t="e">
        <f>(#REF!-#REF!)/#REF!</f>
        <v>#REF!</v>
      </c>
      <c r="C627" s="4" t="e">
        <f>(#REF!-#REF!)/#REF!</f>
        <v>#REF!</v>
      </c>
      <c r="D627" s="4" t="e">
        <f>LN(#REF!/#REF!)</f>
        <v>#REF!</v>
      </c>
      <c r="E627" s="4" t="e">
        <f t="shared" si="10"/>
        <v>#REF!</v>
      </c>
      <c r="F627" s="4" t="e" cm="1">
        <f t="array" ref="F627">AVERAGE(B627:B2134-$I$4/252)/_xlfn.STDEV.S(B627:B2134-$I$4)</f>
        <v>#REF!</v>
      </c>
      <c r="G627" s="4"/>
      <c r="H627" s="4"/>
      <c r="I627" s="4"/>
      <c r="J627" s="4"/>
    </row>
    <row r="628" spans="1:10" x14ac:dyDescent="0.2">
      <c r="A628" t="e">
        <f>LEFT(#REF!,10)</f>
        <v>#REF!</v>
      </c>
      <c r="B628" s="4" t="e">
        <f>(#REF!-#REF!)/#REF!</f>
        <v>#REF!</v>
      </c>
      <c r="C628" s="4" t="e">
        <f>(#REF!-#REF!)/#REF!</f>
        <v>#REF!</v>
      </c>
      <c r="D628" s="4" t="e">
        <f>LN(#REF!/#REF!)</f>
        <v>#REF!</v>
      </c>
      <c r="E628" s="4" t="e">
        <f t="shared" si="10"/>
        <v>#REF!</v>
      </c>
      <c r="F628" s="4" t="e" cm="1">
        <f t="array" ref="F628">AVERAGE(B628:B2135-$I$4/252)/_xlfn.STDEV.S(B628:B2135-$I$4)</f>
        <v>#REF!</v>
      </c>
      <c r="G628" s="4"/>
      <c r="H628" s="4"/>
      <c r="I628" s="4"/>
      <c r="J628" s="4"/>
    </row>
    <row r="629" spans="1:10" x14ac:dyDescent="0.2">
      <c r="A629" t="e">
        <f>LEFT(#REF!,10)</f>
        <v>#REF!</v>
      </c>
      <c r="B629" s="4" t="e">
        <f>(#REF!-#REF!)/#REF!</f>
        <v>#REF!</v>
      </c>
      <c r="C629" s="4" t="e">
        <f>(#REF!-#REF!)/#REF!</f>
        <v>#REF!</v>
      </c>
      <c r="D629" s="4" t="e">
        <f>LN(#REF!/#REF!)</f>
        <v>#REF!</v>
      </c>
      <c r="E629" s="4" t="e">
        <f t="shared" si="10"/>
        <v>#REF!</v>
      </c>
      <c r="F629" s="4" t="e" cm="1">
        <f t="array" ref="F629">AVERAGE(B629:B2136-$I$4/252)/_xlfn.STDEV.S(B629:B2136-$I$4)</f>
        <v>#REF!</v>
      </c>
      <c r="G629" s="4"/>
      <c r="H629" s="4"/>
      <c r="I629" s="4"/>
      <c r="J629" s="4"/>
    </row>
    <row r="630" spans="1:10" x14ac:dyDescent="0.2">
      <c r="A630" t="e">
        <f>LEFT(#REF!,10)</f>
        <v>#REF!</v>
      </c>
      <c r="B630" s="4" t="e">
        <f>(#REF!-#REF!)/#REF!</f>
        <v>#REF!</v>
      </c>
      <c r="C630" s="4" t="e">
        <f>(#REF!-#REF!)/#REF!</f>
        <v>#REF!</v>
      </c>
      <c r="D630" s="4" t="e">
        <f>LN(#REF!/#REF!)</f>
        <v>#REF!</v>
      </c>
      <c r="E630" s="4" t="e">
        <f t="shared" si="10"/>
        <v>#REF!</v>
      </c>
      <c r="F630" s="4" t="e" cm="1">
        <f t="array" ref="F630">AVERAGE(B630:B2137-$I$4/252)/_xlfn.STDEV.S(B630:B2137-$I$4)</f>
        <v>#REF!</v>
      </c>
      <c r="G630" s="4"/>
      <c r="H630" s="4"/>
      <c r="I630" s="4"/>
      <c r="J630" s="4"/>
    </row>
    <row r="631" spans="1:10" x14ac:dyDescent="0.2">
      <c r="A631" t="e">
        <f>LEFT(#REF!,10)</f>
        <v>#REF!</v>
      </c>
      <c r="B631" s="4" t="e">
        <f>(#REF!-#REF!)/#REF!</f>
        <v>#REF!</v>
      </c>
      <c r="C631" s="4" t="e">
        <f>(#REF!-#REF!)/#REF!</f>
        <v>#REF!</v>
      </c>
      <c r="D631" s="4" t="e">
        <f>LN(#REF!/#REF!)</f>
        <v>#REF!</v>
      </c>
      <c r="E631" s="4" t="e">
        <f t="shared" si="10"/>
        <v>#REF!</v>
      </c>
      <c r="F631" s="4" t="e" cm="1">
        <f t="array" ref="F631">AVERAGE(B631:B2138-$I$4/252)/_xlfn.STDEV.S(B631:B2138-$I$4)</f>
        <v>#REF!</v>
      </c>
      <c r="G631" s="4"/>
      <c r="H631" s="4"/>
      <c r="I631" s="4"/>
      <c r="J631" s="4"/>
    </row>
    <row r="632" spans="1:10" x14ac:dyDescent="0.2">
      <c r="A632" t="e">
        <f>LEFT(#REF!,10)</f>
        <v>#REF!</v>
      </c>
      <c r="B632" s="4" t="e">
        <f>(#REF!-#REF!)/#REF!</f>
        <v>#REF!</v>
      </c>
      <c r="C632" s="4" t="e">
        <f>(#REF!-#REF!)/#REF!</f>
        <v>#REF!</v>
      </c>
      <c r="D632" s="4" t="e">
        <f>LN(#REF!/#REF!)</f>
        <v>#REF!</v>
      </c>
      <c r="E632" s="4" t="e">
        <f t="shared" si="10"/>
        <v>#REF!</v>
      </c>
      <c r="F632" s="4" t="e" cm="1">
        <f t="array" ref="F632">AVERAGE(B632:B2139-$I$4/252)/_xlfn.STDEV.S(B632:B2139-$I$4)</f>
        <v>#REF!</v>
      </c>
      <c r="G632" s="4"/>
      <c r="H632" s="4"/>
      <c r="I632" s="4"/>
      <c r="J632" s="4"/>
    </row>
    <row r="633" spans="1:10" x14ac:dyDescent="0.2">
      <c r="A633" t="e">
        <f>LEFT(#REF!,10)</f>
        <v>#REF!</v>
      </c>
      <c r="B633" s="4" t="e">
        <f>(#REF!-#REF!)/#REF!</f>
        <v>#REF!</v>
      </c>
      <c r="C633" s="4" t="e">
        <f>(#REF!-#REF!)/#REF!</f>
        <v>#REF!</v>
      </c>
      <c r="D633" s="4" t="e">
        <f>LN(#REF!/#REF!)</f>
        <v>#REF!</v>
      </c>
      <c r="E633" s="4" t="e">
        <f t="shared" si="10"/>
        <v>#REF!</v>
      </c>
      <c r="F633" s="4" t="e" cm="1">
        <f t="array" ref="F633">AVERAGE(B633:B2140-$I$4/252)/_xlfn.STDEV.S(B633:B2140-$I$4)</f>
        <v>#REF!</v>
      </c>
      <c r="G633" s="4"/>
      <c r="H633" s="4"/>
      <c r="I633" s="4"/>
      <c r="J633" s="4"/>
    </row>
    <row r="634" spans="1:10" x14ac:dyDescent="0.2">
      <c r="A634" t="e">
        <f>LEFT(#REF!,10)</f>
        <v>#REF!</v>
      </c>
      <c r="B634" s="4" t="e">
        <f>(#REF!-#REF!)/#REF!</f>
        <v>#REF!</v>
      </c>
      <c r="C634" s="4" t="e">
        <f>(#REF!-#REF!)/#REF!</f>
        <v>#REF!</v>
      </c>
      <c r="D634" s="4" t="e">
        <f>LN(#REF!/#REF!)</f>
        <v>#REF!</v>
      </c>
      <c r="E634" s="4" t="e">
        <f t="shared" si="10"/>
        <v>#REF!</v>
      </c>
      <c r="F634" s="4" t="e" cm="1">
        <f t="array" ref="F634">AVERAGE(B634:B2141-$I$4/252)/_xlfn.STDEV.S(B634:B2141-$I$4)</f>
        <v>#REF!</v>
      </c>
      <c r="G634" s="4"/>
      <c r="H634" s="4"/>
      <c r="I634" s="4"/>
      <c r="J634" s="4"/>
    </row>
    <row r="635" spans="1:10" x14ac:dyDescent="0.2">
      <c r="A635" t="e">
        <f>LEFT(#REF!,10)</f>
        <v>#REF!</v>
      </c>
      <c r="B635" s="4" t="e">
        <f>(#REF!-#REF!)/#REF!</f>
        <v>#REF!</v>
      </c>
      <c r="C635" s="4" t="e">
        <f>(#REF!-#REF!)/#REF!</f>
        <v>#REF!</v>
      </c>
      <c r="D635" s="4" t="e">
        <f>LN(#REF!/#REF!)</f>
        <v>#REF!</v>
      </c>
      <c r="E635" s="4" t="e">
        <f t="shared" si="10"/>
        <v>#REF!</v>
      </c>
      <c r="F635" s="4" t="e" cm="1">
        <f t="array" ref="F635">AVERAGE(B635:B2142-$I$4/252)/_xlfn.STDEV.S(B635:B2142-$I$4)</f>
        <v>#REF!</v>
      </c>
      <c r="G635" s="4"/>
      <c r="H635" s="4"/>
      <c r="I635" s="4"/>
      <c r="J635" s="4"/>
    </row>
    <row r="636" spans="1:10" x14ac:dyDescent="0.2">
      <c r="A636" t="e">
        <f>LEFT(#REF!,10)</f>
        <v>#REF!</v>
      </c>
      <c r="B636" s="4" t="e">
        <f>(#REF!-#REF!)/#REF!</f>
        <v>#REF!</v>
      </c>
      <c r="C636" s="4" t="e">
        <f>(#REF!-#REF!)/#REF!</f>
        <v>#REF!</v>
      </c>
      <c r="D636" s="4" t="e">
        <f>LN(#REF!/#REF!)</f>
        <v>#REF!</v>
      </c>
      <c r="E636" s="4" t="e">
        <f t="shared" si="10"/>
        <v>#REF!</v>
      </c>
      <c r="F636" s="4" t="e" cm="1">
        <f t="array" ref="F636">AVERAGE(B636:B2143-$I$4/252)/_xlfn.STDEV.S(B636:B2143-$I$4)</f>
        <v>#REF!</v>
      </c>
      <c r="G636" s="4"/>
      <c r="H636" s="4"/>
      <c r="I636" s="4"/>
      <c r="J636" s="4"/>
    </row>
    <row r="637" spans="1:10" x14ac:dyDescent="0.2">
      <c r="A637" t="e">
        <f>LEFT(#REF!,10)</f>
        <v>#REF!</v>
      </c>
      <c r="B637" s="4" t="e">
        <f>(#REF!-#REF!)/#REF!</f>
        <v>#REF!</v>
      </c>
      <c r="C637" s="4" t="e">
        <f>(#REF!-#REF!)/#REF!</f>
        <v>#REF!</v>
      </c>
      <c r="D637" s="4" t="e">
        <f>LN(#REF!/#REF!)</f>
        <v>#REF!</v>
      </c>
      <c r="E637" s="4" t="e">
        <f t="shared" si="10"/>
        <v>#REF!</v>
      </c>
      <c r="F637" s="4" t="e" cm="1">
        <f t="array" ref="F637">AVERAGE(B637:B2144-$I$4/252)/_xlfn.STDEV.S(B637:B2144-$I$4)</f>
        <v>#REF!</v>
      </c>
      <c r="G637" s="4"/>
      <c r="H637" s="4"/>
      <c r="I637" s="4"/>
      <c r="J637" s="4"/>
    </row>
    <row r="638" spans="1:10" x14ac:dyDescent="0.2">
      <c r="A638" t="e">
        <f>LEFT(#REF!,10)</f>
        <v>#REF!</v>
      </c>
      <c r="B638" s="4" t="e">
        <f>(#REF!-#REF!)/#REF!</f>
        <v>#REF!</v>
      </c>
      <c r="C638" s="4" t="e">
        <f>(#REF!-#REF!)/#REF!</f>
        <v>#REF!</v>
      </c>
      <c r="D638" s="4" t="e">
        <f>LN(#REF!/#REF!)</f>
        <v>#REF!</v>
      </c>
      <c r="E638" s="4" t="e">
        <f t="shared" si="10"/>
        <v>#REF!</v>
      </c>
      <c r="F638" s="4" t="e" cm="1">
        <f t="array" ref="F638">AVERAGE(B638:B2145-$I$4/252)/_xlfn.STDEV.S(B638:B2145-$I$4)</f>
        <v>#REF!</v>
      </c>
      <c r="G638" s="4"/>
      <c r="H638" s="4"/>
      <c r="I638" s="4"/>
      <c r="J638" s="4"/>
    </row>
    <row r="639" spans="1:10" x14ac:dyDescent="0.2">
      <c r="A639" t="e">
        <f>LEFT(#REF!,10)</f>
        <v>#REF!</v>
      </c>
      <c r="B639" s="4" t="e">
        <f>(#REF!-#REF!)/#REF!</f>
        <v>#REF!</v>
      </c>
      <c r="C639" s="4" t="e">
        <f>(#REF!-#REF!)/#REF!</f>
        <v>#REF!</v>
      </c>
      <c r="D639" s="4" t="e">
        <f>LN(#REF!/#REF!)</f>
        <v>#REF!</v>
      </c>
      <c r="E639" s="4" t="e">
        <f t="shared" si="10"/>
        <v>#REF!</v>
      </c>
      <c r="F639" s="4" t="e" cm="1">
        <f t="array" ref="F639">AVERAGE(B639:B2146-$I$4/252)/_xlfn.STDEV.S(B639:B2146-$I$4)</f>
        <v>#REF!</v>
      </c>
      <c r="G639" s="4"/>
      <c r="H639" s="4"/>
      <c r="I639" s="4"/>
      <c r="J639" s="4"/>
    </row>
    <row r="640" spans="1:10" x14ac:dyDescent="0.2">
      <c r="A640" t="e">
        <f>LEFT(#REF!,10)</f>
        <v>#REF!</v>
      </c>
      <c r="B640" s="4" t="e">
        <f>(#REF!-#REF!)/#REF!</f>
        <v>#REF!</v>
      </c>
      <c r="C640" s="4" t="e">
        <f>(#REF!-#REF!)/#REF!</f>
        <v>#REF!</v>
      </c>
      <c r="D640" s="4" t="e">
        <f>LN(#REF!/#REF!)</f>
        <v>#REF!</v>
      </c>
      <c r="E640" s="4" t="e">
        <f t="shared" si="10"/>
        <v>#REF!</v>
      </c>
      <c r="F640" s="4" t="e" cm="1">
        <f t="array" ref="F640">AVERAGE(B640:B2147-$I$4/252)/_xlfn.STDEV.S(B640:B2147-$I$4)</f>
        <v>#REF!</v>
      </c>
      <c r="G640" s="4"/>
      <c r="H640" s="4"/>
      <c r="I640" s="4"/>
      <c r="J640" s="4"/>
    </row>
    <row r="641" spans="1:10" x14ac:dyDescent="0.2">
      <c r="A641" t="e">
        <f>LEFT(#REF!,10)</f>
        <v>#REF!</v>
      </c>
      <c r="B641" s="4" t="e">
        <f>(#REF!-#REF!)/#REF!</f>
        <v>#REF!</v>
      </c>
      <c r="C641" s="4" t="e">
        <f>(#REF!-#REF!)/#REF!</f>
        <v>#REF!</v>
      </c>
      <c r="D641" s="4" t="e">
        <f>LN(#REF!/#REF!)</f>
        <v>#REF!</v>
      </c>
      <c r="E641" s="4" t="e">
        <f t="shared" si="10"/>
        <v>#REF!</v>
      </c>
      <c r="F641" s="4" t="e" cm="1">
        <f t="array" ref="F641">AVERAGE(B641:B2148-$I$4/252)/_xlfn.STDEV.S(B641:B2148-$I$4)</f>
        <v>#REF!</v>
      </c>
      <c r="G641" s="4"/>
      <c r="H641" s="4"/>
      <c r="I641" s="4"/>
      <c r="J641" s="4"/>
    </row>
    <row r="642" spans="1:10" x14ac:dyDescent="0.2">
      <c r="A642" t="e">
        <f>LEFT(#REF!,10)</f>
        <v>#REF!</v>
      </c>
      <c r="B642" s="4" t="e">
        <f>(#REF!-#REF!)/#REF!</f>
        <v>#REF!</v>
      </c>
      <c r="C642" s="4" t="e">
        <f>(#REF!-#REF!)/#REF!</f>
        <v>#REF!</v>
      </c>
      <c r="D642" s="4" t="e">
        <f>LN(#REF!/#REF!)</f>
        <v>#REF!</v>
      </c>
      <c r="E642" s="4" t="e">
        <f t="shared" si="10"/>
        <v>#REF!</v>
      </c>
      <c r="F642" s="4" t="e" cm="1">
        <f t="array" ref="F642">AVERAGE(B642:B2149-$I$4/252)/_xlfn.STDEV.S(B642:B2149-$I$4)</f>
        <v>#REF!</v>
      </c>
      <c r="G642" s="4"/>
      <c r="H642" s="4"/>
      <c r="I642" s="4"/>
      <c r="J642" s="4"/>
    </row>
    <row r="643" spans="1:10" x14ac:dyDescent="0.2">
      <c r="A643" t="e">
        <f>LEFT(#REF!,10)</f>
        <v>#REF!</v>
      </c>
      <c r="B643" s="4" t="e">
        <f>(#REF!-#REF!)/#REF!</f>
        <v>#REF!</v>
      </c>
      <c r="C643" s="4" t="e">
        <f>(#REF!-#REF!)/#REF!</f>
        <v>#REF!</v>
      </c>
      <c r="D643" s="4" t="e">
        <f>LN(#REF!/#REF!)</f>
        <v>#REF!</v>
      </c>
      <c r="E643" s="4" t="e">
        <f t="shared" si="10"/>
        <v>#REF!</v>
      </c>
      <c r="F643" s="4" t="e" cm="1">
        <f t="array" ref="F643">AVERAGE(B643:B2150-$I$4/252)/_xlfn.STDEV.S(B643:B2150-$I$4)</f>
        <v>#REF!</v>
      </c>
      <c r="G643" s="4"/>
      <c r="H643" s="4"/>
      <c r="I643" s="4"/>
      <c r="J643" s="4"/>
    </row>
    <row r="644" spans="1:10" x14ac:dyDescent="0.2">
      <c r="A644" t="e">
        <f>LEFT(#REF!,10)</f>
        <v>#REF!</v>
      </c>
      <c r="B644" s="4" t="e">
        <f>(#REF!-#REF!)/#REF!</f>
        <v>#REF!</v>
      </c>
      <c r="C644" s="4" t="e">
        <f>(#REF!-#REF!)/#REF!</f>
        <v>#REF!</v>
      </c>
      <c r="D644" s="4" t="e">
        <f>LN(#REF!/#REF!)</f>
        <v>#REF!</v>
      </c>
      <c r="E644" s="4" t="e">
        <f t="shared" si="10"/>
        <v>#REF!</v>
      </c>
      <c r="F644" s="4" t="e" cm="1">
        <f t="array" ref="F644">AVERAGE(B644:B2151-$I$4/252)/_xlfn.STDEV.S(B644:B2151-$I$4)</f>
        <v>#REF!</v>
      </c>
      <c r="G644" s="4"/>
      <c r="H644" s="4"/>
      <c r="I644" s="4"/>
      <c r="J644" s="4"/>
    </row>
    <row r="645" spans="1:10" x14ac:dyDescent="0.2">
      <c r="A645" t="e">
        <f>LEFT(#REF!,10)</f>
        <v>#REF!</v>
      </c>
      <c r="B645" s="4" t="e">
        <f>(#REF!-#REF!)/#REF!</f>
        <v>#REF!</v>
      </c>
      <c r="C645" s="4" t="e">
        <f>(#REF!-#REF!)/#REF!</f>
        <v>#REF!</v>
      </c>
      <c r="D645" s="4" t="e">
        <f>LN(#REF!/#REF!)</f>
        <v>#REF!</v>
      </c>
      <c r="E645" s="4" t="e">
        <f t="shared" ref="E645:E708" si="11">_xlfn.STDEV.S(D645:D664)</f>
        <v>#REF!</v>
      </c>
      <c r="F645" s="4" t="e" cm="1">
        <f t="array" ref="F645">AVERAGE(B645:B2152-$I$4/252)/_xlfn.STDEV.S(B645:B2152-$I$4)</f>
        <v>#REF!</v>
      </c>
      <c r="G645" s="4"/>
      <c r="H645" s="4"/>
      <c r="I645" s="4"/>
      <c r="J645" s="4"/>
    </row>
    <row r="646" spans="1:10" x14ac:dyDescent="0.2">
      <c r="A646" t="e">
        <f>LEFT(#REF!,10)</f>
        <v>#REF!</v>
      </c>
      <c r="B646" s="4" t="e">
        <f>(#REF!-#REF!)/#REF!</f>
        <v>#REF!</v>
      </c>
      <c r="C646" s="4" t="e">
        <f>(#REF!-#REF!)/#REF!</f>
        <v>#REF!</v>
      </c>
      <c r="D646" s="4" t="e">
        <f>LN(#REF!/#REF!)</f>
        <v>#REF!</v>
      </c>
      <c r="E646" s="4" t="e">
        <f t="shared" si="11"/>
        <v>#REF!</v>
      </c>
      <c r="F646" s="4" t="e" cm="1">
        <f t="array" ref="F646">AVERAGE(B646:B2153-$I$4/252)/_xlfn.STDEV.S(B646:B2153-$I$4)</f>
        <v>#REF!</v>
      </c>
      <c r="G646" s="4"/>
      <c r="H646" s="4"/>
      <c r="I646" s="4"/>
      <c r="J646" s="4"/>
    </row>
    <row r="647" spans="1:10" x14ac:dyDescent="0.2">
      <c r="A647" t="e">
        <f>LEFT(#REF!,10)</f>
        <v>#REF!</v>
      </c>
      <c r="B647" s="4" t="e">
        <f>(#REF!-#REF!)/#REF!</f>
        <v>#REF!</v>
      </c>
      <c r="C647" s="4" t="e">
        <f>(#REF!-#REF!)/#REF!</f>
        <v>#REF!</v>
      </c>
      <c r="D647" s="4" t="e">
        <f>LN(#REF!/#REF!)</f>
        <v>#REF!</v>
      </c>
      <c r="E647" s="4" t="e">
        <f t="shared" si="11"/>
        <v>#REF!</v>
      </c>
      <c r="F647" s="4" t="e" cm="1">
        <f t="array" ref="F647">AVERAGE(B647:B2154-$I$4/252)/_xlfn.STDEV.S(B647:B2154-$I$4)</f>
        <v>#REF!</v>
      </c>
      <c r="G647" s="4"/>
      <c r="H647" s="4"/>
      <c r="I647" s="4"/>
      <c r="J647" s="4"/>
    </row>
    <row r="648" spans="1:10" x14ac:dyDescent="0.2">
      <c r="A648" t="e">
        <f>LEFT(#REF!,10)</f>
        <v>#REF!</v>
      </c>
      <c r="B648" s="4" t="e">
        <f>(#REF!-#REF!)/#REF!</f>
        <v>#REF!</v>
      </c>
      <c r="C648" s="4" t="e">
        <f>(#REF!-#REF!)/#REF!</f>
        <v>#REF!</v>
      </c>
      <c r="D648" s="4" t="e">
        <f>LN(#REF!/#REF!)</f>
        <v>#REF!</v>
      </c>
      <c r="E648" s="4" t="e">
        <f t="shared" si="11"/>
        <v>#REF!</v>
      </c>
      <c r="F648" s="4" t="e" cm="1">
        <f t="array" ref="F648">AVERAGE(B648:B2155-$I$4/252)/_xlfn.STDEV.S(B648:B2155-$I$4)</f>
        <v>#REF!</v>
      </c>
      <c r="G648" s="4"/>
      <c r="H648" s="4"/>
      <c r="I648" s="4"/>
      <c r="J648" s="4"/>
    </row>
    <row r="649" spans="1:10" x14ac:dyDescent="0.2">
      <c r="A649" t="e">
        <f>LEFT(#REF!,10)</f>
        <v>#REF!</v>
      </c>
      <c r="B649" s="4" t="e">
        <f>(#REF!-#REF!)/#REF!</f>
        <v>#REF!</v>
      </c>
      <c r="C649" s="4" t="e">
        <f>(#REF!-#REF!)/#REF!</f>
        <v>#REF!</v>
      </c>
      <c r="D649" s="4" t="e">
        <f>LN(#REF!/#REF!)</f>
        <v>#REF!</v>
      </c>
      <c r="E649" s="4" t="e">
        <f t="shared" si="11"/>
        <v>#REF!</v>
      </c>
      <c r="F649" s="4" t="e" cm="1">
        <f t="array" ref="F649">AVERAGE(B649:B2156-$I$4/252)/_xlfn.STDEV.S(B649:B2156-$I$4)</f>
        <v>#REF!</v>
      </c>
      <c r="G649" s="4"/>
      <c r="H649" s="4"/>
      <c r="I649" s="4"/>
      <c r="J649" s="4"/>
    </row>
    <row r="650" spans="1:10" x14ac:dyDescent="0.2">
      <c r="A650" t="e">
        <f>LEFT(#REF!,10)</f>
        <v>#REF!</v>
      </c>
      <c r="B650" s="4" t="e">
        <f>(#REF!-#REF!)/#REF!</f>
        <v>#REF!</v>
      </c>
      <c r="C650" s="4" t="e">
        <f>(#REF!-#REF!)/#REF!</f>
        <v>#REF!</v>
      </c>
      <c r="D650" s="4" t="e">
        <f>LN(#REF!/#REF!)</f>
        <v>#REF!</v>
      </c>
      <c r="E650" s="4" t="e">
        <f t="shared" si="11"/>
        <v>#REF!</v>
      </c>
      <c r="F650" s="4" t="e" cm="1">
        <f t="array" ref="F650">AVERAGE(B650:B2157-$I$4/252)/_xlfn.STDEV.S(B650:B2157-$I$4)</f>
        <v>#REF!</v>
      </c>
      <c r="G650" s="4"/>
      <c r="H650" s="4"/>
      <c r="I650" s="4"/>
      <c r="J650" s="4"/>
    </row>
    <row r="651" spans="1:10" x14ac:dyDescent="0.2">
      <c r="A651" t="e">
        <f>LEFT(#REF!,10)</f>
        <v>#REF!</v>
      </c>
      <c r="B651" s="4" t="e">
        <f>(#REF!-#REF!)/#REF!</f>
        <v>#REF!</v>
      </c>
      <c r="C651" s="4" t="e">
        <f>(#REF!-#REF!)/#REF!</f>
        <v>#REF!</v>
      </c>
      <c r="D651" s="4" t="e">
        <f>LN(#REF!/#REF!)</f>
        <v>#REF!</v>
      </c>
      <c r="E651" s="4" t="e">
        <f t="shared" si="11"/>
        <v>#REF!</v>
      </c>
      <c r="F651" s="4" t="e" cm="1">
        <f t="array" ref="F651">AVERAGE(B651:B2158-$I$4/252)/_xlfn.STDEV.S(B651:B2158-$I$4)</f>
        <v>#REF!</v>
      </c>
      <c r="G651" s="4"/>
      <c r="H651" s="4"/>
      <c r="I651" s="4"/>
      <c r="J651" s="4"/>
    </row>
    <row r="652" spans="1:10" x14ac:dyDescent="0.2">
      <c r="A652" t="e">
        <f>LEFT(#REF!,10)</f>
        <v>#REF!</v>
      </c>
      <c r="B652" s="4" t="e">
        <f>(#REF!-#REF!)/#REF!</f>
        <v>#REF!</v>
      </c>
      <c r="C652" s="4" t="e">
        <f>(#REF!-#REF!)/#REF!</f>
        <v>#REF!</v>
      </c>
      <c r="D652" s="4" t="e">
        <f>LN(#REF!/#REF!)</f>
        <v>#REF!</v>
      </c>
      <c r="E652" s="4" t="e">
        <f t="shared" si="11"/>
        <v>#REF!</v>
      </c>
      <c r="F652" s="4" t="e" cm="1">
        <f t="array" ref="F652">AVERAGE(B652:B2159-$I$4/252)/_xlfn.STDEV.S(B652:B2159-$I$4)</f>
        <v>#REF!</v>
      </c>
      <c r="G652" s="4"/>
      <c r="H652" s="4"/>
      <c r="I652" s="4"/>
      <c r="J652" s="4"/>
    </row>
    <row r="653" spans="1:10" x14ac:dyDescent="0.2">
      <c r="A653" t="e">
        <f>LEFT(#REF!,10)</f>
        <v>#REF!</v>
      </c>
      <c r="B653" s="4" t="e">
        <f>(#REF!-#REF!)/#REF!</f>
        <v>#REF!</v>
      </c>
      <c r="C653" s="4" t="e">
        <f>(#REF!-#REF!)/#REF!</f>
        <v>#REF!</v>
      </c>
      <c r="D653" s="4" t="e">
        <f>LN(#REF!/#REF!)</f>
        <v>#REF!</v>
      </c>
      <c r="E653" s="4" t="e">
        <f t="shared" si="11"/>
        <v>#REF!</v>
      </c>
      <c r="F653" s="4" t="e" cm="1">
        <f t="array" ref="F653">AVERAGE(B653:B2160-$I$4/252)/_xlfn.STDEV.S(B653:B2160-$I$4)</f>
        <v>#REF!</v>
      </c>
      <c r="G653" s="4"/>
      <c r="H653" s="4"/>
      <c r="I653" s="4"/>
      <c r="J653" s="4"/>
    </row>
    <row r="654" spans="1:10" x14ac:dyDescent="0.2">
      <c r="A654" t="e">
        <f>LEFT(#REF!,10)</f>
        <v>#REF!</v>
      </c>
      <c r="B654" s="4" t="e">
        <f>(#REF!-#REF!)/#REF!</f>
        <v>#REF!</v>
      </c>
      <c r="C654" s="4" t="e">
        <f>(#REF!-#REF!)/#REF!</f>
        <v>#REF!</v>
      </c>
      <c r="D654" s="4" t="e">
        <f>LN(#REF!/#REF!)</f>
        <v>#REF!</v>
      </c>
      <c r="E654" s="4" t="e">
        <f t="shared" si="11"/>
        <v>#REF!</v>
      </c>
      <c r="F654" s="4" t="e" cm="1">
        <f t="array" ref="F654">AVERAGE(B654:B2161-$I$4/252)/_xlfn.STDEV.S(B654:B2161-$I$4)</f>
        <v>#REF!</v>
      </c>
      <c r="G654" s="4"/>
      <c r="H654" s="4"/>
      <c r="I654" s="4"/>
      <c r="J654" s="4"/>
    </row>
    <row r="655" spans="1:10" x14ac:dyDescent="0.2">
      <c r="A655" t="e">
        <f>LEFT(#REF!,10)</f>
        <v>#REF!</v>
      </c>
      <c r="B655" s="4" t="e">
        <f>(#REF!-#REF!)/#REF!</f>
        <v>#REF!</v>
      </c>
      <c r="C655" s="4" t="e">
        <f>(#REF!-#REF!)/#REF!</f>
        <v>#REF!</v>
      </c>
      <c r="D655" s="4" t="e">
        <f>LN(#REF!/#REF!)</f>
        <v>#REF!</v>
      </c>
      <c r="E655" s="4" t="e">
        <f t="shared" si="11"/>
        <v>#REF!</v>
      </c>
      <c r="F655" s="4" t="e" cm="1">
        <f t="array" ref="F655">AVERAGE(B655:B2162-$I$4/252)/_xlfn.STDEV.S(B655:B2162-$I$4)</f>
        <v>#REF!</v>
      </c>
      <c r="G655" s="4"/>
      <c r="H655" s="4"/>
      <c r="I655" s="4"/>
      <c r="J655" s="4"/>
    </row>
    <row r="656" spans="1:10" x14ac:dyDescent="0.2">
      <c r="A656" t="e">
        <f>LEFT(#REF!,10)</f>
        <v>#REF!</v>
      </c>
      <c r="B656" s="4" t="e">
        <f>(#REF!-#REF!)/#REF!</f>
        <v>#REF!</v>
      </c>
      <c r="C656" s="4" t="e">
        <f>(#REF!-#REF!)/#REF!</f>
        <v>#REF!</v>
      </c>
      <c r="D656" s="4" t="e">
        <f>LN(#REF!/#REF!)</f>
        <v>#REF!</v>
      </c>
      <c r="E656" s="4" t="e">
        <f t="shared" si="11"/>
        <v>#REF!</v>
      </c>
      <c r="F656" s="4" t="e" cm="1">
        <f t="array" ref="F656">AVERAGE(B656:B2163-$I$4/252)/_xlfn.STDEV.S(B656:B2163-$I$4)</f>
        <v>#REF!</v>
      </c>
      <c r="G656" s="4"/>
      <c r="H656" s="4"/>
      <c r="I656" s="4"/>
      <c r="J656" s="4"/>
    </row>
    <row r="657" spans="1:10" x14ac:dyDescent="0.2">
      <c r="A657" t="e">
        <f>LEFT(#REF!,10)</f>
        <v>#REF!</v>
      </c>
      <c r="B657" s="4" t="e">
        <f>(#REF!-#REF!)/#REF!</f>
        <v>#REF!</v>
      </c>
      <c r="C657" s="4" t="e">
        <f>(#REF!-#REF!)/#REF!</f>
        <v>#REF!</v>
      </c>
      <c r="D657" s="4" t="e">
        <f>LN(#REF!/#REF!)</f>
        <v>#REF!</v>
      </c>
      <c r="E657" s="4" t="e">
        <f t="shared" si="11"/>
        <v>#REF!</v>
      </c>
      <c r="F657" s="4" t="e" cm="1">
        <f t="array" ref="F657">AVERAGE(B657:B2164-$I$4/252)/_xlfn.STDEV.S(B657:B2164-$I$4)</f>
        <v>#REF!</v>
      </c>
      <c r="G657" s="4"/>
      <c r="H657" s="4"/>
      <c r="I657" s="4"/>
      <c r="J657" s="4"/>
    </row>
    <row r="658" spans="1:10" x14ac:dyDescent="0.2">
      <c r="A658" t="e">
        <f>LEFT(#REF!,10)</f>
        <v>#REF!</v>
      </c>
      <c r="B658" s="4" t="e">
        <f>(#REF!-#REF!)/#REF!</f>
        <v>#REF!</v>
      </c>
      <c r="C658" s="4" t="e">
        <f>(#REF!-#REF!)/#REF!</f>
        <v>#REF!</v>
      </c>
      <c r="D658" s="4" t="e">
        <f>LN(#REF!/#REF!)</f>
        <v>#REF!</v>
      </c>
      <c r="E658" s="4" t="e">
        <f t="shared" si="11"/>
        <v>#REF!</v>
      </c>
      <c r="F658" s="4" t="e" cm="1">
        <f t="array" ref="F658">AVERAGE(B658:B2165-$I$4/252)/_xlfn.STDEV.S(B658:B2165-$I$4)</f>
        <v>#REF!</v>
      </c>
      <c r="G658" s="4"/>
      <c r="H658" s="4"/>
      <c r="I658" s="4"/>
      <c r="J658" s="4"/>
    </row>
    <row r="659" spans="1:10" x14ac:dyDescent="0.2">
      <c r="A659" t="e">
        <f>LEFT(#REF!,10)</f>
        <v>#REF!</v>
      </c>
      <c r="B659" s="4" t="e">
        <f>(#REF!-#REF!)/#REF!</f>
        <v>#REF!</v>
      </c>
      <c r="C659" s="4" t="e">
        <f>(#REF!-#REF!)/#REF!</f>
        <v>#REF!</v>
      </c>
      <c r="D659" s="4" t="e">
        <f>LN(#REF!/#REF!)</f>
        <v>#REF!</v>
      </c>
      <c r="E659" s="4" t="e">
        <f t="shared" si="11"/>
        <v>#REF!</v>
      </c>
      <c r="F659" s="4" t="e" cm="1">
        <f t="array" ref="F659">AVERAGE(B659:B2166-$I$4/252)/_xlfn.STDEV.S(B659:B2166-$I$4)</f>
        <v>#REF!</v>
      </c>
      <c r="G659" s="4"/>
      <c r="H659" s="4"/>
      <c r="I659" s="4"/>
      <c r="J659" s="4"/>
    </row>
    <row r="660" spans="1:10" x14ac:dyDescent="0.2">
      <c r="A660" t="e">
        <f>LEFT(#REF!,10)</f>
        <v>#REF!</v>
      </c>
      <c r="B660" s="4" t="e">
        <f>(#REF!-#REF!)/#REF!</f>
        <v>#REF!</v>
      </c>
      <c r="C660" s="4" t="e">
        <f>(#REF!-#REF!)/#REF!</f>
        <v>#REF!</v>
      </c>
      <c r="D660" s="4" t="e">
        <f>LN(#REF!/#REF!)</f>
        <v>#REF!</v>
      </c>
      <c r="E660" s="4" t="e">
        <f t="shared" si="11"/>
        <v>#REF!</v>
      </c>
      <c r="F660" s="4" t="e" cm="1">
        <f t="array" ref="F660">AVERAGE(B660:B2167-$I$4/252)/_xlfn.STDEV.S(B660:B2167-$I$4)</f>
        <v>#REF!</v>
      </c>
      <c r="G660" s="4"/>
      <c r="H660" s="4"/>
      <c r="I660" s="4"/>
      <c r="J660" s="4"/>
    </row>
    <row r="661" spans="1:10" x14ac:dyDescent="0.2">
      <c r="A661" t="e">
        <f>LEFT(#REF!,10)</f>
        <v>#REF!</v>
      </c>
      <c r="B661" s="4" t="e">
        <f>(#REF!-#REF!)/#REF!</f>
        <v>#REF!</v>
      </c>
      <c r="C661" s="4" t="e">
        <f>(#REF!-#REF!)/#REF!</f>
        <v>#REF!</v>
      </c>
      <c r="D661" s="4" t="e">
        <f>LN(#REF!/#REF!)</f>
        <v>#REF!</v>
      </c>
      <c r="E661" s="4" t="e">
        <f t="shared" si="11"/>
        <v>#REF!</v>
      </c>
      <c r="F661" s="4" t="e" cm="1">
        <f t="array" ref="F661">AVERAGE(B661:B2168-$I$4/252)/_xlfn.STDEV.S(B661:B2168-$I$4)</f>
        <v>#REF!</v>
      </c>
      <c r="G661" s="4"/>
      <c r="H661" s="4"/>
      <c r="I661" s="4"/>
      <c r="J661" s="4"/>
    </row>
    <row r="662" spans="1:10" x14ac:dyDescent="0.2">
      <c r="A662" t="e">
        <f>LEFT(#REF!,10)</f>
        <v>#REF!</v>
      </c>
      <c r="B662" s="4" t="e">
        <f>(#REF!-#REF!)/#REF!</f>
        <v>#REF!</v>
      </c>
      <c r="C662" s="4" t="e">
        <f>(#REF!-#REF!)/#REF!</f>
        <v>#REF!</v>
      </c>
      <c r="D662" s="4" t="e">
        <f>LN(#REF!/#REF!)</f>
        <v>#REF!</v>
      </c>
      <c r="E662" s="4" t="e">
        <f t="shared" si="11"/>
        <v>#REF!</v>
      </c>
      <c r="F662" s="4" t="e" cm="1">
        <f t="array" ref="F662">AVERAGE(B662:B2169-$I$4/252)/_xlfn.STDEV.S(B662:B2169-$I$4)</f>
        <v>#REF!</v>
      </c>
      <c r="G662" s="4"/>
      <c r="H662" s="4"/>
      <c r="I662" s="4"/>
      <c r="J662" s="4"/>
    </row>
    <row r="663" spans="1:10" x14ac:dyDescent="0.2">
      <c r="A663" t="e">
        <f>LEFT(#REF!,10)</f>
        <v>#REF!</v>
      </c>
      <c r="B663" s="4" t="e">
        <f>(#REF!-#REF!)/#REF!</f>
        <v>#REF!</v>
      </c>
      <c r="C663" s="4" t="e">
        <f>(#REF!-#REF!)/#REF!</f>
        <v>#REF!</v>
      </c>
      <c r="D663" s="4" t="e">
        <f>LN(#REF!/#REF!)</f>
        <v>#REF!</v>
      </c>
      <c r="E663" s="4" t="e">
        <f t="shared" si="11"/>
        <v>#REF!</v>
      </c>
      <c r="F663" s="4" t="e" cm="1">
        <f t="array" ref="F663">AVERAGE(B663:B2170-$I$4/252)/_xlfn.STDEV.S(B663:B2170-$I$4)</f>
        <v>#REF!</v>
      </c>
      <c r="G663" s="4"/>
      <c r="H663" s="4"/>
      <c r="I663" s="4"/>
      <c r="J663" s="4"/>
    </row>
    <row r="664" spans="1:10" x14ac:dyDescent="0.2">
      <c r="A664" t="e">
        <f>LEFT(#REF!,10)</f>
        <v>#REF!</v>
      </c>
      <c r="B664" s="4" t="e">
        <f>(#REF!-#REF!)/#REF!</f>
        <v>#REF!</v>
      </c>
      <c r="C664" s="4" t="e">
        <f>(#REF!-#REF!)/#REF!</f>
        <v>#REF!</v>
      </c>
      <c r="D664" s="4" t="e">
        <f>LN(#REF!/#REF!)</f>
        <v>#REF!</v>
      </c>
      <c r="E664" s="4" t="e">
        <f t="shared" si="11"/>
        <v>#REF!</v>
      </c>
      <c r="F664" s="4" t="e" cm="1">
        <f t="array" ref="F664">AVERAGE(B664:B2171-$I$4/252)/_xlfn.STDEV.S(B664:B2171-$I$4)</f>
        <v>#REF!</v>
      </c>
      <c r="G664" s="4"/>
      <c r="H664" s="4"/>
      <c r="I664" s="4"/>
      <c r="J664" s="4"/>
    </row>
    <row r="665" spans="1:10" x14ac:dyDescent="0.2">
      <c r="A665" t="e">
        <f>LEFT(#REF!,10)</f>
        <v>#REF!</v>
      </c>
      <c r="B665" s="4" t="e">
        <f>(#REF!-#REF!)/#REF!</f>
        <v>#REF!</v>
      </c>
      <c r="C665" s="4" t="e">
        <f>(#REF!-#REF!)/#REF!</f>
        <v>#REF!</v>
      </c>
      <c r="D665" s="4" t="e">
        <f>LN(#REF!/#REF!)</f>
        <v>#REF!</v>
      </c>
      <c r="E665" s="4" t="e">
        <f t="shared" si="11"/>
        <v>#REF!</v>
      </c>
      <c r="F665" s="4" t="e" cm="1">
        <f t="array" ref="F665">AVERAGE(B665:B2172-$I$4/252)/_xlfn.STDEV.S(B665:B2172-$I$4)</f>
        <v>#REF!</v>
      </c>
      <c r="G665" s="4"/>
      <c r="H665" s="4"/>
      <c r="I665" s="4"/>
      <c r="J665" s="4"/>
    </row>
    <row r="666" spans="1:10" x14ac:dyDescent="0.2">
      <c r="A666" t="e">
        <f>LEFT(#REF!,10)</f>
        <v>#REF!</v>
      </c>
      <c r="B666" s="4" t="e">
        <f>(#REF!-#REF!)/#REF!</f>
        <v>#REF!</v>
      </c>
      <c r="C666" s="4" t="e">
        <f>(#REF!-#REF!)/#REF!</f>
        <v>#REF!</v>
      </c>
      <c r="D666" s="4" t="e">
        <f>LN(#REF!/#REF!)</f>
        <v>#REF!</v>
      </c>
      <c r="E666" s="4" t="e">
        <f t="shared" si="11"/>
        <v>#REF!</v>
      </c>
      <c r="F666" s="4" t="e" cm="1">
        <f t="array" ref="F666">AVERAGE(B666:B2173-$I$4/252)/_xlfn.STDEV.S(B666:B2173-$I$4)</f>
        <v>#REF!</v>
      </c>
      <c r="G666" s="4"/>
      <c r="H666" s="4"/>
      <c r="I666" s="4"/>
      <c r="J666" s="4"/>
    </row>
    <row r="667" spans="1:10" x14ac:dyDescent="0.2">
      <c r="A667" t="e">
        <f>LEFT(#REF!,10)</f>
        <v>#REF!</v>
      </c>
      <c r="B667" s="4" t="e">
        <f>(#REF!-#REF!)/#REF!</f>
        <v>#REF!</v>
      </c>
      <c r="C667" s="4" t="e">
        <f>(#REF!-#REF!)/#REF!</f>
        <v>#REF!</v>
      </c>
      <c r="D667" s="4" t="e">
        <f>LN(#REF!/#REF!)</f>
        <v>#REF!</v>
      </c>
      <c r="E667" s="4" t="e">
        <f t="shared" si="11"/>
        <v>#REF!</v>
      </c>
      <c r="F667" s="4" t="e" cm="1">
        <f t="array" ref="F667">AVERAGE(B667:B2174-$I$4/252)/_xlfn.STDEV.S(B667:B2174-$I$4)</f>
        <v>#REF!</v>
      </c>
      <c r="G667" s="4"/>
      <c r="H667" s="4"/>
      <c r="I667" s="4"/>
      <c r="J667" s="4"/>
    </row>
    <row r="668" spans="1:10" x14ac:dyDescent="0.2">
      <c r="A668" t="e">
        <f>LEFT(#REF!,10)</f>
        <v>#REF!</v>
      </c>
      <c r="B668" s="4" t="e">
        <f>(#REF!-#REF!)/#REF!</f>
        <v>#REF!</v>
      </c>
      <c r="C668" s="4" t="e">
        <f>(#REF!-#REF!)/#REF!</f>
        <v>#REF!</v>
      </c>
      <c r="D668" s="4" t="e">
        <f>LN(#REF!/#REF!)</f>
        <v>#REF!</v>
      </c>
      <c r="E668" s="4" t="e">
        <f t="shared" si="11"/>
        <v>#REF!</v>
      </c>
      <c r="F668" s="4" t="e" cm="1">
        <f t="array" ref="F668">AVERAGE(B668:B2175-$I$4/252)/_xlfn.STDEV.S(B668:B2175-$I$4)</f>
        <v>#REF!</v>
      </c>
      <c r="G668" s="4"/>
      <c r="H668" s="4"/>
      <c r="I668" s="4"/>
      <c r="J668" s="4"/>
    </row>
    <row r="669" spans="1:10" x14ac:dyDescent="0.2">
      <c r="A669" t="e">
        <f>LEFT(#REF!,10)</f>
        <v>#REF!</v>
      </c>
      <c r="B669" s="4" t="e">
        <f>(#REF!-#REF!)/#REF!</f>
        <v>#REF!</v>
      </c>
      <c r="C669" s="4" t="e">
        <f>(#REF!-#REF!)/#REF!</f>
        <v>#REF!</v>
      </c>
      <c r="D669" s="4" t="e">
        <f>LN(#REF!/#REF!)</f>
        <v>#REF!</v>
      </c>
      <c r="E669" s="4" t="e">
        <f t="shared" si="11"/>
        <v>#REF!</v>
      </c>
      <c r="F669" s="4" t="e" cm="1">
        <f t="array" ref="F669">AVERAGE(B669:B2176-$I$4/252)/_xlfn.STDEV.S(B669:B2176-$I$4)</f>
        <v>#REF!</v>
      </c>
      <c r="G669" s="4"/>
      <c r="H669" s="4"/>
      <c r="I669" s="4"/>
      <c r="J669" s="4"/>
    </row>
    <row r="670" spans="1:10" x14ac:dyDescent="0.2">
      <c r="A670" t="e">
        <f>LEFT(#REF!,10)</f>
        <v>#REF!</v>
      </c>
      <c r="B670" s="4" t="e">
        <f>(#REF!-#REF!)/#REF!</f>
        <v>#REF!</v>
      </c>
      <c r="C670" s="4" t="e">
        <f>(#REF!-#REF!)/#REF!</f>
        <v>#REF!</v>
      </c>
      <c r="D670" s="4" t="e">
        <f>LN(#REF!/#REF!)</f>
        <v>#REF!</v>
      </c>
      <c r="E670" s="4" t="e">
        <f t="shared" si="11"/>
        <v>#REF!</v>
      </c>
      <c r="F670" s="4" t="e" cm="1">
        <f t="array" ref="F670">AVERAGE(B670:B2177-$I$4/252)/_xlfn.STDEV.S(B670:B2177-$I$4)</f>
        <v>#REF!</v>
      </c>
      <c r="G670" s="4"/>
      <c r="H670" s="4"/>
      <c r="I670" s="4"/>
      <c r="J670" s="4"/>
    </row>
    <row r="671" spans="1:10" x14ac:dyDescent="0.2">
      <c r="A671" t="e">
        <f>LEFT(#REF!,10)</f>
        <v>#REF!</v>
      </c>
      <c r="B671" s="4" t="e">
        <f>(#REF!-#REF!)/#REF!</f>
        <v>#REF!</v>
      </c>
      <c r="C671" s="4" t="e">
        <f>(#REF!-#REF!)/#REF!</f>
        <v>#REF!</v>
      </c>
      <c r="D671" s="4" t="e">
        <f>LN(#REF!/#REF!)</f>
        <v>#REF!</v>
      </c>
      <c r="E671" s="4" t="e">
        <f t="shared" si="11"/>
        <v>#REF!</v>
      </c>
      <c r="F671" s="4" t="e" cm="1">
        <f t="array" ref="F671">AVERAGE(B671:B2178-$I$4/252)/_xlfn.STDEV.S(B671:B2178-$I$4)</f>
        <v>#REF!</v>
      </c>
      <c r="G671" s="4"/>
      <c r="H671" s="4"/>
      <c r="I671" s="4"/>
      <c r="J671" s="4"/>
    </row>
    <row r="672" spans="1:10" x14ac:dyDescent="0.2">
      <c r="A672" t="e">
        <f>LEFT(#REF!,10)</f>
        <v>#REF!</v>
      </c>
      <c r="B672" s="4" t="e">
        <f>(#REF!-#REF!)/#REF!</f>
        <v>#REF!</v>
      </c>
      <c r="C672" s="4" t="e">
        <f>(#REF!-#REF!)/#REF!</f>
        <v>#REF!</v>
      </c>
      <c r="D672" s="4" t="e">
        <f>LN(#REF!/#REF!)</f>
        <v>#REF!</v>
      </c>
      <c r="E672" s="4" t="e">
        <f t="shared" si="11"/>
        <v>#REF!</v>
      </c>
      <c r="F672" s="4" t="e" cm="1">
        <f t="array" ref="F672">AVERAGE(B672:B2179-$I$4/252)/_xlfn.STDEV.S(B672:B2179-$I$4)</f>
        <v>#REF!</v>
      </c>
      <c r="G672" s="4"/>
      <c r="H672" s="4"/>
      <c r="I672" s="4"/>
      <c r="J672" s="4"/>
    </row>
    <row r="673" spans="1:10" x14ac:dyDescent="0.2">
      <c r="A673" t="e">
        <f>LEFT(#REF!,10)</f>
        <v>#REF!</v>
      </c>
      <c r="B673" s="4" t="e">
        <f>(#REF!-#REF!)/#REF!</f>
        <v>#REF!</v>
      </c>
      <c r="C673" s="4" t="e">
        <f>(#REF!-#REF!)/#REF!</f>
        <v>#REF!</v>
      </c>
      <c r="D673" s="4" t="e">
        <f>LN(#REF!/#REF!)</f>
        <v>#REF!</v>
      </c>
      <c r="E673" s="4" t="e">
        <f t="shared" si="11"/>
        <v>#REF!</v>
      </c>
      <c r="F673" s="4" t="e" cm="1">
        <f t="array" ref="F673">AVERAGE(B673:B2180-$I$4/252)/_xlfn.STDEV.S(B673:B2180-$I$4)</f>
        <v>#REF!</v>
      </c>
      <c r="G673" s="4"/>
      <c r="H673" s="4"/>
      <c r="I673" s="4"/>
      <c r="J673" s="4"/>
    </row>
    <row r="674" spans="1:10" x14ac:dyDescent="0.2">
      <c r="A674" t="e">
        <f>LEFT(#REF!,10)</f>
        <v>#REF!</v>
      </c>
      <c r="B674" s="4" t="e">
        <f>(#REF!-#REF!)/#REF!</f>
        <v>#REF!</v>
      </c>
      <c r="C674" s="4" t="e">
        <f>(#REF!-#REF!)/#REF!</f>
        <v>#REF!</v>
      </c>
      <c r="D674" s="4" t="e">
        <f>LN(#REF!/#REF!)</f>
        <v>#REF!</v>
      </c>
      <c r="E674" s="4" t="e">
        <f t="shared" si="11"/>
        <v>#REF!</v>
      </c>
      <c r="F674" s="4" t="e" cm="1">
        <f t="array" ref="F674">AVERAGE(B674:B2181-$I$4/252)/_xlfn.STDEV.S(B674:B2181-$I$4)</f>
        <v>#REF!</v>
      </c>
      <c r="G674" s="4"/>
      <c r="H674" s="4"/>
      <c r="I674" s="4"/>
      <c r="J674" s="4"/>
    </row>
    <row r="675" spans="1:10" x14ac:dyDescent="0.2">
      <c r="A675" t="e">
        <f>LEFT(#REF!,10)</f>
        <v>#REF!</v>
      </c>
      <c r="B675" s="4" t="e">
        <f>(#REF!-#REF!)/#REF!</f>
        <v>#REF!</v>
      </c>
      <c r="C675" s="4" t="e">
        <f>(#REF!-#REF!)/#REF!</f>
        <v>#REF!</v>
      </c>
      <c r="D675" s="4" t="e">
        <f>LN(#REF!/#REF!)</f>
        <v>#REF!</v>
      </c>
      <c r="E675" s="4" t="e">
        <f t="shared" si="11"/>
        <v>#REF!</v>
      </c>
      <c r="F675" s="4" t="e" cm="1">
        <f t="array" ref="F675">AVERAGE(B675:B2182-$I$4/252)/_xlfn.STDEV.S(B675:B2182-$I$4)</f>
        <v>#REF!</v>
      </c>
      <c r="G675" s="4"/>
      <c r="H675" s="4"/>
      <c r="I675" s="4"/>
      <c r="J675" s="4"/>
    </row>
    <row r="676" spans="1:10" x14ac:dyDescent="0.2">
      <c r="A676" t="e">
        <f>LEFT(#REF!,10)</f>
        <v>#REF!</v>
      </c>
      <c r="B676" s="4" t="e">
        <f>(#REF!-#REF!)/#REF!</f>
        <v>#REF!</v>
      </c>
      <c r="C676" s="4" t="e">
        <f>(#REF!-#REF!)/#REF!</f>
        <v>#REF!</v>
      </c>
      <c r="D676" s="4" t="e">
        <f>LN(#REF!/#REF!)</f>
        <v>#REF!</v>
      </c>
      <c r="E676" s="4" t="e">
        <f t="shared" si="11"/>
        <v>#REF!</v>
      </c>
      <c r="F676" s="4" t="e" cm="1">
        <f t="array" ref="F676">AVERAGE(B676:B2183-$I$4/252)/_xlfn.STDEV.S(B676:B2183-$I$4)</f>
        <v>#REF!</v>
      </c>
      <c r="G676" s="4"/>
      <c r="H676" s="4"/>
      <c r="I676" s="4"/>
      <c r="J676" s="4"/>
    </row>
    <row r="677" spans="1:10" x14ac:dyDescent="0.2">
      <c r="A677" t="e">
        <f>LEFT(#REF!,10)</f>
        <v>#REF!</v>
      </c>
      <c r="B677" s="4" t="e">
        <f>(#REF!-#REF!)/#REF!</f>
        <v>#REF!</v>
      </c>
      <c r="C677" s="4" t="e">
        <f>(#REF!-#REF!)/#REF!</f>
        <v>#REF!</v>
      </c>
      <c r="D677" s="4" t="e">
        <f>LN(#REF!/#REF!)</f>
        <v>#REF!</v>
      </c>
      <c r="E677" s="4" t="e">
        <f t="shared" si="11"/>
        <v>#REF!</v>
      </c>
      <c r="F677" s="4" t="e" cm="1">
        <f t="array" ref="F677">AVERAGE(B677:B2184-$I$4/252)/_xlfn.STDEV.S(B677:B2184-$I$4)</f>
        <v>#REF!</v>
      </c>
      <c r="G677" s="4"/>
      <c r="H677" s="4"/>
      <c r="I677" s="4"/>
      <c r="J677" s="4"/>
    </row>
    <row r="678" spans="1:10" x14ac:dyDescent="0.2">
      <c r="A678" t="e">
        <f>LEFT(#REF!,10)</f>
        <v>#REF!</v>
      </c>
      <c r="B678" s="4" t="e">
        <f>(#REF!-#REF!)/#REF!</f>
        <v>#REF!</v>
      </c>
      <c r="C678" s="4" t="e">
        <f>(#REF!-#REF!)/#REF!</f>
        <v>#REF!</v>
      </c>
      <c r="D678" s="4" t="e">
        <f>LN(#REF!/#REF!)</f>
        <v>#REF!</v>
      </c>
      <c r="E678" s="4" t="e">
        <f t="shared" si="11"/>
        <v>#REF!</v>
      </c>
      <c r="F678" s="4" t="e" cm="1">
        <f t="array" ref="F678">AVERAGE(B678:B2185-$I$4/252)/_xlfn.STDEV.S(B678:B2185-$I$4)</f>
        <v>#REF!</v>
      </c>
      <c r="G678" s="4"/>
      <c r="H678" s="4"/>
      <c r="I678" s="4"/>
      <c r="J678" s="4"/>
    </row>
    <row r="679" spans="1:10" x14ac:dyDescent="0.2">
      <c r="A679" t="e">
        <f>LEFT(#REF!,10)</f>
        <v>#REF!</v>
      </c>
      <c r="B679" s="4" t="e">
        <f>(#REF!-#REF!)/#REF!</f>
        <v>#REF!</v>
      </c>
      <c r="C679" s="4" t="e">
        <f>(#REF!-#REF!)/#REF!</f>
        <v>#REF!</v>
      </c>
      <c r="D679" s="4" t="e">
        <f>LN(#REF!/#REF!)</f>
        <v>#REF!</v>
      </c>
      <c r="E679" s="4" t="e">
        <f t="shared" si="11"/>
        <v>#REF!</v>
      </c>
      <c r="F679" s="4" t="e" cm="1">
        <f t="array" ref="F679">AVERAGE(B679:B2186-$I$4/252)/_xlfn.STDEV.S(B679:B2186-$I$4)</f>
        <v>#REF!</v>
      </c>
      <c r="G679" s="4"/>
      <c r="H679" s="4"/>
      <c r="I679" s="4"/>
      <c r="J679" s="4"/>
    </row>
    <row r="680" spans="1:10" x14ac:dyDescent="0.2">
      <c r="A680" t="e">
        <f>LEFT(#REF!,10)</f>
        <v>#REF!</v>
      </c>
      <c r="B680" s="4" t="e">
        <f>(#REF!-#REF!)/#REF!</f>
        <v>#REF!</v>
      </c>
      <c r="C680" s="4" t="e">
        <f>(#REF!-#REF!)/#REF!</f>
        <v>#REF!</v>
      </c>
      <c r="D680" s="4" t="e">
        <f>LN(#REF!/#REF!)</f>
        <v>#REF!</v>
      </c>
      <c r="E680" s="4" t="e">
        <f t="shared" si="11"/>
        <v>#REF!</v>
      </c>
      <c r="F680" s="4" t="e" cm="1">
        <f t="array" ref="F680">AVERAGE(B680:B2187-$I$4/252)/_xlfn.STDEV.S(B680:B2187-$I$4)</f>
        <v>#REF!</v>
      </c>
      <c r="G680" s="4"/>
      <c r="H680" s="4"/>
      <c r="I680" s="4"/>
      <c r="J680" s="4"/>
    </row>
    <row r="681" spans="1:10" x14ac:dyDescent="0.2">
      <c r="A681" t="e">
        <f>LEFT(#REF!,10)</f>
        <v>#REF!</v>
      </c>
      <c r="B681" s="4" t="e">
        <f>(#REF!-#REF!)/#REF!</f>
        <v>#REF!</v>
      </c>
      <c r="C681" s="4" t="e">
        <f>(#REF!-#REF!)/#REF!</f>
        <v>#REF!</v>
      </c>
      <c r="D681" s="4" t="e">
        <f>LN(#REF!/#REF!)</f>
        <v>#REF!</v>
      </c>
      <c r="E681" s="4" t="e">
        <f t="shared" si="11"/>
        <v>#REF!</v>
      </c>
      <c r="F681" s="4" t="e" cm="1">
        <f t="array" ref="F681">AVERAGE(B681:B2188-$I$4/252)/_xlfn.STDEV.S(B681:B2188-$I$4)</f>
        <v>#REF!</v>
      </c>
      <c r="G681" s="4"/>
      <c r="H681" s="4"/>
      <c r="I681" s="4"/>
      <c r="J681" s="4"/>
    </row>
    <row r="682" spans="1:10" x14ac:dyDescent="0.2">
      <c r="A682" t="e">
        <f>LEFT(#REF!,10)</f>
        <v>#REF!</v>
      </c>
      <c r="B682" s="4" t="e">
        <f>(#REF!-#REF!)/#REF!</f>
        <v>#REF!</v>
      </c>
      <c r="C682" s="4" t="e">
        <f>(#REF!-#REF!)/#REF!</f>
        <v>#REF!</v>
      </c>
      <c r="D682" s="4" t="e">
        <f>LN(#REF!/#REF!)</f>
        <v>#REF!</v>
      </c>
      <c r="E682" s="4" t="e">
        <f t="shared" si="11"/>
        <v>#REF!</v>
      </c>
      <c r="F682" s="4" t="e" cm="1">
        <f t="array" ref="F682">AVERAGE(B682:B2189-$I$4/252)/_xlfn.STDEV.S(B682:B2189-$I$4)</f>
        <v>#REF!</v>
      </c>
      <c r="G682" s="4"/>
      <c r="H682" s="4"/>
      <c r="I682" s="4"/>
      <c r="J682" s="4"/>
    </row>
    <row r="683" spans="1:10" x14ac:dyDescent="0.2">
      <c r="A683" t="e">
        <f>LEFT(#REF!,10)</f>
        <v>#REF!</v>
      </c>
      <c r="B683" s="4" t="e">
        <f>(#REF!-#REF!)/#REF!</f>
        <v>#REF!</v>
      </c>
      <c r="C683" s="4" t="e">
        <f>(#REF!-#REF!)/#REF!</f>
        <v>#REF!</v>
      </c>
      <c r="D683" s="4" t="e">
        <f>LN(#REF!/#REF!)</f>
        <v>#REF!</v>
      </c>
      <c r="E683" s="4" t="e">
        <f t="shared" si="11"/>
        <v>#REF!</v>
      </c>
      <c r="F683" s="4" t="e" cm="1">
        <f t="array" ref="F683">AVERAGE(B683:B2190-$I$4/252)/_xlfn.STDEV.S(B683:B2190-$I$4)</f>
        <v>#REF!</v>
      </c>
      <c r="G683" s="4"/>
      <c r="H683" s="4"/>
      <c r="I683" s="4"/>
      <c r="J683" s="4"/>
    </row>
    <row r="684" spans="1:10" x14ac:dyDescent="0.2">
      <c r="A684" t="e">
        <f>LEFT(#REF!,10)</f>
        <v>#REF!</v>
      </c>
      <c r="B684" s="4" t="e">
        <f>(#REF!-#REF!)/#REF!</f>
        <v>#REF!</v>
      </c>
      <c r="C684" s="4" t="e">
        <f>(#REF!-#REF!)/#REF!</f>
        <v>#REF!</v>
      </c>
      <c r="D684" s="4" t="e">
        <f>LN(#REF!/#REF!)</f>
        <v>#REF!</v>
      </c>
      <c r="E684" s="4" t="e">
        <f t="shared" si="11"/>
        <v>#REF!</v>
      </c>
      <c r="F684" s="4" t="e" cm="1">
        <f t="array" ref="F684">AVERAGE(B684:B2191-$I$4/252)/_xlfn.STDEV.S(B684:B2191-$I$4)</f>
        <v>#REF!</v>
      </c>
      <c r="G684" s="4"/>
      <c r="H684" s="4"/>
      <c r="I684" s="4"/>
      <c r="J684" s="4"/>
    </row>
    <row r="685" spans="1:10" x14ac:dyDescent="0.2">
      <c r="A685" t="e">
        <f>LEFT(#REF!,10)</f>
        <v>#REF!</v>
      </c>
      <c r="B685" s="4" t="e">
        <f>(#REF!-#REF!)/#REF!</f>
        <v>#REF!</v>
      </c>
      <c r="C685" s="4" t="e">
        <f>(#REF!-#REF!)/#REF!</f>
        <v>#REF!</v>
      </c>
      <c r="D685" s="4" t="e">
        <f>LN(#REF!/#REF!)</f>
        <v>#REF!</v>
      </c>
      <c r="E685" s="4" t="e">
        <f t="shared" si="11"/>
        <v>#REF!</v>
      </c>
      <c r="F685" s="4" t="e" cm="1">
        <f t="array" ref="F685">AVERAGE(B685:B2192-$I$4/252)/_xlfn.STDEV.S(B685:B2192-$I$4)</f>
        <v>#REF!</v>
      </c>
      <c r="G685" s="4"/>
      <c r="H685" s="4"/>
      <c r="I685" s="4"/>
      <c r="J685" s="4"/>
    </row>
    <row r="686" spans="1:10" x14ac:dyDescent="0.2">
      <c r="A686" t="e">
        <f>LEFT(#REF!,10)</f>
        <v>#REF!</v>
      </c>
      <c r="B686" s="4" t="e">
        <f>(#REF!-#REF!)/#REF!</f>
        <v>#REF!</v>
      </c>
      <c r="C686" s="4" t="e">
        <f>(#REF!-#REF!)/#REF!</f>
        <v>#REF!</v>
      </c>
      <c r="D686" s="4" t="e">
        <f>LN(#REF!/#REF!)</f>
        <v>#REF!</v>
      </c>
      <c r="E686" s="4" t="e">
        <f t="shared" si="11"/>
        <v>#REF!</v>
      </c>
      <c r="F686" s="4" t="e" cm="1">
        <f t="array" ref="F686">AVERAGE(B686:B2193-$I$4/252)/_xlfn.STDEV.S(B686:B2193-$I$4)</f>
        <v>#REF!</v>
      </c>
      <c r="G686" s="4"/>
      <c r="H686" s="4"/>
      <c r="I686" s="4"/>
      <c r="J686" s="4"/>
    </row>
    <row r="687" spans="1:10" x14ac:dyDescent="0.2">
      <c r="A687" t="e">
        <f>LEFT(#REF!,10)</f>
        <v>#REF!</v>
      </c>
      <c r="B687" s="4" t="e">
        <f>(#REF!-#REF!)/#REF!</f>
        <v>#REF!</v>
      </c>
      <c r="C687" s="4" t="e">
        <f>(#REF!-#REF!)/#REF!</f>
        <v>#REF!</v>
      </c>
      <c r="D687" s="4" t="e">
        <f>LN(#REF!/#REF!)</f>
        <v>#REF!</v>
      </c>
      <c r="E687" s="4" t="e">
        <f t="shared" si="11"/>
        <v>#REF!</v>
      </c>
      <c r="F687" s="4" t="e" cm="1">
        <f t="array" ref="F687">AVERAGE(B687:B2194-$I$4/252)/_xlfn.STDEV.S(B687:B2194-$I$4)</f>
        <v>#REF!</v>
      </c>
      <c r="G687" s="4"/>
      <c r="H687" s="4"/>
      <c r="I687" s="4"/>
      <c r="J687" s="4"/>
    </row>
    <row r="688" spans="1:10" x14ac:dyDescent="0.2">
      <c r="A688" t="e">
        <f>LEFT(#REF!,10)</f>
        <v>#REF!</v>
      </c>
      <c r="B688" s="4" t="e">
        <f>(#REF!-#REF!)/#REF!</f>
        <v>#REF!</v>
      </c>
      <c r="C688" s="4" t="e">
        <f>(#REF!-#REF!)/#REF!</f>
        <v>#REF!</v>
      </c>
      <c r="D688" s="4" t="e">
        <f>LN(#REF!/#REF!)</f>
        <v>#REF!</v>
      </c>
      <c r="E688" s="4" t="e">
        <f t="shared" si="11"/>
        <v>#REF!</v>
      </c>
      <c r="F688" s="4" t="e" cm="1">
        <f t="array" ref="F688">AVERAGE(B688:B2195-$I$4/252)/_xlfn.STDEV.S(B688:B2195-$I$4)</f>
        <v>#REF!</v>
      </c>
      <c r="G688" s="4"/>
      <c r="H688" s="4"/>
      <c r="I688" s="4"/>
      <c r="J688" s="4"/>
    </row>
    <row r="689" spans="1:10" x14ac:dyDescent="0.2">
      <c r="A689" t="e">
        <f>LEFT(#REF!,10)</f>
        <v>#REF!</v>
      </c>
      <c r="B689" s="4" t="e">
        <f>(#REF!-#REF!)/#REF!</f>
        <v>#REF!</v>
      </c>
      <c r="C689" s="4" t="e">
        <f>(#REF!-#REF!)/#REF!</f>
        <v>#REF!</v>
      </c>
      <c r="D689" s="4" t="e">
        <f>LN(#REF!/#REF!)</f>
        <v>#REF!</v>
      </c>
      <c r="E689" s="4" t="e">
        <f t="shared" si="11"/>
        <v>#REF!</v>
      </c>
      <c r="F689" s="4" t="e" cm="1">
        <f t="array" ref="F689">AVERAGE(B689:B2196-$I$4/252)/_xlfn.STDEV.S(B689:B2196-$I$4)</f>
        <v>#REF!</v>
      </c>
      <c r="G689" s="4"/>
      <c r="H689" s="4"/>
      <c r="I689" s="4"/>
      <c r="J689" s="4"/>
    </row>
    <row r="690" spans="1:10" x14ac:dyDescent="0.2">
      <c r="A690" t="e">
        <f>LEFT(#REF!,10)</f>
        <v>#REF!</v>
      </c>
      <c r="B690" s="4" t="e">
        <f>(#REF!-#REF!)/#REF!</f>
        <v>#REF!</v>
      </c>
      <c r="C690" s="4" t="e">
        <f>(#REF!-#REF!)/#REF!</f>
        <v>#REF!</v>
      </c>
      <c r="D690" s="4" t="e">
        <f>LN(#REF!/#REF!)</f>
        <v>#REF!</v>
      </c>
      <c r="E690" s="4" t="e">
        <f t="shared" si="11"/>
        <v>#REF!</v>
      </c>
      <c r="F690" s="4" t="e" cm="1">
        <f t="array" ref="F690">AVERAGE(B690:B2197-$I$4/252)/_xlfn.STDEV.S(B690:B2197-$I$4)</f>
        <v>#REF!</v>
      </c>
      <c r="G690" s="4"/>
      <c r="H690" s="4"/>
      <c r="I690" s="4"/>
      <c r="J690" s="4"/>
    </row>
    <row r="691" spans="1:10" x14ac:dyDescent="0.2">
      <c r="A691" t="e">
        <f>LEFT(#REF!,10)</f>
        <v>#REF!</v>
      </c>
      <c r="B691" s="4" t="e">
        <f>(#REF!-#REF!)/#REF!</f>
        <v>#REF!</v>
      </c>
      <c r="C691" s="4" t="e">
        <f>(#REF!-#REF!)/#REF!</f>
        <v>#REF!</v>
      </c>
      <c r="D691" s="4" t="e">
        <f>LN(#REF!/#REF!)</f>
        <v>#REF!</v>
      </c>
      <c r="E691" s="4" t="e">
        <f t="shared" si="11"/>
        <v>#REF!</v>
      </c>
      <c r="F691" s="4" t="e" cm="1">
        <f t="array" ref="F691">AVERAGE(B691:B2198-$I$4/252)/_xlfn.STDEV.S(B691:B2198-$I$4)</f>
        <v>#REF!</v>
      </c>
      <c r="G691" s="4"/>
      <c r="H691" s="4"/>
      <c r="I691" s="4"/>
      <c r="J691" s="4"/>
    </row>
    <row r="692" spans="1:10" x14ac:dyDescent="0.2">
      <c r="A692" t="e">
        <f>LEFT(#REF!,10)</f>
        <v>#REF!</v>
      </c>
      <c r="B692" s="4" t="e">
        <f>(#REF!-#REF!)/#REF!</f>
        <v>#REF!</v>
      </c>
      <c r="C692" s="4" t="e">
        <f>(#REF!-#REF!)/#REF!</f>
        <v>#REF!</v>
      </c>
      <c r="D692" s="4" t="e">
        <f>LN(#REF!/#REF!)</f>
        <v>#REF!</v>
      </c>
      <c r="E692" s="4" t="e">
        <f t="shared" si="11"/>
        <v>#REF!</v>
      </c>
      <c r="F692" s="4" t="e" cm="1">
        <f t="array" ref="F692">AVERAGE(B692:B2199-$I$4/252)/_xlfn.STDEV.S(B692:B2199-$I$4)</f>
        <v>#REF!</v>
      </c>
      <c r="G692" s="4"/>
      <c r="H692" s="4"/>
      <c r="I692" s="4"/>
      <c r="J692" s="4"/>
    </row>
    <row r="693" spans="1:10" x14ac:dyDescent="0.2">
      <c r="A693" t="e">
        <f>LEFT(#REF!,10)</f>
        <v>#REF!</v>
      </c>
      <c r="B693" s="4" t="e">
        <f>(#REF!-#REF!)/#REF!</f>
        <v>#REF!</v>
      </c>
      <c r="C693" s="4" t="e">
        <f>(#REF!-#REF!)/#REF!</f>
        <v>#REF!</v>
      </c>
      <c r="D693" s="4" t="e">
        <f>LN(#REF!/#REF!)</f>
        <v>#REF!</v>
      </c>
      <c r="E693" s="4" t="e">
        <f t="shared" si="11"/>
        <v>#REF!</v>
      </c>
      <c r="F693" s="4" t="e" cm="1">
        <f t="array" ref="F693">AVERAGE(B693:B2200-$I$4/252)/_xlfn.STDEV.S(B693:B2200-$I$4)</f>
        <v>#REF!</v>
      </c>
      <c r="G693" s="4"/>
      <c r="H693" s="4"/>
      <c r="I693" s="4"/>
      <c r="J693" s="4"/>
    </row>
    <row r="694" spans="1:10" x14ac:dyDescent="0.2">
      <c r="A694" t="e">
        <f>LEFT(#REF!,10)</f>
        <v>#REF!</v>
      </c>
      <c r="B694" s="4" t="e">
        <f>(#REF!-#REF!)/#REF!</f>
        <v>#REF!</v>
      </c>
      <c r="C694" s="4" t="e">
        <f>(#REF!-#REF!)/#REF!</f>
        <v>#REF!</v>
      </c>
      <c r="D694" s="4" t="e">
        <f>LN(#REF!/#REF!)</f>
        <v>#REF!</v>
      </c>
      <c r="E694" s="4" t="e">
        <f t="shared" si="11"/>
        <v>#REF!</v>
      </c>
      <c r="F694" s="4" t="e" cm="1">
        <f t="array" ref="F694">AVERAGE(B694:B2201-$I$4/252)/_xlfn.STDEV.S(B694:B2201-$I$4)</f>
        <v>#REF!</v>
      </c>
      <c r="G694" s="4"/>
      <c r="H694" s="4"/>
      <c r="I694" s="4"/>
      <c r="J694" s="4"/>
    </row>
    <row r="695" spans="1:10" x14ac:dyDescent="0.2">
      <c r="A695" t="e">
        <f>LEFT(#REF!,10)</f>
        <v>#REF!</v>
      </c>
      <c r="B695" s="4" t="e">
        <f>(#REF!-#REF!)/#REF!</f>
        <v>#REF!</v>
      </c>
      <c r="C695" s="4" t="e">
        <f>(#REF!-#REF!)/#REF!</f>
        <v>#REF!</v>
      </c>
      <c r="D695" s="4" t="e">
        <f>LN(#REF!/#REF!)</f>
        <v>#REF!</v>
      </c>
      <c r="E695" s="4" t="e">
        <f t="shared" si="11"/>
        <v>#REF!</v>
      </c>
      <c r="F695" s="4" t="e" cm="1">
        <f t="array" ref="F695">AVERAGE(B695:B2202-$I$4/252)/_xlfn.STDEV.S(B695:B2202-$I$4)</f>
        <v>#REF!</v>
      </c>
      <c r="G695" s="4"/>
      <c r="H695" s="4"/>
      <c r="I695" s="4"/>
      <c r="J695" s="4"/>
    </row>
    <row r="696" spans="1:10" x14ac:dyDescent="0.2">
      <c r="A696" t="e">
        <f>LEFT(#REF!,10)</f>
        <v>#REF!</v>
      </c>
      <c r="B696" s="4" t="e">
        <f>(#REF!-#REF!)/#REF!</f>
        <v>#REF!</v>
      </c>
      <c r="C696" s="4" t="e">
        <f>(#REF!-#REF!)/#REF!</f>
        <v>#REF!</v>
      </c>
      <c r="D696" s="4" t="e">
        <f>LN(#REF!/#REF!)</f>
        <v>#REF!</v>
      </c>
      <c r="E696" s="4" t="e">
        <f t="shared" si="11"/>
        <v>#REF!</v>
      </c>
      <c r="F696" s="4" t="e" cm="1">
        <f t="array" ref="F696">AVERAGE(B696:B2203-$I$4/252)/_xlfn.STDEV.S(B696:B2203-$I$4)</f>
        <v>#REF!</v>
      </c>
      <c r="G696" s="4"/>
      <c r="H696" s="4"/>
      <c r="I696" s="4"/>
      <c r="J696" s="4"/>
    </row>
    <row r="697" spans="1:10" x14ac:dyDescent="0.2">
      <c r="A697" t="e">
        <f>LEFT(#REF!,10)</f>
        <v>#REF!</v>
      </c>
      <c r="B697" s="4" t="e">
        <f>(#REF!-#REF!)/#REF!</f>
        <v>#REF!</v>
      </c>
      <c r="C697" s="4" t="e">
        <f>(#REF!-#REF!)/#REF!</f>
        <v>#REF!</v>
      </c>
      <c r="D697" s="4" t="e">
        <f>LN(#REF!/#REF!)</f>
        <v>#REF!</v>
      </c>
      <c r="E697" s="4" t="e">
        <f t="shared" si="11"/>
        <v>#REF!</v>
      </c>
      <c r="F697" s="4" t="e" cm="1">
        <f t="array" ref="F697">AVERAGE(B697:B2204-$I$4/252)/_xlfn.STDEV.S(B697:B2204-$I$4)</f>
        <v>#REF!</v>
      </c>
      <c r="G697" s="4"/>
      <c r="H697" s="4"/>
      <c r="I697" s="4"/>
      <c r="J697" s="4"/>
    </row>
    <row r="698" spans="1:10" x14ac:dyDescent="0.2">
      <c r="A698" t="e">
        <f>LEFT(#REF!,10)</f>
        <v>#REF!</v>
      </c>
      <c r="B698" s="4" t="e">
        <f>(#REF!-#REF!)/#REF!</f>
        <v>#REF!</v>
      </c>
      <c r="C698" s="4" t="e">
        <f>(#REF!-#REF!)/#REF!</f>
        <v>#REF!</v>
      </c>
      <c r="D698" s="4" t="e">
        <f>LN(#REF!/#REF!)</f>
        <v>#REF!</v>
      </c>
      <c r="E698" s="4" t="e">
        <f t="shared" si="11"/>
        <v>#REF!</v>
      </c>
      <c r="F698" s="4" t="e" cm="1">
        <f t="array" ref="F698">AVERAGE(B698:B2205-$I$4/252)/_xlfn.STDEV.S(B698:B2205-$I$4)</f>
        <v>#REF!</v>
      </c>
      <c r="G698" s="4"/>
      <c r="H698" s="4"/>
      <c r="I698" s="4"/>
      <c r="J698" s="4"/>
    </row>
    <row r="699" spans="1:10" x14ac:dyDescent="0.2">
      <c r="A699" t="e">
        <f>LEFT(#REF!,10)</f>
        <v>#REF!</v>
      </c>
      <c r="B699" s="4" t="e">
        <f>(#REF!-#REF!)/#REF!</f>
        <v>#REF!</v>
      </c>
      <c r="C699" s="4" t="e">
        <f>(#REF!-#REF!)/#REF!</f>
        <v>#REF!</v>
      </c>
      <c r="D699" s="4" t="e">
        <f>LN(#REF!/#REF!)</f>
        <v>#REF!</v>
      </c>
      <c r="E699" s="4" t="e">
        <f t="shared" si="11"/>
        <v>#REF!</v>
      </c>
      <c r="F699" s="4" t="e" cm="1">
        <f t="array" ref="F699">AVERAGE(B699:B2206-$I$4/252)/_xlfn.STDEV.S(B699:B2206-$I$4)</f>
        <v>#REF!</v>
      </c>
      <c r="G699" s="4"/>
      <c r="H699" s="4"/>
      <c r="I699" s="4"/>
      <c r="J699" s="4"/>
    </row>
    <row r="700" spans="1:10" x14ac:dyDescent="0.2">
      <c r="A700" t="e">
        <f>LEFT(#REF!,10)</f>
        <v>#REF!</v>
      </c>
      <c r="B700" s="4" t="e">
        <f>(#REF!-#REF!)/#REF!</f>
        <v>#REF!</v>
      </c>
      <c r="C700" s="4" t="e">
        <f>(#REF!-#REF!)/#REF!</f>
        <v>#REF!</v>
      </c>
      <c r="D700" s="4" t="e">
        <f>LN(#REF!/#REF!)</f>
        <v>#REF!</v>
      </c>
      <c r="E700" s="4" t="e">
        <f t="shared" si="11"/>
        <v>#REF!</v>
      </c>
      <c r="F700" s="4" t="e" cm="1">
        <f t="array" ref="F700">AVERAGE(B700:B2207-$I$4/252)/_xlfn.STDEV.S(B700:B2207-$I$4)</f>
        <v>#REF!</v>
      </c>
      <c r="G700" s="4"/>
      <c r="H700" s="4"/>
      <c r="I700" s="4"/>
      <c r="J700" s="4"/>
    </row>
    <row r="701" spans="1:10" x14ac:dyDescent="0.2">
      <c r="A701" t="e">
        <f>LEFT(#REF!,10)</f>
        <v>#REF!</v>
      </c>
      <c r="B701" s="4" t="e">
        <f>(#REF!-#REF!)/#REF!</f>
        <v>#REF!</v>
      </c>
      <c r="C701" s="4" t="e">
        <f>(#REF!-#REF!)/#REF!</f>
        <v>#REF!</v>
      </c>
      <c r="D701" s="4" t="e">
        <f>LN(#REF!/#REF!)</f>
        <v>#REF!</v>
      </c>
      <c r="E701" s="4" t="e">
        <f t="shared" si="11"/>
        <v>#REF!</v>
      </c>
      <c r="F701" s="4" t="e" cm="1">
        <f t="array" ref="F701">AVERAGE(B701:B2208-$I$4/252)/_xlfn.STDEV.S(B701:B2208-$I$4)</f>
        <v>#REF!</v>
      </c>
      <c r="G701" s="4"/>
      <c r="H701" s="4"/>
      <c r="I701" s="4"/>
      <c r="J701" s="4"/>
    </row>
    <row r="702" spans="1:10" x14ac:dyDescent="0.2">
      <c r="A702" t="e">
        <f>LEFT(#REF!,10)</f>
        <v>#REF!</v>
      </c>
      <c r="B702" s="4" t="e">
        <f>(#REF!-#REF!)/#REF!</f>
        <v>#REF!</v>
      </c>
      <c r="C702" s="4" t="e">
        <f>(#REF!-#REF!)/#REF!</f>
        <v>#REF!</v>
      </c>
      <c r="D702" s="4" t="e">
        <f>LN(#REF!/#REF!)</f>
        <v>#REF!</v>
      </c>
      <c r="E702" s="4" t="e">
        <f t="shared" si="11"/>
        <v>#REF!</v>
      </c>
      <c r="F702" s="4" t="e" cm="1">
        <f t="array" ref="F702">AVERAGE(B702:B2209-$I$4/252)/_xlfn.STDEV.S(B702:B2209-$I$4)</f>
        <v>#REF!</v>
      </c>
      <c r="G702" s="4"/>
      <c r="H702" s="4"/>
      <c r="I702" s="4"/>
      <c r="J702" s="4"/>
    </row>
    <row r="703" spans="1:10" x14ac:dyDescent="0.2">
      <c r="A703" t="e">
        <f>LEFT(#REF!,10)</f>
        <v>#REF!</v>
      </c>
      <c r="B703" s="4" t="e">
        <f>(#REF!-#REF!)/#REF!</f>
        <v>#REF!</v>
      </c>
      <c r="C703" s="4" t="e">
        <f>(#REF!-#REF!)/#REF!</f>
        <v>#REF!</v>
      </c>
      <c r="D703" s="4" t="e">
        <f>LN(#REF!/#REF!)</f>
        <v>#REF!</v>
      </c>
      <c r="E703" s="4" t="e">
        <f t="shared" si="11"/>
        <v>#REF!</v>
      </c>
      <c r="F703" s="4" t="e" cm="1">
        <f t="array" ref="F703">AVERAGE(B703:B2210-$I$4/252)/_xlfn.STDEV.S(B703:B2210-$I$4)</f>
        <v>#REF!</v>
      </c>
      <c r="G703" s="4"/>
      <c r="H703" s="4"/>
      <c r="I703" s="4"/>
      <c r="J703" s="4"/>
    </row>
    <row r="704" spans="1:10" x14ac:dyDescent="0.2">
      <c r="A704" t="e">
        <f>LEFT(#REF!,10)</f>
        <v>#REF!</v>
      </c>
      <c r="B704" s="4" t="e">
        <f>(#REF!-#REF!)/#REF!</f>
        <v>#REF!</v>
      </c>
      <c r="C704" s="4" t="e">
        <f>(#REF!-#REF!)/#REF!</f>
        <v>#REF!</v>
      </c>
      <c r="D704" s="4" t="e">
        <f>LN(#REF!/#REF!)</f>
        <v>#REF!</v>
      </c>
      <c r="E704" s="4" t="e">
        <f t="shared" si="11"/>
        <v>#REF!</v>
      </c>
      <c r="F704" s="4" t="e" cm="1">
        <f t="array" ref="F704">AVERAGE(B704:B2211-$I$4/252)/_xlfn.STDEV.S(B704:B2211-$I$4)</f>
        <v>#REF!</v>
      </c>
      <c r="G704" s="4"/>
      <c r="H704" s="4"/>
      <c r="I704" s="4"/>
      <c r="J704" s="4"/>
    </row>
    <row r="705" spans="1:10" x14ac:dyDescent="0.2">
      <c r="A705" t="e">
        <f>LEFT(#REF!,10)</f>
        <v>#REF!</v>
      </c>
      <c r="B705" s="4" t="e">
        <f>(#REF!-#REF!)/#REF!</f>
        <v>#REF!</v>
      </c>
      <c r="C705" s="4" t="e">
        <f>(#REF!-#REF!)/#REF!</f>
        <v>#REF!</v>
      </c>
      <c r="D705" s="4" t="e">
        <f>LN(#REF!/#REF!)</f>
        <v>#REF!</v>
      </c>
      <c r="E705" s="4" t="e">
        <f t="shared" si="11"/>
        <v>#REF!</v>
      </c>
      <c r="F705" s="4" t="e" cm="1">
        <f t="array" ref="F705">AVERAGE(B705:B2212-$I$4/252)/_xlfn.STDEV.S(B705:B2212-$I$4)</f>
        <v>#REF!</v>
      </c>
      <c r="G705" s="4"/>
      <c r="H705" s="4"/>
      <c r="I705" s="4"/>
      <c r="J705" s="4"/>
    </row>
    <row r="706" spans="1:10" x14ac:dyDescent="0.2">
      <c r="A706" t="e">
        <f>LEFT(#REF!,10)</f>
        <v>#REF!</v>
      </c>
      <c r="B706" s="4" t="e">
        <f>(#REF!-#REF!)/#REF!</f>
        <v>#REF!</v>
      </c>
      <c r="C706" s="4" t="e">
        <f>(#REF!-#REF!)/#REF!</f>
        <v>#REF!</v>
      </c>
      <c r="D706" s="4" t="e">
        <f>LN(#REF!/#REF!)</f>
        <v>#REF!</v>
      </c>
      <c r="E706" s="4" t="e">
        <f t="shared" si="11"/>
        <v>#REF!</v>
      </c>
      <c r="F706" s="4" t="e" cm="1">
        <f t="array" ref="F706">AVERAGE(B706:B2213-$I$4/252)/_xlfn.STDEV.S(B706:B2213-$I$4)</f>
        <v>#REF!</v>
      </c>
      <c r="G706" s="4"/>
      <c r="H706" s="4"/>
      <c r="I706" s="4"/>
      <c r="J706" s="4"/>
    </row>
    <row r="707" spans="1:10" x14ac:dyDescent="0.2">
      <c r="A707" t="e">
        <f>LEFT(#REF!,10)</f>
        <v>#REF!</v>
      </c>
      <c r="B707" s="4" t="e">
        <f>(#REF!-#REF!)/#REF!</f>
        <v>#REF!</v>
      </c>
      <c r="C707" s="4" t="e">
        <f>(#REF!-#REF!)/#REF!</f>
        <v>#REF!</v>
      </c>
      <c r="D707" s="4" t="e">
        <f>LN(#REF!/#REF!)</f>
        <v>#REF!</v>
      </c>
      <c r="E707" s="4" t="e">
        <f t="shared" si="11"/>
        <v>#REF!</v>
      </c>
      <c r="F707" s="4" t="e" cm="1">
        <f t="array" ref="F707">AVERAGE(B707:B2214-$I$4/252)/_xlfn.STDEV.S(B707:B2214-$I$4)</f>
        <v>#REF!</v>
      </c>
      <c r="G707" s="4"/>
      <c r="H707" s="4"/>
      <c r="I707" s="4"/>
      <c r="J707" s="4"/>
    </row>
    <row r="708" spans="1:10" x14ac:dyDescent="0.2">
      <c r="A708" t="e">
        <f>LEFT(#REF!,10)</f>
        <v>#REF!</v>
      </c>
      <c r="B708" s="4" t="e">
        <f>(#REF!-#REF!)/#REF!</f>
        <v>#REF!</v>
      </c>
      <c r="C708" s="4" t="e">
        <f>(#REF!-#REF!)/#REF!</f>
        <v>#REF!</v>
      </c>
      <c r="D708" s="4" t="e">
        <f>LN(#REF!/#REF!)</f>
        <v>#REF!</v>
      </c>
      <c r="E708" s="4" t="e">
        <f t="shared" si="11"/>
        <v>#REF!</v>
      </c>
      <c r="F708" s="4" t="e" cm="1">
        <f t="array" ref="F708">AVERAGE(B708:B2215-$I$4/252)/_xlfn.STDEV.S(B708:B2215-$I$4)</f>
        <v>#REF!</v>
      </c>
      <c r="G708" s="4"/>
      <c r="H708" s="4"/>
      <c r="I708" s="4"/>
      <c r="J708" s="4"/>
    </row>
    <row r="709" spans="1:10" x14ac:dyDescent="0.2">
      <c r="A709" t="e">
        <f>LEFT(#REF!,10)</f>
        <v>#REF!</v>
      </c>
      <c r="B709" s="4" t="e">
        <f>(#REF!-#REF!)/#REF!</f>
        <v>#REF!</v>
      </c>
      <c r="C709" s="4" t="e">
        <f>(#REF!-#REF!)/#REF!</f>
        <v>#REF!</v>
      </c>
      <c r="D709" s="4" t="e">
        <f>LN(#REF!/#REF!)</f>
        <v>#REF!</v>
      </c>
      <c r="E709" s="4" t="e">
        <f t="shared" ref="E709:E772" si="12">_xlfn.STDEV.S(D709:D728)</f>
        <v>#REF!</v>
      </c>
      <c r="F709" s="4" t="e" cm="1">
        <f t="array" ref="F709">AVERAGE(B709:B2216-$I$4/252)/_xlfn.STDEV.S(B709:B2216-$I$4)</f>
        <v>#REF!</v>
      </c>
      <c r="G709" s="4"/>
      <c r="H709" s="4"/>
      <c r="I709" s="4"/>
      <c r="J709" s="4"/>
    </row>
    <row r="710" spans="1:10" x14ac:dyDescent="0.2">
      <c r="A710" t="e">
        <f>LEFT(#REF!,10)</f>
        <v>#REF!</v>
      </c>
      <c r="B710" s="4" t="e">
        <f>(#REF!-#REF!)/#REF!</f>
        <v>#REF!</v>
      </c>
      <c r="C710" s="4" t="e">
        <f>(#REF!-#REF!)/#REF!</f>
        <v>#REF!</v>
      </c>
      <c r="D710" s="4" t="e">
        <f>LN(#REF!/#REF!)</f>
        <v>#REF!</v>
      </c>
      <c r="E710" s="4" t="e">
        <f t="shared" si="12"/>
        <v>#REF!</v>
      </c>
      <c r="F710" s="4" t="e" cm="1">
        <f t="array" ref="F710">AVERAGE(B710:B2217-$I$4/252)/_xlfn.STDEV.S(B710:B2217-$I$4)</f>
        <v>#REF!</v>
      </c>
      <c r="G710" s="4"/>
      <c r="H710" s="4"/>
      <c r="I710" s="4"/>
      <c r="J710" s="4"/>
    </row>
    <row r="711" spans="1:10" x14ac:dyDescent="0.2">
      <c r="A711" t="e">
        <f>LEFT(#REF!,10)</f>
        <v>#REF!</v>
      </c>
      <c r="B711" s="4" t="e">
        <f>(#REF!-#REF!)/#REF!</f>
        <v>#REF!</v>
      </c>
      <c r="C711" s="4" t="e">
        <f>(#REF!-#REF!)/#REF!</f>
        <v>#REF!</v>
      </c>
      <c r="D711" s="4" t="e">
        <f>LN(#REF!/#REF!)</f>
        <v>#REF!</v>
      </c>
      <c r="E711" s="4" t="e">
        <f t="shared" si="12"/>
        <v>#REF!</v>
      </c>
      <c r="F711" s="4" t="e" cm="1">
        <f t="array" ref="F711">AVERAGE(B711:B2218-$I$4/252)/_xlfn.STDEV.S(B711:B2218-$I$4)</f>
        <v>#REF!</v>
      </c>
      <c r="G711" s="4"/>
      <c r="H711" s="4"/>
      <c r="I711" s="4"/>
      <c r="J711" s="4"/>
    </row>
    <row r="712" spans="1:10" x14ac:dyDescent="0.2">
      <c r="A712" t="e">
        <f>LEFT(#REF!,10)</f>
        <v>#REF!</v>
      </c>
      <c r="B712" s="4" t="e">
        <f>(#REF!-#REF!)/#REF!</f>
        <v>#REF!</v>
      </c>
      <c r="C712" s="4" t="e">
        <f>(#REF!-#REF!)/#REF!</f>
        <v>#REF!</v>
      </c>
      <c r="D712" s="4" t="e">
        <f>LN(#REF!/#REF!)</f>
        <v>#REF!</v>
      </c>
      <c r="E712" s="4" t="e">
        <f t="shared" si="12"/>
        <v>#REF!</v>
      </c>
      <c r="F712" s="4" t="e" cm="1">
        <f t="array" ref="F712">AVERAGE(B712:B2219-$I$4/252)/_xlfn.STDEV.S(B712:B2219-$I$4)</f>
        <v>#REF!</v>
      </c>
      <c r="G712" s="4"/>
      <c r="H712" s="4"/>
      <c r="I712" s="4"/>
      <c r="J712" s="4"/>
    </row>
    <row r="713" spans="1:10" x14ac:dyDescent="0.2">
      <c r="A713" t="e">
        <f>LEFT(#REF!,10)</f>
        <v>#REF!</v>
      </c>
      <c r="B713" s="4" t="e">
        <f>(#REF!-#REF!)/#REF!</f>
        <v>#REF!</v>
      </c>
      <c r="C713" s="4" t="e">
        <f>(#REF!-#REF!)/#REF!</f>
        <v>#REF!</v>
      </c>
      <c r="D713" s="4" t="e">
        <f>LN(#REF!/#REF!)</f>
        <v>#REF!</v>
      </c>
      <c r="E713" s="4" t="e">
        <f t="shared" si="12"/>
        <v>#REF!</v>
      </c>
      <c r="F713" s="4" t="e" cm="1">
        <f t="array" ref="F713">AVERAGE(B713:B2220-$I$4/252)/_xlfn.STDEV.S(B713:B2220-$I$4)</f>
        <v>#REF!</v>
      </c>
      <c r="G713" s="4"/>
      <c r="H713" s="4"/>
      <c r="I713" s="4"/>
      <c r="J713" s="4"/>
    </row>
    <row r="714" spans="1:10" x14ac:dyDescent="0.2">
      <c r="A714" t="e">
        <f>LEFT(#REF!,10)</f>
        <v>#REF!</v>
      </c>
      <c r="B714" s="4" t="e">
        <f>(#REF!-#REF!)/#REF!</f>
        <v>#REF!</v>
      </c>
      <c r="C714" s="4" t="e">
        <f>(#REF!-#REF!)/#REF!</f>
        <v>#REF!</v>
      </c>
      <c r="D714" s="4" t="e">
        <f>LN(#REF!/#REF!)</f>
        <v>#REF!</v>
      </c>
      <c r="E714" s="4" t="e">
        <f t="shared" si="12"/>
        <v>#REF!</v>
      </c>
      <c r="F714" s="4" t="e" cm="1">
        <f t="array" ref="F714">AVERAGE(B714:B2221-$I$4/252)/_xlfn.STDEV.S(B714:B2221-$I$4)</f>
        <v>#REF!</v>
      </c>
      <c r="G714" s="4"/>
      <c r="H714" s="4"/>
      <c r="I714" s="4"/>
      <c r="J714" s="4"/>
    </row>
    <row r="715" spans="1:10" x14ac:dyDescent="0.2">
      <c r="A715" t="e">
        <f>LEFT(#REF!,10)</f>
        <v>#REF!</v>
      </c>
      <c r="B715" s="4" t="e">
        <f>(#REF!-#REF!)/#REF!</f>
        <v>#REF!</v>
      </c>
      <c r="C715" s="4" t="e">
        <f>(#REF!-#REF!)/#REF!</f>
        <v>#REF!</v>
      </c>
      <c r="D715" s="4" t="e">
        <f>LN(#REF!/#REF!)</f>
        <v>#REF!</v>
      </c>
      <c r="E715" s="4" t="e">
        <f t="shared" si="12"/>
        <v>#REF!</v>
      </c>
      <c r="F715" s="4" t="e" cm="1">
        <f t="array" ref="F715">AVERAGE(B715:B2222-$I$4/252)/_xlfn.STDEV.S(B715:B2222-$I$4)</f>
        <v>#REF!</v>
      </c>
      <c r="G715" s="4"/>
      <c r="H715" s="4"/>
      <c r="I715" s="4"/>
      <c r="J715" s="4"/>
    </row>
    <row r="716" spans="1:10" x14ac:dyDescent="0.2">
      <c r="A716" t="e">
        <f>LEFT(#REF!,10)</f>
        <v>#REF!</v>
      </c>
      <c r="B716" s="4" t="e">
        <f>(#REF!-#REF!)/#REF!</f>
        <v>#REF!</v>
      </c>
      <c r="C716" s="4" t="e">
        <f>(#REF!-#REF!)/#REF!</f>
        <v>#REF!</v>
      </c>
      <c r="D716" s="4" t="e">
        <f>LN(#REF!/#REF!)</f>
        <v>#REF!</v>
      </c>
      <c r="E716" s="4" t="e">
        <f t="shared" si="12"/>
        <v>#REF!</v>
      </c>
      <c r="F716" s="4" t="e" cm="1">
        <f t="array" ref="F716">AVERAGE(B716:B2223-$I$4/252)/_xlfn.STDEV.S(B716:B2223-$I$4)</f>
        <v>#REF!</v>
      </c>
      <c r="G716" s="4"/>
      <c r="H716" s="4"/>
      <c r="I716" s="4"/>
      <c r="J716" s="4"/>
    </row>
    <row r="717" spans="1:10" x14ac:dyDescent="0.2">
      <c r="A717" t="e">
        <f>LEFT(#REF!,10)</f>
        <v>#REF!</v>
      </c>
      <c r="B717" s="4" t="e">
        <f>(#REF!-#REF!)/#REF!</f>
        <v>#REF!</v>
      </c>
      <c r="C717" s="4" t="e">
        <f>(#REF!-#REF!)/#REF!</f>
        <v>#REF!</v>
      </c>
      <c r="D717" s="4" t="e">
        <f>LN(#REF!/#REF!)</f>
        <v>#REF!</v>
      </c>
      <c r="E717" s="4" t="e">
        <f t="shared" si="12"/>
        <v>#REF!</v>
      </c>
      <c r="F717" s="4" t="e" cm="1">
        <f t="array" ref="F717">AVERAGE(B717:B2224-$I$4/252)/_xlfn.STDEV.S(B717:B2224-$I$4)</f>
        <v>#REF!</v>
      </c>
      <c r="G717" s="4"/>
      <c r="H717" s="4"/>
      <c r="I717" s="4"/>
      <c r="J717" s="4"/>
    </row>
    <row r="718" spans="1:10" x14ac:dyDescent="0.2">
      <c r="A718" t="e">
        <f>LEFT(#REF!,10)</f>
        <v>#REF!</v>
      </c>
      <c r="B718" s="4" t="e">
        <f>(#REF!-#REF!)/#REF!</f>
        <v>#REF!</v>
      </c>
      <c r="C718" s="4" t="e">
        <f>(#REF!-#REF!)/#REF!</f>
        <v>#REF!</v>
      </c>
      <c r="D718" s="4" t="e">
        <f>LN(#REF!/#REF!)</f>
        <v>#REF!</v>
      </c>
      <c r="E718" s="4" t="e">
        <f t="shared" si="12"/>
        <v>#REF!</v>
      </c>
      <c r="F718" s="4" t="e" cm="1">
        <f t="array" ref="F718">AVERAGE(B718:B2225-$I$4/252)/_xlfn.STDEV.S(B718:B2225-$I$4)</f>
        <v>#REF!</v>
      </c>
      <c r="G718" s="4"/>
      <c r="H718" s="4"/>
      <c r="I718" s="4"/>
      <c r="J718" s="4"/>
    </row>
    <row r="719" spans="1:10" x14ac:dyDescent="0.2">
      <c r="A719" t="e">
        <f>LEFT(#REF!,10)</f>
        <v>#REF!</v>
      </c>
      <c r="B719" s="4" t="e">
        <f>(#REF!-#REF!)/#REF!</f>
        <v>#REF!</v>
      </c>
      <c r="C719" s="4" t="e">
        <f>(#REF!-#REF!)/#REF!</f>
        <v>#REF!</v>
      </c>
      <c r="D719" s="4" t="e">
        <f>LN(#REF!/#REF!)</f>
        <v>#REF!</v>
      </c>
      <c r="E719" s="4" t="e">
        <f t="shared" si="12"/>
        <v>#REF!</v>
      </c>
      <c r="F719" s="4" t="e" cm="1">
        <f t="array" ref="F719">AVERAGE(B719:B2226-$I$4/252)/_xlfn.STDEV.S(B719:B2226-$I$4)</f>
        <v>#REF!</v>
      </c>
      <c r="G719" s="4"/>
      <c r="H719" s="4"/>
      <c r="I719" s="4"/>
      <c r="J719" s="4"/>
    </row>
    <row r="720" spans="1:10" x14ac:dyDescent="0.2">
      <c r="A720" t="e">
        <f>LEFT(#REF!,10)</f>
        <v>#REF!</v>
      </c>
      <c r="B720" s="4" t="e">
        <f>(#REF!-#REF!)/#REF!</f>
        <v>#REF!</v>
      </c>
      <c r="C720" s="4" t="e">
        <f>(#REF!-#REF!)/#REF!</f>
        <v>#REF!</v>
      </c>
      <c r="D720" s="4" t="e">
        <f>LN(#REF!/#REF!)</f>
        <v>#REF!</v>
      </c>
      <c r="E720" s="4" t="e">
        <f t="shared" si="12"/>
        <v>#REF!</v>
      </c>
      <c r="F720" s="4" t="e" cm="1">
        <f t="array" ref="F720">AVERAGE(B720:B2227-$I$4/252)/_xlfn.STDEV.S(B720:B2227-$I$4)</f>
        <v>#REF!</v>
      </c>
      <c r="G720" s="4"/>
      <c r="H720" s="4"/>
      <c r="I720" s="4"/>
      <c r="J720" s="4"/>
    </row>
    <row r="721" spans="1:10" x14ac:dyDescent="0.2">
      <c r="A721" t="e">
        <f>LEFT(#REF!,10)</f>
        <v>#REF!</v>
      </c>
      <c r="B721" s="4" t="e">
        <f>(#REF!-#REF!)/#REF!</f>
        <v>#REF!</v>
      </c>
      <c r="C721" s="4" t="e">
        <f>(#REF!-#REF!)/#REF!</f>
        <v>#REF!</v>
      </c>
      <c r="D721" s="4" t="e">
        <f>LN(#REF!/#REF!)</f>
        <v>#REF!</v>
      </c>
      <c r="E721" s="4" t="e">
        <f t="shared" si="12"/>
        <v>#REF!</v>
      </c>
      <c r="F721" s="4" t="e" cm="1">
        <f t="array" ref="F721">AVERAGE(B721:B2228-$I$4/252)/_xlfn.STDEV.S(B721:B2228-$I$4)</f>
        <v>#REF!</v>
      </c>
      <c r="G721" s="4"/>
      <c r="H721" s="4"/>
      <c r="I721" s="4"/>
      <c r="J721" s="4"/>
    </row>
    <row r="722" spans="1:10" x14ac:dyDescent="0.2">
      <c r="A722" t="e">
        <f>LEFT(#REF!,10)</f>
        <v>#REF!</v>
      </c>
      <c r="B722" s="4" t="e">
        <f>(#REF!-#REF!)/#REF!</f>
        <v>#REF!</v>
      </c>
      <c r="C722" s="4" t="e">
        <f>(#REF!-#REF!)/#REF!</f>
        <v>#REF!</v>
      </c>
      <c r="D722" s="4" t="e">
        <f>LN(#REF!/#REF!)</f>
        <v>#REF!</v>
      </c>
      <c r="E722" s="4" t="e">
        <f t="shared" si="12"/>
        <v>#REF!</v>
      </c>
      <c r="F722" s="4" t="e" cm="1">
        <f t="array" ref="F722">AVERAGE(B722:B2229-$I$4/252)/_xlfn.STDEV.S(B722:B2229-$I$4)</f>
        <v>#REF!</v>
      </c>
      <c r="G722" s="4"/>
      <c r="H722" s="4"/>
      <c r="I722" s="4"/>
      <c r="J722" s="4"/>
    </row>
    <row r="723" spans="1:10" x14ac:dyDescent="0.2">
      <c r="A723" t="e">
        <f>LEFT(#REF!,10)</f>
        <v>#REF!</v>
      </c>
      <c r="B723" s="4" t="e">
        <f>(#REF!-#REF!)/#REF!</f>
        <v>#REF!</v>
      </c>
      <c r="C723" s="4" t="e">
        <f>(#REF!-#REF!)/#REF!</f>
        <v>#REF!</v>
      </c>
      <c r="D723" s="4" t="e">
        <f>LN(#REF!/#REF!)</f>
        <v>#REF!</v>
      </c>
      <c r="E723" s="4" t="e">
        <f t="shared" si="12"/>
        <v>#REF!</v>
      </c>
      <c r="F723" s="4" t="e" cm="1">
        <f t="array" ref="F723">AVERAGE(B723:B2230-$I$4/252)/_xlfn.STDEV.S(B723:B2230-$I$4)</f>
        <v>#REF!</v>
      </c>
      <c r="G723" s="4"/>
      <c r="H723" s="4"/>
      <c r="I723" s="4"/>
      <c r="J723" s="4"/>
    </row>
    <row r="724" spans="1:10" x14ac:dyDescent="0.2">
      <c r="A724" t="e">
        <f>LEFT(#REF!,10)</f>
        <v>#REF!</v>
      </c>
      <c r="B724" s="4" t="e">
        <f>(#REF!-#REF!)/#REF!</f>
        <v>#REF!</v>
      </c>
      <c r="C724" s="4" t="e">
        <f>(#REF!-#REF!)/#REF!</f>
        <v>#REF!</v>
      </c>
      <c r="D724" s="4" t="e">
        <f>LN(#REF!/#REF!)</f>
        <v>#REF!</v>
      </c>
      <c r="E724" s="4" t="e">
        <f t="shared" si="12"/>
        <v>#REF!</v>
      </c>
      <c r="F724" s="4" t="e" cm="1">
        <f t="array" ref="F724">AVERAGE(B724:B2231-$I$4/252)/_xlfn.STDEV.S(B724:B2231-$I$4)</f>
        <v>#REF!</v>
      </c>
      <c r="G724" s="4"/>
      <c r="H724" s="4"/>
      <c r="I724" s="4"/>
      <c r="J724" s="4"/>
    </row>
    <row r="725" spans="1:10" x14ac:dyDescent="0.2">
      <c r="A725" t="e">
        <f>LEFT(#REF!,10)</f>
        <v>#REF!</v>
      </c>
      <c r="B725" s="4" t="e">
        <f>(#REF!-#REF!)/#REF!</f>
        <v>#REF!</v>
      </c>
      <c r="C725" s="4" t="e">
        <f>(#REF!-#REF!)/#REF!</f>
        <v>#REF!</v>
      </c>
      <c r="D725" s="4" t="e">
        <f>LN(#REF!/#REF!)</f>
        <v>#REF!</v>
      </c>
      <c r="E725" s="4" t="e">
        <f t="shared" si="12"/>
        <v>#REF!</v>
      </c>
      <c r="F725" s="4" t="e" cm="1">
        <f t="array" ref="F725">AVERAGE(B725:B2232-$I$4/252)/_xlfn.STDEV.S(B725:B2232-$I$4)</f>
        <v>#REF!</v>
      </c>
      <c r="G725" s="4"/>
      <c r="H725" s="4"/>
      <c r="I725" s="4"/>
      <c r="J725" s="4"/>
    </row>
    <row r="726" spans="1:10" x14ac:dyDescent="0.2">
      <c r="A726" t="e">
        <f>LEFT(#REF!,10)</f>
        <v>#REF!</v>
      </c>
      <c r="B726" s="4" t="e">
        <f>(#REF!-#REF!)/#REF!</f>
        <v>#REF!</v>
      </c>
      <c r="C726" s="4" t="e">
        <f>(#REF!-#REF!)/#REF!</f>
        <v>#REF!</v>
      </c>
      <c r="D726" s="4" t="e">
        <f>LN(#REF!/#REF!)</f>
        <v>#REF!</v>
      </c>
      <c r="E726" s="4" t="e">
        <f t="shared" si="12"/>
        <v>#REF!</v>
      </c>
      <c r="F726" s="4" t="e" cm="1">
        <f t="array" ref="F726">AVERAGE(B726:B2233-$I$4/252)/_xlfn.STDEV.S(B726:B2233-$I$4)</f>
        <v>#REF!</v>
      </c>
      <c r="G726" s="4"/>
      <c r="H726" s="4"/>
      <c r="I726" s="4"/>
      <c r="J726" s="4"/>
    </row>
    <row r="727" spans="1:10" x14ac:dyDescent="0.2">
      <c r="A727" t="e">
        <f>LEFT(#REF!,10)</f>
        <v>#REF!</v>
      </c>
      <c r="B727" s="4" t="e">
        <f>(#REF!-#REF!)/#REF!</f>
        <v>#REF!</v>
      </c>
      <c r="C727" s="4" t="e">
        <f>(#REF!-#REF!)/#REF!</f>
        <v>#REF!</v>
      </c>
      <c r="D727" s="4" t="e">
        <f>LN(#REF!/#REF!)</f>
        <v>#REF!</v>
      </c>
      <c r="E727" s="4" t="e">
        <f t="shared" si="12"/>
        <v>#REF!</v>
      </c>
      <c r="F727" s="4" t="e" cm="1">
        <f t="array" ref="F727">AVERAGE(B727:B2234-$I$4/252)/_xlfn.STDEV.S(B727:B2234-$I$4)</f>
        <v>#REF!</v>
      </c>
      <c r="G727" s="4"/>
      <c r="H727" s="4"/>
      <c r="I727" s="4"/>
      <c r="J727" s="4"/>
    </row>
    <row r="728" spans="1:10" x14ac:dyDescent="0.2">
      <c r="A728" t="e">
        <f>LEFT(#REF!,10)</f>
        <v>#REF!</v>
      </c>
      <c r="B728" s="4" t="e">
        <f>(#REF!-#REF!)/#REF!</f>
        <v>#REF!</v>
      </c>
      <c r="C728" s="4" t="e">
        <f>(#REF!-#REF!)/#REF!</f>
        <v>#REF!</v>
      </c>
      <c r="D728" s="4" t="e">
        <f>LN(#REF!/#REF!)</f>
        <v>#REF!</v>
      </c>
      <c r="E728" s="4" t="e">
        <f t="shared" si="12"/>
        <v>#REF!</v>
      </c>
      <c r="F728" s="4" t="e" cm="1">
        <f t="array" ref="F728">AVERAGE(B728:B2235-$I$4/252)/_xlfn.STDEV.S(B728:B2235-$I$4)</f>
        <v>#REF!</v>
      </c>
      <c r="G728" s="4"/>
      <c r="H728" s="4"/>
      <c r="I728" s="4"/>
      <c r="J728" s="4"/>
    </row>
    <row r="729" spans="1:10" x14ac:dyDescent="0.2">
      <c r="A729" t="e">
        <f>LEFT(#REF!,10)</f>
        <v>#REF!</v>
      </c>
      <c r="B729" s="4" t="e">
        <f>(#REF!-#REF!)/#REF!</f>
        <v>#REF!</v>
      </c>
      <c r="C729" s="4" t="e">
        <f>(#REF!-#REF!)/#REF!</f>
        <v>#REF!</v>
      </c>
      <c r="D729" s="4" t="e">
        <f>LN(#REF!/#REF!)</f>
        <v>#REF!</v>
      </c>
      <c r="E729" s="4" t="e">
        <f t="shared" si="12"/>
        <v>#REF!</v>
      </c>
      <c r="F729" s="4" t="e" cm="1">
        <f t="array" ref="F729">AVERAGE(B729:B2236-$I$4/252)/_xlfn.STDEV.S(B729:B2236-$I$4)</f>
        <v>#REF!</v>
      </c>
      <c r="G729" s="4"/>
      <c r="H729" s="4"/>
      <c r="I729" s="4"/>
      <c r="J729" s="4"/>
    </row>
    <row r="730" spans="1:10" x14ac:dyDescent="0.2">
      <c r="A730" t="e">
        <f>LEFT(#REF!,10)</f>
        <v>#REF!</v>
      </c>
      <c r="B730" s="4" t="e">
        <f>(#REF!-#REF!)/#REF!</f>
        <v>#REF!</v>
      </c>
      <c r="C730" s="4" t="e">
        <f>(#REF!-#REF!)/#REF!</f>
        <v>#REF!</v>
      </c>
      <c r="D730" s="4" t="e">
        <f>LN(#REF!/#REF!)</f>
        <v>#REF!</v>
      </c>
      <c r="E730" s="4" t="e">
        <f t="shared" si="12"/>
        <v>#REF!</v>
      </c>
      <c r="F730" s="4" t="e" cm="1">
        <f t="array" ref="F730">AVERAGE(B730:B2237-$I$4/252)/_xlfn.STDEV.S(B730:B2237-$I$4)</f>
        <v>#REF!</v>
      </c>
      <c r="G730" s="4"/>
      <c r="H730" s="4"/>
      <c r="I730" s="4"/>
      <c r="J730" s="4"/>
    </row>
    <row r="731" spans="1:10" x14ac:dyDescent="0.2">
      <c r="A731" t="e">
        <f>LEFT(#REF!,10)</f>
        <v>#REF!</v>
      </c>
      <c r="B731" s="4" t="e">
        <f>(#REF!-#REF!)/#REF!</f>
        <v>#REF!</v>
      </c>
      <c r="C731" s="4" t="e">
        <f>(#REF!-#REF!)/#REF!</f>
        <v>#REF!</v>
      </c>
      <c r="D731" s="4" t="e">
        <f>LN(#REF!/#REF!)</f>
        <v>#REF!</v>
      </c>
      <c r="E731" s="4" t="e">
        <f t="shared" si="12"/>
        <v>#REF!</v>
      </c>
      <c r="F731" s="4" t="e" cm="1">
        <f t="array" ref="F731">AVERAGE(B731:B2238-$I$4/252)/_xlfn.STDEV.S(B731:B2238-$I$4)</f>
        <v>#REF!</v>
      </c>
      <c r="G731" s="4"/>
      <c r="H731" s="4"/>
      <c r="I731" s="4"/>
      <c r="J731" s="4"/>
    </row>
    <row r="732" spans="1:10" x14ac:dyDescent="0.2">
      <c r="A732" t="e">
        <f>LEFT(#REF!,10)</f>
        <v>#REF!</v>
      </c>
      <c r="B732" s="4" t="e">
        <f>(#REF!-#REF!)/#REF!</f>
        <v>#REF!</v>
      </c>
      <c r="C732" s="4" t="e">
        <f>(#REF!-#REF!)/#REF!</f>
        <v>#REF!</v>
      </c>
      <c r="D732" s="4" t="e">
        <f>LN(#REF!/#REF!)</f>
        <v>#REF!</v>
      </c>
      <c r="E732" s="4" t="e">
        <f t="shared" si="12"/>
        <v>#REF!</v>
      </c>
      <c r="F732" s="4" t="e" cm="1">
        <f t="array" ref="F732">AVERAGE(B732:B2239-$I$4/252)/_xlfn.STDEV.S(B732:B2239-$I$4)</f>
        <v>#REF!</v>
      </c>
      <c r="G732" s="4"/>
      <c r="H732" s="4"/>
      <c r="I732" s="4"/>
      <c r="J732" s="4"/>
    </row>
    <row r="733" spans="1:10" x14ac:dyDescent="0.2">
      <c r="A733" t="e">
        <f>LEFT(#REF!,10)</f>
        <v>#REF!</v>
      </c>
      <c r="B733" s="4" t="e">
        <f>(#REF!-#REF!)/#REF!</f>
        <v>#REF!</v>
      </c>
      <c r="C733" s="4" t="e">
        <f>(#REF!-#REF!)/#REF!</f>
        <v>#REF!</v>
      </c>
      <c r="D733" s="4" t="e">
        <f>LN(#REF!/#REF!)</f>
        <v>#REF!</v>
      </c>
      <c r="E733" s="4" t="e">
        <f t="shared" si="12"/>
        <v>#REF!</v>
      </c>
      <c r="F733" s="4" t="e" cm="1">
        <f t="array" ref="F733">AVERAGE(B733:B2240-$I$4/252)/_xlfn.STDEV.S(B733:B2240-$I$4)</f>
        <v>#REF!</v>
      </c>
      <c r="G733" s="4"/>
      <c r="H733" s="4"/>
      <c r="I733" s="4"/>
      <c r="J733" s="4"/>
    </row>
    <row r="734" spans="1:10" x14ac:dyDescent="0.2">
      <c r="A734" t="e">
        <f>LEFT(#REF!,10)</f>
        <v>#REF!</v>
      </c>
      <c r="B734" s="4" t="e">
        <f>(#REF!-#REF!)/#REF!</f>
        <v>#REF!</v>
      </c>
      <c r="C734" s="4" t="e">
        <f>(#REF!-#REF!)/#REF!</f>
        <v>#REF!</v>
      </c>
      <c r="D734" s="4" t="e">
        <f>LN(#REF!/#REF!)</f>
        <v>#REF!</v>
      </c>
      <c r="E734" s="4" t="e">
        <f t="shared" si="12"/>
        <v>#REF!</v>
      </c>
      <c r="F734" s="4" t="e" cm="1">
        <f t="array" ref="F734">AVERAGE(B734:B2241-$I$4/252)/_xlfn.STDEV.S(B734:B2241-$I$4)</f>
        <v>#REF!</v>
      </c>
      <c r="G734" s="4"/>
      <c r="H734" s="4"/>
      <c r="I734" s="4"/>
      <c r="J734" s="4"/>
    </row>
    <row r="735" spans="1:10" x14ac:dyDescent="0.2">
      <c r="A735" t="e">
        <f>LEFT(#REF!,10)</f>
        <v>#REF!</v>
      </c>
      <c r="B735" s="4" t="e">
        <f>(#REF!-#REF!)/#REF!</f>
        <v>#REF!</v>
      </c>
      <c r="C735" s="4" t="e">
        <f>(#REF!-#REF!)/#REF!</f>
        <v>#REF!</v>
      </c>
      <c r="D735" s="4" t="e">
        <f>LN(#REF!/#REF!)</f>
        <v>#REF!</v>
      </c>
      <c r="E735" s="4" t="e">
        <f t="shared" si="12"/>
        <v>#REF!</v>
      </c>
      <c r="F735" s="4" t="e" cm="1">
        <f t="array" ref="F735">AVERAGE(B735:B2242-$I$4/252)/_xlfn.STDEV.S(B735:B2242-$I$4)</f>
        <v>#REF!</v>
      </c>
      <c r="G735" s="4"/>
      <c r="H735" s="4"/>
      <c r="I735" s="4"/>
      <c r="J735" s="4"/>
    </row>
    <row r="736" spans="1:10" x14ac:dyDescent="0.2">
      <c r="A736" t="e">
        <f>LEFT(#REF!,10)</f>
        <v>#REF!</v>
      </c>
      <c r="B736" s="4" t="e">
        <f>(#REF!-#REF!)/#REF!</f>
        <v>#REF!</v>
      </c>
      <c r="C736" s="4" t="e">
        <f>(#REF!-#REF!)/#REF!</f>
        <v>#REF!</v>
      </c>
      <c r="D736" s="4" t="e">
        <f>LN(#REF!/#REF!)</f>
        <v>#REF!</v>
      </c>
      <c r="E736" s="4" t="e">
        <f t="shared" si="12"/>
        <v>#REF!</v>
      </c>
      <c r="F736" s="4" t="e" cm="1">
        <f t="array" ref="F736">AVERAGE(B736:B2243-$I$4/252)/_xlfn.STDEV.S(B736:B2243-$I$4)</f>
        <v>#REF!</v>
      </c>
      <c r="G736" s="4"/>
      <c r="H736" s="4"/>
      <c r="I736" s="4"/>
      <c r="J736" s="4"/>
    </row>
    <row r="737" spans="1:10" x14ac:dyDescent="0.2">
      <c r="A737" t="e">
        <f>LEFT(#REF!,10)</f>
        <v>#REF!</v>
      </c>
      <c r="B737" s="4" t="e">
        <f>(#REF!-#REF!)/#REF!</f>
        <v>#REF!</v>
      </c>
      <c r="C737" s="4" t="e">
        <f>(#REF!-#REF!)/#REF!</f>
        <v>#REF!</v>
      </c>
      <c r="D737" s="4" t="e">
        <f>LN(#REF!/#REF!)</f>
        <v>#REF!</v>
      </c>
      <c r="E737" s="4" t="e">
        <f t="shared" si="12"/>
        <v>#REF!</v>
      </c>
      <c r="F737" s="4" t="e" cm="1">
        <f t="array" ref="F737">AVERAGE(B737:B2244-$I$4/252)/_xlfn.STDEV.S(B737:B2244-$I$4)</f>
        <v>#REF!</v>
      </c>
      <c r="G737" s="4"/>
      <c r="H737" s="4"/>
      <c r="I737" s="4"/>
      <c r="J737" s="4"/>
    </row>
    <row r="738" spans="1:10" x14ac:dyDescent="0.2">
      <c r="A738" t="e">
        <f>LEFT(#REF!,10)</f>
        <v>#REF!</v>
      </c>
      <c r="B738" s="4" t="e">
        <f>(#REF!-#REF!)/#REF!</f>
        <v>#REF!</v>
      </c>
      <c r="C738" s="4" t="e">
        <f>(#REF!-#REF!)/#REF!</f>
        <v>#REF!</v>
      </c>
      <c r="D738" s="4" t="e">
        <f>LN(#REF!/#REF!)</f>
        <v>#REF!</v>
      </c>
      <c r="E738" s="4" t="e">
        <f t="shared" si="12"/>
        <v>#REF!</v>
      </c>
      <c r="F738" s="4" t="e" cm="1">
        <f t="array" ref="F738">AVERAGE(B738:B2245-$I$4/252)/_xlfn.STDEV.S(B738:B2245-$I$4)</f>
        <v>#REF!</v>
      </c>
      <c r="G738" s="4"/>
      <c r="H738" s="4"/>
      <c r="I738" s="4"/>
      <c r="J738" s="4"/>
    </row>
    <row r="739" spans="1:10" x14ac:dyDescent="0.2">
      <c r="A739" t="e">
        <f>LEFT(#REF!,10)</f>
        <v>#REF!</v>
      </c>
      <c r="B739" s="4" t="e">
        <f>(#REF!-#REF!)/#REF!</f>
        <v>#REF!</v>
      </c>
      <c r="C739" s="4" t="e">
        <f>(#REF!-#REF!)/#REF!</f>
        <v>#REF!</v>
      </c>
      <c r="D739" s="4" t="e">
        <f>LN(#REF!/#REF!)</f>
        <v>#REF!</v>
      </c>
      <c r="E739" s="4" t="e">
        <f t="shared" si="12"/>
        <v>#REF!</v>
      </c>
      <c r="F739" s="4" t="e" cm="1">
        <f t="array" ref="F739">AVERAGE(B739:B2246-$I$4/252)/_xlfn.STDEV.S(B739:B2246-$I$4)</f>
        <v>#REF!</v>
      </c>
      <c r="G739" s="4"/>
      <c r="H739" s="4"/>
      <c r="I739" s="4"/>
      <c r="J739" s="4"/>
    </row>
    <row r="740" spans="1:10" x14ac:dyDescent="0.2">
      <c r="A740" t="e">
        <f>LEFT(#REF!,10)</f>
        <v>#REF!</v>
      </c>
      <c r="B740" s="4" t="e">
        <f>(#REF!-#REF!)/#REF!</f>
        <v>#REF!</v>
      </c>
      <c r="C740" s="4" t="e">
        <f>(#REF!-#REF!)/#REF!</f>
        <v>#REF!</v>
      </c>
      <c r="D740" s="4" t="e">
        <f>LN(#REF!/#REF!)</f>
        <v>#REF!</v>
      </c>
      <c r="E740" s="4" t="e">
        <f t="shared" si="12"/>
        <v>#REF!</v>
      </c>
      <c r="F740" s="4" t="e" cm="1">
        <f t="array" ref="F740">AVERAGE(B740:B2247-$I$4/252)/_xlfn.STDEV.S(B740:B2247-$I$4)</f>
        <v>#REF!</v>
      </c>
      <c r="G740" s="4"/>
      <c r="H740" s="4"/>
      <c r="I740" s="4"/>
      <c r="J740" s="4"/>
    </row>
    <row r="741" spans="1:10" x14ac:dyDescent="0.2">
      <c r="A741" t="e">
        <f>LEFT(#REF!,10)</f>
        <v>#REF!</v>
      </c>
      <c r="B741" s="4" t="e">
        <f>(#REF!-#REF!)/#REF!</f>
        <v>#REF!</v>
      </c>
      <c r="C741" s="4" t="e">
        <f>(#REF!-#REF!)/#REF!</f>
        <v>#REF!</v>
      </c>
      <c r="D741" s="4" t="e">
        <f>LN(#REF!/#REF!)</f>
        <v>#REF!</v>
      </c>
      <c r="E741" s="4" t="e">
        <f t="shared" si="12"/>
        <v>#REF!</v>
      </c>
      <c r="F741" s="4" t="e" cm="1">
        <f t="array" ref="F741">AVERAGE(B741:B2248-$I$4/252)/_xlfn.STDEV.S(B741:B2248-$I$4)</f>
        <v>#REF!</v>
      </c>
      <c r="G741" s="4"/>
      <c r="H741" s="4"/>
      <c r="I741" s="4"/>
      <c r="J741" s="4"/>
    </row>
    <row r="742" spans="1:10" x14ac:dyDescent="0.2">
      <c r="A742" t="e">
        <f>LEFT(#REF!,10)</f>
        <v>#REF!</v>
      </c>
      <c r="B742" s="4" t="e">
        <f>(#REF!-#REF!)/#REF!</f>
        <v>#REF!</v>
      </c>
      <c r="C742" s="4" t="e">
        <f>(#REF!-#REF!)/#REF!</f>
        <v>#REF!</v>
      </c>
      <c r="D742" s="4" t="e">
        <f>LN(#REF!/#REF!)</f>
        <v>#REF!</v>
      </c>
      <c r="E742" s="4" t="e">
        <f t="shared" si="12"/>
        <v>#REF!</v>
      </c>
      <c r="F742" s="4" t="e" cm="1">
        <f t="array" ref="F742">AVERAGE(B742:B2249-$I$4/252)/_xlfn.STDEV.S(B742:B2249-$I$4)</f>
        <v>#REF!</v>
      </c>
      <c r="G742" s="4"/>
      <c r="H742" s="4"/>
      <c r="I742" s="4"/>
      <c r="J742" s="4"/>
    </row>
    <row r="743" spans="1:10" x14ac:dyDescent="0.2">
      <c r="A743" t="e">
        <f>LEFT(#REF!,10)</f>
        <v>#REF!</v>
      </c>
      <c r="B743" s="4" t="e">
        <f>(#REF!-#REF!)/#REF!</f>
        <v>#REF!</v>
      </c>
      <c r="C743" s="4" t="e">
        <f>(#REF!-#REF!)/#REF!</f>
        <v>#REF!</v>
      </c>
      <c r="D743" s="4" t="e">
        <f>LN(#REF!/#REF!)</f>
        <v>#REF!</v>
      </c>
      <c r="E743" s="4" t="e">
        <f t="shared" si="12"/>
        <v>#REF!</v>
      </c>
      <c r="F743" s="4" t="e" cm="1">
        <f t="array" ref="F743">AVERAGE(B743:B2250-$I$4/252)/_xlfn.STDEV.S(B743:B2250-$I$4)</f>
        <v>#REF!</v>
      </c>
      <c r="G743" s="4"/>
      <c r="H743" s="4"/>
      <c r="I743" s="4"/>
      <c r="J743" s="4"/>
    </row>
    <row r="744" spans="1:10" x14ac:dyDescent="0.2">
      <c r="A744" t="e">
        <f>LEFT(#REF!,10)</f>
        <v>#REF!</v>
      </c>
      <c r="B744" s="4" t="e">
        <f>(#REF!-#REF!)/#REF!</f>
        <v>#REF!</v>
      </c>
      <c r="C744" s="4" t="e">
        <f>(#REF!-#REF!)/#REF!</f>
        <v>#REF!</v>
      </c>
      <c r="D744" s="4" t="e">
        <f>LN(#REF!/#REF!)</f>
        <v>#REF!</v>
      </c>
      <c r="E744" s="4" t="e">
        <f t="shared" si="12"/>
        <v>#REF!</v>
      </c>
      <c r="F744" s="4" t="e" cm="1">
        <f t="array" ref="F744">AVERAGE(B744:B2251-$I$4/252)/_xlfn.STDEV.S(B744:B2251-$I$4)</f>
        <v>#REF!</v>
      </c>
      <c r="G744" s="4"/>
      <c r="H744" s="4"/>
      <c r="I744" s="4"/>
      <c r="J744" s="4"/>
    </row>
    <row r="745" spans="1:10" x14ac:dyDescent="0.2">
      <c r="A745" t="e">
        <f>LEFT(#REF!,10)</f>
        <v>#REF!</v>
      </c>
      <c r="B745" s="4" t="e">
        <f>(#REF!-#REF!)/#REF!</f>
        <v>#REF!</v>
      </c>
      <c r="C745" s="4" t="e">
        <f>(#REF!-#REF!)/#REF!</f>
        <v>#REF!</v>
      </c>
      <c r="D745" s="4" t="e">
        <f>LN(#REF!/#REF!)</f>
        <v>#REF!</v>
      </c>
      <c r="E745" s="4" t="e">
        <f t="shared" si="12"/>
        <v>#REF!</v>
      </c>
      <c r="F745" s="4" t="e" cm="1">
        <f t="array" ref="F745">AVERAGE(B745:B2252-$I$4/252)/_xlfn.STDEV.S(B745:B2252-$I$4)</f>
        <v>#REF!</v>
      </c>
      <c r="G745" s="4"/>
      <c r="H745" s="4"/>
      <c r="I745" s="4"/>
      <c r="J745" s="4"/>
    </row>
    <row r="746" spans="1:10" x14ac:dyDescent="0.2">
      <c r="A746" t="e">
        <f>LEFT(#REF!,10)</f>
        <v>#REF!</v>
      </c>
      <c r="B746" s="4" t="e">
        <f>(#REF!-#REF!)/#REF!</f>
        <v>#REF!</v>
      </c>
      <c r="C746" s="4" t="e">
        <f>(#REF!-#REF!)/#REF!</f>
        <v>#REF!</v>
      </c>
      <c r="D746" s="4" t="e">
        <f>LN(#REF!/#REF!)</f>
        <v>#REF!</v>
      </c>
      <c r="E746" s="4" t="e">
        <f t="shared" si="12"/>
        <v>#REF!</v>
      </c>
      <c r="F746" s="4" t="e" cm="1">
        <f t="array" ref="F746">AVERAGE(B746:B2253-$I$4/252)/_xlfn.STDEV.S(B746:B2253-$I$4)</f>
        <v>#REF!</v>
      </c>
      <c r="G746" s="4"/>
      <c r="H746" s="4"/>
      <c r="I746" s="4"/>
      <c r="J746" s="4"/>
    </row>
    <row r="747" spans="1:10" x14ac:dyDescent="0.2">
      <c r="A747" t="e">
        <f>LEFT(#REF!,10)</f>
        <v>#REF!</v>
      </c>
      <c r="B747" s="4" t="e">
        <f>(#REF!-#REF!)/#REF!</f>
        <v>#REF!</v>
      </c>
      <c r="C747" s="4" t="e">
        <f>(#REF!-#REF!)/#REF!</f>
        <v>#REF!</v>
      </c>
      <c r="D747" s="4" t="e">
        <f>LN(#REF!/#REF!)</f>
        <v>#REF!</v>
      </c>
      <c r="E747" s="4" t="e">
        <f t="shared" si="12"/>
        <v>#REF!</v>
      </c>
      <c r="F747" s="4" t="e" cm="1">
        <f t="array" ref="F747">AVERAGE(B747:B2254-$I$4/252)/_xlfn.STDEV.S(B747:B2254-$I$4)</f>
        <v>#REF!</v>
      </c>
      <c r="G747" s="4"/>
      <c r="H747" s="4"/>
      <c r="I747" s="4"/>
      <c r="J747" s="4"/>
    </row>
    <row r="748" spans="1:10" x14ac:dyDescent="0.2">
      <c r="A748" t="e">
        <f>LEFT(#REF!,10)</f>
        <v>#REF!</v>
      </c>
      <c r="B748" s="4" t="e">
        <f>(#REF!-#REF!)/#REF!</f>
        <v>#REF!</v>
      </c>
      <c r="C748" s="4" t="e">
        <f>(#REF!-#REF!)/#REF!</f>
        <v>#REF!</v>
      </c>
      <c r="D748" s="4" t="e">
        <f>LN(#REF!/#REF!)</f>
        <v>#REF!</v>
      </c>
      <c r="E748" s="4" t="e">
        <f t="shared" si="12"/>
        <v>#REF!</v>
      </c>
      <c r="F748" s="4" t="e" cm="1">
        <f t="array" ref="F748">AVERAGE(B748:B2255-$I$4/252)/_xlfn.STDEV.S(B748:B2255-$I$4)</f>
        <v>#REF!</v>
      </c>
      <c r="G748" s="4"/>
      <c r="H748" s="4"/>
      <c r="I748" s="4"/>
      <c r="J748" s="4"/>
    </row>
    <row r="749" spans="1:10" x14ac:dyDescent="0.2">
      <c r="A749" t="e">
        <f>LEFT(#REF!,10)</f>
        <v>#REF!</v>
      </c>
      <c r="B749" s="4" t="e">
        <f>(#REF!-#REF!)/#REF!</f>
        <v>#REF!</v>
      </c>
      <c r="C749" s="4" t="e">
        <f>(#REF!-#REF!)/#REF!</f>
        <v>#REF!</v>
      </c>
      <c r="D749" s="4" t="e">
        <f>LN(#REF!/#REF!)</f>
        <v>#REF!</v>
      </c>
      <c r="E749" s="4" t="e">
        <f t="shared" si="12"/>
        <v>#REF!</v>
      </c>
      <c r="F749" s="4" t="e" cm="1">
        <f t="array" ref="F749">AVERAGE(B749:B2256-$I$4/252)/_xlfn.STDEV.S(B749:B2256-$I$4)</f>
        <v>#REF!</v>
      </c>
      <c r="G749" s="4"/>
      <c r="H749" s="4"/>
      <c r="I749" s="4"/>
      <c r="J749" s="4"/>
    </row>
    <row r="750" spans="1:10" x14ac:dyDescent="0.2">
      <c r="A750" t="e">
        <f>LEFT(#REF!,10)</f>
        <v>#REF!</v>
      </c>
      <c r="B750" s="4" t="e">
        <f>(#REF!-#REF!)/#REF!</f>
        <v>#REF!</v>
      </c>
      <c r="C750" s="4" t="e">
        <f>(#REF!-#REF!)/#REF!</f>
        <v>#REF!</v>
      </c>
      <c r="D750" s="4" t="e">
        <f>LN(#REF!/#REF!)</f>
        <v>#REF!</v>
      </c>
      <c r="E750" s="4" t="e">
        <f t="shared" si="12"/>
        <v>#REF!</v>
      </c>
      <c r="F750" s="4" t="e" cm="1">
        <f t="array" ref="F750">AVERAGE(B750:B2257-$I$4/252)/_xlfn.STDEV.S(B750:B2257-$I$4)</f>
        <v>#REF!</v>
      </c>
      <c r="G750" s="4"/>
      <c r="H750" s="4"/>
      <c r="I750" s="4"/>
      <c r="J750" s="4"/>
    </row>
    <row r="751" spans="1:10" x14ac:dyDescent="0.2">
      <c r="A751" t="e">
        <f>LEFT(#REF!,10)</f>
        <v>#REF!</v>
      </c>
      <c r="B751" s="4" t="e">
        <f>(#REF!-#REF!)/#REF!</f>
        <v>#REF!</v>
      </c>
      <c r="C751" s="4" t="e">
        <f>(#REF!-#REF!)/#REF!</f>
        <v>#REF!</v>
      </c>
      <c r="D751" s="4" t="e">
        <f>LN(#REF!/#REF!)</f>
        <v>#REF!</v>
      </c>
      <c r="E751" s="4" t="e">
        <f t="shared" si="12"/>
        <v>#REF!</v>
      </c>
      <c r="F751" s="4" t="e" cm="1">
        <f t="array" ref="F751">AVERAGE(B751:B2258-$I$4/252)/_xlfn.STDEV.S(B751:B2258-$I$4)</f>
        <v>#REF!</v>
      </c>
      <c r="G751" s="4"/>
      <c r="H751" s="4"/>
      <c r="I751" s="4"/>
      <c r="J751" s="4"/>
    </row>
    <row r="752" spans="1:10" x14ac:dyDescent="0.2">
      <c r="A752" t="e">
        <f>LEFT(#REF!,10)</f>
        <v>#REF!</v>
      </c>
      <c r="B752" s="4" t="e">
        <f>(#REF!-#REF!)/#REF!</f>
        <v>#REF!</v>
      </c>
      <c r="C752" s="4" t="e">
        <f>(#REF!-#REF!)/#REF!</f>
        <v>#REF!</v>
      </c>
      <c r="D752" s="4" t="e">
        <f>LN(#REF!/#REF!)</f>
        <v>#REF!</v>
      </c>
      <c r="E752" s="4" t="e">
        <f t="shared" si="12"/>
        <v>#REF!</v>
      </c>
      <c r="F752" s="4" t="e" cm="1">
        <f t="array" ref="F752">AVERAGE(B752:B2259-$I$4/252)/_xlfn.STDEV.S(B752:B2259-$I$4)</f>
        <v>#REF!</v>
      </c>
      <c r="G752" s="4"/>
      <c r="H752" s="4"/>
      <c r="I752" s="4"/>
      <c r="J752" s="4"/>
    </row>
    <row r="753" spans="1:10" x14ac:dyDescent="0.2">
      <c r="A753" t="e">
        <f>LEFT(#REF!,10)</f>
        <v>#REF!</v>
      </c>
      <c r="B753" s="4" t="e">
        <f>(#REF!-#REF!)/#REF!</f>
        <v>#REF!</v>
      </c>
      <c r="C753" s="4" t="e">
        <f>(#REF!-#REF!)/#REF!</f>
        <v>#REF!</v>
      </c>
      <c r="D753" s="4" t="e">
        <f>LN(#REF!/#REF!)</f>
        <v>#REF!</v>
      </c>
      <c r="E753" s="4" t="e">
        <f t="shared" si="12"/>
        <v>#REF!</v>
      </c>
      <c r="F753" s="4" t="e" cm="1">
        <f t="array" ref="F753">AVERAGE(B753:B2260-$I$4/252)/_xlfn.STDEV.S(B753:B2260-$I$4)</f>
        <v>#REF!</v>
      </c>
      <c r="G753" s="4"/>
      <c r="H753" s="4"/>
      <c r="I753" s="4"/>
      <c r="J753" s="4"/>
    </row>
    <row r="754" spans="1:10" x14ac:dyDescent="0.2">
      <c r="A754" t="e">
        <f>LEFT(#REF!,10)</f>
        <v>#REF!</v>
      </c>
      <c r="B754" s="4" t="e">
        <f>(#REF!-#REF!)/#REF!</f>
        <v>#REF!</v>
      </c>
      <c r="C754" s="4" t="e">
        <f>(#REF!-#REF!)/#REF!</f>
        <v>#REF!</v>
      </c>
      <c r="D754" s="4" t="e">
        <f>LN(#REF!/#REF!)</f>
        <v>#REF!</v>
      </c>
      <c r="E754" s="4" t="e">
        <f t="shared" si="12"/>
        <v>#REF!</v>
      </c>
      <c r="F754" s="4" t="e" cm="1">
        <f t="array" ref="F754">AVERAGE(B754:B2261-$I$4/252)/_xlfn.STDEV.S(B754:B2261-$I$4)</f>
        <v>#REF!</v>
      </c>
      <c r="G754" s="4"/>
      <c r="H754" s="4"/>
      <c r="I754" s="4"/>
      <c r="J754" s="4"/>
    </row>
    <row r="755" spans="1:10" x14ac:dyDescent="0.2">
      <c r="A755" t="e">
        <f>LEFT(#REF!,10)</f>
        <v>#REF!</v>
      </c>
      <c r="B755" s="4" t="e">
        <f>(#REF!-#REF!)/#REF!</f>
        <v>#REF!</v>
      </c>
      <c r="C755" s="4" t="e">
        <f>(#REF!-#REF!)/#REF!</f>
        <v>#REF!</v>
      </c>
      <c r="D755" s="4" t="e">
        <f>LN(#REF!/#REF!)</f>
        <v>#REF!</v>
      </c>
      <c r="E755" s="4" t="e">
        <f t="shared" si="12"/>
        <v>#REF!</v>
      </c>
      <c r="F755" s="4" t="e" cm="1">
        <f t="array" ref="F755">AVERAGE(B755:B2262-$I$4/252)/_xlfn.STDEV.S(B755:B2262-$I$4)</f>
        <v>#REF!</v>
      </c>
      <c r="G755" s="4"/>
      <c r="H755" s="4"/>
      <c r="I755" s="4"/>
      <c r="J755" s="4"/>
    </row>
    <row r="756" spans="1:10" x14ac:dyDescent="0.2">
      <c r="A756" t="e">
        <f>LEFT(#REF!,10)</f>
        <v>#REF!</v>
      </c>
      <c r="B756" s="4" t="e">
        <f>(#REF!-#REF!)/#REF!</f>
        <v>#REF!</v>
      </c>
      <c r="C756" s="4" t="e">
        <f>(#REF!-#REF!)/#REF!</f>
        <v>#REF!</v>
      </c>
      <c r="D756" s="4" t="e">
        <f>LN(#REF!/#REF!)</f>
        <v>#REF!</v>
      </c>
      <c r="E756" s="4" t="e">
        <f t="shared" si="12"/>
        <v>#REF!</v>
      </c>
      <c r="F756" s="4" t="e" cm="1">
        <f t="array" ref="F756">AVERAGE(B756:B2263-$I$4/252)/_xlfn.STDEV.S(B756:B2263-$I$4)</f>
        <v>#REF!</v>
      </c>
      <c r="G756" s="4"/>
      <c r="H756" s="4"/>
      <c r="I756" s="4"/>
      <c r="J756" s="4"/>
    </row>
    <row r="757" spans="1:10" x14ac:dyDescent="0.2">
      <c r="A757" t="e">
        <f>LEFT(#REF!,10)</f>
        <v>#REF!</v>
      </c>
      <c r="B757" s="4" t="e">
        <f>(#REF!-#REF!)/#REF!</f>
        <v>#REF!</v>
      </c>
      <c r="C757" s="4" t="e">
        <f>(#REF!-#REF!)/#REF!</f>
        <v>#REF!</v>
      </c>
      <c r="D757" s="4" t="e">
        <f>LN(#REF!/#REF!)</f>
        <v>#REF!</v>
      </c>
      <c r="E757" s="4" t="e">
        <f t="shared" si="12"/>
        <v>#REF!</v>
      </c>
      <c r="F757" s="4" t="e" cm="1">
        <f t="array" ref="F757">AVERAGE(B757:B2264-$I$4/252)/_xlfn.STDEV.S(B757:B2264-$I$4)</f>
        <v>#REF!</v>
      </c>
      <c r="G757" s="4"/>
      <c r="H757" s="4"/>
      <c r="I757" s="4"/>
      <c r="J757" s="4"/>
    </row>
    <row r="758" spans="1:10" x14ac:dyDescent="0.2">
      <c r="A758" t="e">
        <f>LEFT(#REF!,10)</f>
        <v>#REF!</v>
      </c>
      <c r="B758" s="4" t="e">
        <f>(#REF!-#REF!)/#REF!</f>
        <v>#REF!</v>
      </c>
      <c r="C758" s="4" t="e">
        <f>(#REF!-#REF!)/#REF!</f>
        <v>#REF!</v>
      </c>
      <c r="D758" s="4" t="e">
        <f>LN(#REF!/#REF!)</f>
        <v>#REF!</v>
      </c>
      <c r="E758" s="4" t="e">
        <f t="shared" si="12"/>
        <v>#REF!</v>
      </c>
      <c r="F758" s="4" t="e" cm="1">
        <f t="array" ref="F758">AVERAGE(B758:B2265-$I$4/252)/_xlfn.STDEV.S(B758:B2265-$I$4)</f>
        <v>#REF!</v>
      </c>
      <c r="G758" s="4"/>
      <c r="H758" s="4"/>
      <c r="I758" s="4"/>
      <c r="J758" s="4"/>
    </row>
    <row r="759" spans="1:10" x14ac:dyDescent="0.2">
      <c r="A759" t="e">
        <f>LEFT(#REF!,10)</f>
        <v>#REF!</v>
      </c>
      <c r="B759" s="4" t="e">
        <f>(#REF!-#REF!)/#REF!</f>
        <v>#REF!</v>
      </c>
      <c r="C759" s="4" t="e">
        <f>(#REF!-#REF!)/#REF!</f>
        <v>#REF!</v>
      </c>
      <c r="D759" s="4" t="e">
        <f>LN(#REF!/#REF!)</f>
        <v>#REF!</v>
      </c>
      <c r="E759" s="4" t="e">
        <f t="shared" si="12"/>
        <v>#REF!</v>
      </c>
      <c r="F759" s="4" t="e" cm="1">
        <f t="array" ref="F759">AVERAGE(B759:B2266-$I$4/252)/_xlfn.STDEV.S(B759:B2266-$I$4)</f>
        <v>#REF!</v>
      </c>
      <c r="G759" s="4"/>
      <c r="H759" s="4"/>
      <c r="I759" s="4"/>
      <c r="J759" s="4"/>
    </row>
    <row r="760" spans="1:10" x14ac:dyDescent="0.2">
      <c r="A760" t="e">
        <f>LEFT(#REF!,10)</f>
        <v>#REF!</v>
      </c>
      <c r="B760" s="4" t="e">
        <f>(#REF!-#REF!)/#REF!</f>
        <v>#REF!</v>
      </c>
      <c r="C760" s="4" t="e">
        <f>(#REF!-#REF!)/#REF!</f>
        <v>#REF!</v>
      </c>
      <c r="D760" s="4" t="e">
        <f>LN(#REF!/#REF!)</f>
        <v>#REF!</v>
      </c>
      <c r="E760" s="4" t="e">
        <f t="shared" si="12"/>
        <v>#REF!</v>
      </c>
      <c r="F760" s="4" t="e" cm="1">
        <f t="array" ref="F760">AVERAGE(B760:B2267-$I$4/252)/_xlfn.STDEV.S(B760:B2267-$I$4)</f>
        <v>#REF!</v>
      </c>
      <c r="G760" s="6" t="e">
        <f>M18-($I$4+M10*(N18-$I$4))</f>
        <v>#REF!</v>
      </c>
      <c r="H760" s="6" t="e">
        <f>_xlfn.COVARIANCE.S(B760:B1010,C760:C1010)/_xlfn.VAR.S(C760:C1010)</f>
        <v>#REF!</v>
      </c>
      <c r="I760" s="4"/>
      <c r="J760" s="6" t="e">
        <f>(M18-$I$4)/M10</f>
        <v>#REF!</v>
      </c>
    </row>
    <row r="761" spans="1:10" x14ac:dyDescent="0.2">
      <c r="A761" t="e">
        <f>LEFT(#REF!,10)</f>
        <v>#REF!</v>
      </c>
      <c r="B761" s="4" t="e">
        <f>(#REF!-#REF!)/#REF!</f>
        <v>#REF!</v>
      </c>
      <c r="C761" s="4" t="e">
        <f>(#REF!-#REF!)/#REF!</f>
        <v>#REF!</v>
      </c>
      <c r="D761" s="4" t="e">
        <f>LN(#REF!/#REF!)</f>
        <v>#REF!</v>
      </c>
      <c r="E761" s="4" t="e">
        <f t="shared" si="12"/>
        <v>#REF!</v>
      </c>
      <c r="F761" s="4" t="e" cm="1">
        <f t="array" ref="F761">AVERAGE(B761:B2268-$I$4/252)/_xlfn.STDEV.S(B761:B2268-$I$4)</f>
        <v>#REF!</v>
      </c>
      <c r="G761" s="4"/>
      <c r="H761" s="4"/>
      <c r="I761" s="4"/>
      <c r="J761" s="4"/>
    </row>
    <row r="762" spans="1:10" x14ac:dyDescent="0.2">
      <c r="A762" t="e">
        <f>LEFT(#REF!,10)</f>
        <v>#REF!</v>
      </c>
      <c r="B762" s="4" t="e">
        <f>(#REF!-#REF!)/#REF!</f>
        <v>#REF!</v>
      </c>
      <c r="C762" s="4" t="e">
        <f>(#REF!-#REF!)/#REF!</f>
        <v>#REF!</v>
      </c>
      <c r="D762" s="4" t="e">
        <f>LN(#REF!/#REF!)</f>
        <v>#REF!</v>
      </c>
      <c r="E762" s="4" t="e">
        <f t="shared" si="12"/>
        <v>#REF!</v>
      </c>
      <c r="F762" s="4" t="e" cm="1">
        <f t="array" ref="F762">AVERAGE(B762:B2269-$I$4/252)/_xlfn.STDEV.S(B762:B2269-$I$4)</f>
        <v>#REF!</v>
      </c>
      <c r="G762" s="4"/>
      <c r="H762" s="4"/>
      <c r="I762" s="4"/>
      <c r="J762" s="4"/>
    </row>
    <row r="763" spans="1:10" x14ac:dyDescent="0.2">
      <c r="A763" t="e">
        <f>LEFT(#REF!,10)</f>
        <v>#REF!</v>
      </c>
      <c r="B763" s="4" t="e">
        <f>(#REF!-#REF!)/#REF!</f>
        <v>#REF!</v>
      </c>
      <c r="C763" s="4" t="e">
        <f>(#REF!-#REF!)/#REF!</f>
        <v>#REF!</v>
      </c>
      <c r="D763" s="4" t="e">
        <f>LN(#REF!/#REF!)</f>
        <v>#REF!</v>
      </c>
      <c r="E763" s="4" t="e">
        <f t="shared" si="12"/>
        <v>#REF!</v>
      </c>
      <c r="F763" s="4" t="e" cm="1">
        <f t="array" ref="F763">AVERAGE(B763:B2270-$I$4/252)/_xlfn.STDEV.S(B763:B2270-$I$4)</f>
        <v>#REF!</v>
      </c>
      <c r="G763" s="4"/>
      <c r="H763" s="4"/>
      <c r="I763" s="4"/>
      <c r="J763" s="4"/>
    </row>
    <row r="764" spans="1:10" x14ac:dyDescent="0.2">
      <c r="A764" t="e">
        <f>LEFT(#REF!,10)</f>
        <v>#REF!</v>
      </c>
      <c r="B764" s="4" t="e">
        <f>(#REF!-#REF!)/#REF!</f>
        <v>#REF!</v>
      </c>
      <c r="C764" s="4" t="e">
        <f>(#REF!-#REF!)/#REF!</f>
        <v>#REF!</v>
      </c>
      <c r="D764" s="4" t="e">
        <f>LN(#REF!/#REF!)</f>
        <v>#REF!</v>
      </c>
      <c r="E764" s="4" t="e">
        <f t="shared" si="12"/>
        <v>#REF!</v>
      </c>
      <c r="F764" s="4" t="e" cm="1">
        <f t="array" ref="F764">AVERAGE(B764:B2271-$I$4/252)/_xlfn.STDEV.S(B764:B2271-$I$4)</f>
        <v>#REF!</v>
      </c>
      <c r="G764" s="4"/>
      <c r="H764" s="4"/>
      <c r="I764" s="4"/>
      <c r="J764" s="4"/>
    </row>
    <row r="765" spans="1:10" x14ac:dyDescent="0.2">
      <c r="A765" t="e">
        <f>LEFT(#REF!,10)</f>
        <v>#REF!</v>
      </c>
      <c r="B765" s="4" t="e">
        <f>(#REF!-#REF!)/#REF!</f>
        <v>#REF!</v>
      </c>
      <c r="C765" s="4" t="e">
        <f>(#REF!-#REF!)/#REF!</f>
        <v>#REF!</v>
      </c>
      <c r="D765" s="4" t="e">
        <f>LN(#REF!/#REF!)</f>
        <v>#REF!</v>
      </c>
      <c r="E765" s="4" t="e">
        <f t="shared" si="12"/>
        <v>#REF!</v>
      </c>
      <c r="F765" s="4" t="e" cm="1">
        <f t="array" ref="F765">AVERAGE(B765:B2272-$I$4/252)/_xlfn.STDEV.S(B765:B2272-$I$4)</f>
        <v>#REF!</v>
      </c>
      <c r="G765" s="4"/>
      <c r="H765" s="4"/>
      <c r="I765" s="4"/>
      <c r="J765" s="4"/>
    </row>
    <row r="766" spans="1:10" x14ac:dyDescent="0.2">
      <c r="A766" t="e">
        <f>LEFT(#REF!,10)</f>
        <v>#REF!</v>
      </c>
      <c r="B766" s="4" t="e">
        <f>(#REF!-#REF!)/#REF!</f>
        <v>#REF!</v>
      </c>
      <c r="C766" s="4" t="e">
        <f>(#REF!-#REF!)/#REF!</f>
        <v>#REF!</v>
      </c>
      <c r="D766" s="4" t="e">
        <f>LN(#REF!/#REF!)</f>
        <v>#REF!</v>
      </c>
      <c r="E766" s="4" t="e">
        <f t="shared" si="12"/>
        <v>#REF!</v>
      </c>
      <c r="F766" s="4" t="e" cm="1">
        <f t="array" ref="F766">AVERAGE(B766:B2273-$I$4/252)/_xlfn.STDEV.S(B766:B2273-$I$4)</f>
        <v>#REF!</v>
      </c>
      <c r="G766" s="4"/>
      <c r="H766" s="4"/>
      <c r="I766" s="4"/>
      <c r="J766" s="4"/>
    </row>
    <row r="767" spans="1:10" x14ac:dyDescent="0.2">
      <c r="A767" t="e">
        <f>LEFT(#REF!,10)</f>
        <v>#REF!</v>
      </c>
      <c r="B767" s="4" t="e">
        <f>(#REF!-#REF!)/#REF!</f>
        <v>#REF!</v>
      </c>
      <c r="C767" s="4" t="e">
        <f>(#REF!-#REF!)/#REF!</f>
        <v>#REF!</v>
      </c>
      <c r="D767" s="4" t="e">
        <f>LN(#REF!/#REF!)</f>
        <v>#REF!</v>
      </c>
      <c r="E767" s="4" t="e">
        <f t="shared" si="12"/>
        <v>#REF!</v>
      </c>
      <c r="F767" s="4" t="e" cm="1">
        <f t="array" ref="F767">AVERAGE(B767:B2274-$I$4/252)/_xlfn.STDEV.S(B767:B2274-$I$4)</f>
        <v>#REF!</v>
      </c>
      <c r="G767" s="4"/>
      <c r="H767" s="4"/>
      <c r="I767" s="4"/>
      <c r="J767" s="4"/>
    </row>
    <row r="768" spans="1:10" x14ac:dyDescent="0.2">
      <c r="A768" t="e">
        <f>LEFT(#REF!,10)</f>
        <v>#REF!</v>
      </c>
      <c r="B768" s="4" t="e">
        <f>(#REF!-#REF!)/#REF!</f>
        <v>#REF!</v>
      </c>
      <c r="C768" s="4" t="e">
        <f>(#REF!-#REF!)/#REF!</f>
        <v>#REF!</v>
      </c>
      <c r="D768" s="4" t="e">
        <f>LN(#REF!/#REF!)</f>
        <v>#REF!</v>
      </c>
      <c r="E768" s="4" t="e">
        <f t="shared" si="12"/>
        <v>#REF!</v>
      </c>
      <c r="F768" s="4" t="e" cm="1">
        <f t="array" ref="F768">AVERAGE(B768:B2275-$I$4/252)/_xlfn.STDEV.S(B768:B2275-$I$4)</f>
        <v>#REF!</v>
      </c>
      <c r="G768" s="4"/>
      <c r="H768" s="4"/>
      <c r="I768" s="4"/>
      <c r="J768" s="4"/>
    </row>
    <row r="769" spans="1:10" x14ac:dyDescent="0.2">
      <c r="A769" t="e">
        <f>LEFT(#REF!,10)</f>
        <v>#REF!</v>
      </c>
      <c r="B769" s="4" t="e">
        <f>(#REF!-#REF!)/#REF!</f>
        <v>#REF!</v>
      </c>
      <c r="C769" s="4" t="e">
        <f>(#REF!-#REF!)/#REF!</f>
        <v>#REF!</v>
      </c>
      <c r="D769" s="4" t="e">
        <f>LN(#REF!/#REF!)</f>
        <v>#REF!</v>
      </c>
      <c r="E769" s="4" t="e">
        <f t="shared" si="12"/>
        <v>#REF!</v>
      </c>
      <c r="F769" s="4" t="e" cm="1">
        <f t="array" ref="F769">AVERAGE(B769:B2276-$I$4/252)/_xlfn.STDEV.S(B769:B2276-$I$4)</f>
        <v>#REF!</v>
      </c>
      <c r="G769" s="4"/>
      <c r="H769" s="4"/>
      <c r="I769" s="4"/>
      <c r="J769" s="4"/>
    </row>
    <row r="770" spans="1:10" x14ac:dyDescent="0.2">
      <c r="A770" t="e">
        <f>LEFT(#REF!,10)</f>
        <v>#REF!</v>
      </c>
      <c r="B770" s="4" t="e">
        <f>(#REF!-#REF!)/#REF!</f>
        <v>#REF!</v>
      </c>
      <c r="C770" s="4" t="e">
        <f>(#REF!-#REF!)/#REF!</f>
        <v>#REF!</v>
      </c>
      <c r="D770" s="4" t="e">
        <f>LN(#REF!/#REF!)</f>
        <v>#REF!</v>
      </c>
      <c r="E770" s="4" t="e">
        <f t="shared" si="12"/>
        <v>#REF!</v>
      </c>
      <c r="F770" s="4" t="e" cm="1">
        <f t="array" ref="F770">AVERAGE(B770:B2277-$I$4/252)/_xlfn.STDEV.S(B770:B2277-$I$4)</f>
        <v>#REF!</v>
      </c>
      <c r="G770" s="4"/>
      <c r="H770" s="4"/>
      <c r="I770" s="4"/>
      <c r="J770" s="4"/>
    </row>
    <row r="771" spans="1:10" x14ac:dyDescent="0.2">
      <c r="A771" t="e">
        <f>LEFT(#REF!,10)</f>
        <v>#REF!</v>
      </c>
      <c r="B771" s="4" t="e">
        <f>(#REF!-#REF!)/#REF!</f>
        <v>#REF!</v>
      </c>
      <c r="C771" s="4" t="e">
        <f>(#REF!-#REF!)/#REF!</f>
        <v>#REF!</v>
      </c>
      <c r="D771" s="4" t="e">
        <f>LN(#REF!/#REF!)</f>
        <v>#REF!</v>
      </c>
      <c r="E771" s="4" t="e">
        <f t="shared" si="12"/>
        <v>#REF!</v>
      </c>
      <c r="F771" s="4" t="e" cm="1">
        <f t="array" ref="F771">AVERAGE(B771:B2278-$I$4/252)/_xlfn.STDEV.S(B771:B2278-$I$4)</f>
        <v>#REF!</v>
      </c>
      <c r="G771" s="4"/>
      <c r="H771" s="4"/>
      <c r="I771" s="4"/>
      <c r="J771" s="4"/>
    </row>
    <row r="772" spans="1:10" x14ac:dyDescent="0.2">
      <c r="A772" t="e">
        <f>LEFT(#REF!,10)</f>
        <v>#REF!</v>
      </c>
      <c r="B772" s="4" t="e">
        <f>(#REF!-#REF!)/#REF!</f>
        <v>#REF!</v>
      </c>
      <c r="C772" s="4" t="e">
        <f>(#REF!-#REF!)/#REF!</f>
        <v>#REF!</v>
      </c>
      <c r="D772" s="4" t="e">
        <f>LN(#REF!/#REF!)</f>
        <v>#REF!</v>
      </c>
      <c r="E772" s="4" t="e">
        <f t="shared" si="12"/>
        <v>#REF!</v>
      </c>
      <c r="F772" s="4" t="e" cm="1">
        <f t="array" ref="F772">AVERAGE(B772:B2279-$I$4/252)/_xlfn.STDEV.S(B772:B2279-$I$4)</f>
        <v>#REF!</v>
      </c>
      <c r="G772" s="4"/>
      <c r="H772" s="4"/>
      <c r="I772" s="4"/>
      <c r="J772" s="4"/>
    </row>
    <row r="773" spans="1:10" x14ac:dyDescent="0.2">
      <c r="A773" t="e">
        <f>LEFT(#REF!,10)</f>
        <v>#REF!</v>
      </c>
      <c r="B773" s="4" t="e">
        <f>(#REF!-#REF!)/#REF!</f>
        <v>#REF!</v>
      </c>
      <c r="C773" s="4" t="e">
        <f>(#REF!-#REF!)/#REF!</f>
        <v>#REF!</v>
      </c>
      <c r="D773" s="4" t="e">
        <f>LN(#REF!/#REF!)</f>
        <v>#REF!</v>
      </c>
      <c r="E773" s="4" t="e">
        <f t="shared" ref="E773:E836" si="13">_xlfn.STDEV.S(D773:D792)</f>
        <v>#REF!</v>
      </c>
      <c r="F773" s="4" t="e" cm="1">
        <f t="array" ref="F773">AVERAGE(B773:B2280-$I$4/252)/_xlfn.STDEV.S(B773:B2280-$I$4)</f>
        <v>#REF!</v>
      </c>
      <c r="G773" s="4"/>
      <c r="H773" s="4"/>
      <c r="I773" s="4"/>
      <c r="J773" s="4"/>
    </row>
    <row r="774" spans="1:10" x14ac:dyDescent="0.2">
      <c r="A774" t="e">
        <f>LEFT(#REF!,10)</f>
        <v>#REF!</v>
      </c>
      <c r="B774" s="4" t="e">
        <f>(#REF!-#REF!)/#REF!</f>
        <v>#REF!</v>
      </c>
      <c r="C774" s="4" t="e">
        <f>(#REF!-#REF!)/#REF!</f>
        <v>#REF!</v>
      </c>
      <c r="D774" s="4" t="e">
        <f>LN(#REF!/#REF!)</f>
        <v>#REF!</v>
      </c>
      <c r="E774" s="4" t="e">
        <f t="shared" si="13"/>
        <v>#REF!</v>
      </c>
      <c r="F774" s="4" t="e" cm="1">
        <f t="array" ref="F774">AVERAGE(B774:B2281-$I$4/252)/_xlfn.STDEV.S(B774:B2281-$I$4)</f>
        <v>#REF!</v>
      </c>
      <c r="G774" s="4"/>
      <c r="H774" s="4"/>
      <c r="I774" s="4"/>
      <c r="J774" s="4"/>
    </row>
    <row r="775" spans="1:10" x14ac:dyDescent="0.2">
      <c r="A775" t="e">
        <f>LEFT(#REF!,10)</f>
        <v>#REF!</v>
      </c>
      <c r="B775" s="4" t="e">
        <f>(#REF!-#REF!)/#REF!</f>
        <v>#REF!</v>
      </c>
      <c r="C775" s="4" t="e">
        <f>(#REF!-#REF!)/#REF!</f>
        <v>#REF!</v>
      </c>
      <c r="D775" s="4" t="e">
        <f>LN(#REF!/#REF!)</f>
        <v>#REF!</v>
      </c>
      <c r="E775" s="4" t="e">
        <f t="shared" si="13"/>
        <v>#REF!</v>
      </c>
      <c r="F775" s="4" t="e" cm="1">
        <f t="array" ref="F775">AVERAGE(B775:B2282-$I$4/252)/_xlfn.STDEV.S(B775:B2282-$I$4)</f>
        <v>#REF!</v>
      </c>
      <c r="G775" s="4"/>
      <c r="H775" s="4"/>
      <c r="I775" s="4"/>
      <c r="J775" s="4"/>
    </row>
    <row r="776" spans="1:10" x14ac:dyDescent="0.2">
      <c r="A776" t="e">
        <f>LEFT(#REF!,10)</f>
        <v>#REF!</v>
      </c>
      <c r="B776" s="4" t="e">
        <f>(#REF!-#REF!)/#REF!</f>
        <v>#REF!</v>
      </c>
      <c r="C776" s="4" t="e">
        <f>(#REF!-#REF!)/#REF!</f>
        <v>#REF!</v>
      </c>
      <c r="D776" s="4" t="e">
        <f>LN(#REF!/#REF!)</f>
        <v>#REF!</v>
      </c>
      <c r="E776" s="4" t="e">
        <f t="shared" si="13"/>
        <v>#REF!</v>
      </c>
      <c r="F776" s="4" t="e" cm="1">
        <f t="array" ref="F776">AVERAGE(B776:B2283-$I$4/252)/_xlfn.STDEV.S(B776:B2283-$I$4)</f>
        <v>#REF!</v>
      </c>
      <c r="G776" s="4"/>
      <c r="H776" s="4"/>
      <c r="I776" s="4"/>
      <c r="J776" s="4"/>
    </row>
    <row r="777" spans="1:10" x14ac:dyDescent="0.2">
      <c r="A777" t="e">
        <f>LEFT(#REF!,10)</f>
        <v>#REF!</v>
      </c>
      <c r="B777" s="4" t="e">
        <f>(#REF!-#REF!)/#REF!</f>
        <v>#REF!</v>
      </c>
      <c r="C777" s="4" t="e">
        <f>(#REF!-#REF!)/#REF!</f>
        <v>#REF!</v>
      </c>
      <c r="D777" s="4" t="e">
        <f>LN(#REF!/#REF!)</f>
        <v>#REF!</v>
      </c>
      <c r="E777" s="4" t="e">
        <f t="shared" si="13"/>
        <v>#REF!</v>
      </c>
      <c r="F777" s="4" t="e" cm="1">
        <f t="array" ref="F777">AVERAGE(B777:B2284-$I$4/252)/_xlfn.STDEV.S(B777:B2284-$I$4)</f>
        <v>#REF!</v>
      </c>
      <c r="G777" s="4"/>
      <c r="H777" s="4"/>
      <c r="I777" s="4"/>
      <c r="J777" s="4"/>
    </row>
    <row r="778" spans="1:10" x14ac:dyDescent="0.2">
      <c r="A778" t="e">
        <f>LEFT(#REF!,10)</f>
        <v>#REF!</v>
      </c>
      <c r="B778" s="4" t="e">
        <f>(#REF!-#REF!)/#REF!</f>
        <v>#REF!</v>
      </c>
      <c r="C778" s="4" t="e">
        <f>(#REF!-#REF!)/#REF!</f>
        <v>#REF!</v>
      </c>
      <c r="D778" s="4" t="e">
        <f>LN(#REF!/#REF!)</f>
        <v>#REF!</v>
      </c>
      <c r="E778" s="4" t="e">
        <f t="shared" si="13"/>
        <v>#REF!</v>
      </c>
      <c r="F778" s="4" t="e" cm="1">
        <f t="array" ref="F778">AVERAGE(B778:B2285-$I$4/252)/_xlfn.STDEV.S(B778:B2285-$I$4)</f>
        <v>#REF!</v>
      </c>
      <c r="G778" s="4"/>
      <c r="H778" s="4"/>
      <c r="I778" s="4"/>
      <c r="J778" s="4"/>
    </row>
    <row r="779" spans="1:10" x14ac:dyDescent="0.2">
      <c r="A779" t="e">
        <f>LEFT(#REF!,10)</f>
        <v>#REF!</v>
      </c>
      <c r="B779" s="4" t="e">
        <f>(#REF!-#REF!)/#REF!</f>
        <v>#REF!</v>
      </c>
      <c r="C779" s="4" t="e">
        <f>(#REF!-#REF!)/#REF!</f>
        <v>#REF!</v>
      </c>
      <c r="D779" s="4" t="e">
        <f>LN(#REF!/#REF!)</f>
        <v>#REF!</v>
      </c>
      <c r="E779" s="4" t="e">
        <f t="shared" si="13"/>
        <v>#REF!</v>
      </c>
      <c r="F779" s="4" t="e" cm="1">
        <f t="array" ref="F779">AVERAGE(B779:B2286-$I$4/252)/_xlfn.STDEV.S(B779:B2286-$I$4)</f>
        <v>#REF!</v>
      </c>
      <c r="G779" s="4"/>
      <c r="H779" s="4"/>
      <c r="I779" s="4"/>
      <c r="J779" s="4"/>
    </row>
    <row r="780" spans="1:10" x14ac:dyDescent="0.2">
      <c r="A780" t="e">
        <f>LEFT(#REF!,10)</f>
        <v>#REF!</v>
      </c>
      <c r="B780" s="4" t="e">
        <f>(#REF!-#REF!)/#REF!</f>
        <v>#REF!</v>
      </c>
      <c r="C780" s="4" t="e">
        <f>(#REF!-#REF!)/#REF!</f>
        <v>#REF!</v>
      </c>
      <c r="D780" s="4" t="e">
        <f>LN(#REF!/#REF!)</f>
        <v>#REF!</v>
      </c>
      <c r="E780" s="4" t="e">
        <f t="shared" si="13"/>
        <v>#REF!</v>
      </c>
      <c r="F780" s="4" t="e" cm="1">
        <f t="array" ref="F780">AVERAGE(B780:B2287-$I$4/252)/_xlfn.STDEV.S(B780:B2287-$I$4)</f>
        <v>#REF!</v>
      </c>
      <c r="G780" s="4"/>
      <c r="H780" s="4"/>
      <c r="I780" s="4"/>
      <c r="J780" s="4"/>
    </row>
    <row r="781" spans="1:10" x14ac:dyDescent="0.2">
      <c r="A781" t="e">
        <f>LEFT(#REF!,10)</f>
        <v>#REF!</v>
      </c>
      <c r="B781" s="4" t="e">
        <f>(#REF!-#REF!)/#REF!</f>
        <v>#REF!</v>
      </c>
      <c r="C781" s="4" t="e">
        <f>(#REF!-#REF!)/#REF!</f>
        <v>#REF!</v>
      </c>
      <c r="D781" s="4" t="e">
        <f>LN(#REF!/#REF!)</f>
        <v>#REF!</v>
      </c>
      <c r="E781" s="4" t="e">
        <f t="shared" si="13"/>
        <v>#REF!</v>
      </c>
      <c r="F781" s="4" t="e" cm="1">
        <f t="array" ref="F781">AVERAGE(B781:B2288-$I$4/252)/_xlfn.STDEV.S(B781:B2288-$I$4)</f>
        <v>#REF!</v>
      </c>
      <c r="G781" s="4"/>
      <c r="H781" s="4"/>
      <c r="I781" s="4"/>
      <c r="J781" s="4"/>
    </row>
    <row r="782" spans="1:10" x14ac:dyDescent="0.2">
      <c r="A782" t="e">
        <f>LEFT(#REF!,10)</f>
        <v>#REF!</v>
      </c>
      <c r="B782" s="4" t="e">
        <f>(#REF!-#REF!)/#REF!</f>
        <v>#REF!</v>
      </c>
      <c r="C782" s="4" t="e">
        <f>(#REF!-#REF!)/#REF!</f>
        <v>#REF!</v>
      </c>
      <c r="D782" s="4" t="e">
        <f>LN(#REF!/#REF!)</f>
        <v>#REF!</v>
      </c>
      <c r="E782" s="4" t="e">
        <f t="shared" si="13"/>
        <v>#REF!</v>
      </c>
      <c r="F782" s="4" t="e" cm="1">
        <f t="array" ref="F782">AVERAGE(B782:B2289-$I$4/252)/_xlfn.STDEV.S(B782:B2289-$I$4)</f>
        <v>#REF!</v>
      </c>
      <c r="G782" s="4"/>
      <c r="H782" s="4"/>
      <c r="I782" s="4"/>
      <c r="J782" s="4"/>
    </row>
    <row r="783" spans="1:10" x14ac:dyDescent="0.2">
      <c r="A783" t="e">
        <f>LEFT(#REF!,10)</f>
        <v>#REF!</v>
      </c>
      <c r="B783" s="4" t="e">
        <f>(#REF!-#REF!)/#REF!</f>
        <v>#REF!</v>
      </c>
      <c r="C783" s="4" t="e">
        <f>(#REF!-#REF!)/#REF!</f>
        <v>#REF!</v>
      </c>
      <c r="D783" s="4" t="e">
        <f>LN(#REF!/#REF!)</f>
        <v>#REF!</v>
      </c>
      <c r="E783" s="4" t="e">
        <f t="shared" si="13"/>
        <v>#REF!</v>
      </c>
      <c r="F783" s="4" t="e" cm="1">
        <f t="array" ref="F783">AVERAGE(B783:B2290-$I$4/252)/_xlfn.STDEV.S(B783:B2290-$I$4)</f>
        <v>#REF!</v>
      </c>
      <c r="G783" s="4"/>
      <c r="H783" s="4"/>
      <c r="I783" s="4"/>
      <c r="J783" s="4"/>
    </row>
    <row r="784" spans="1:10" x14ac:dyDescent="0.2">
      <c r="A784" t="e">
        <f>LEFT(#REF!,10)</f>
        <v>#REF!</v>
      </c>
      <c r="B784" s="4" t="e">
        <f>(#REF!-#REF!)/#REF!</f>
        <v>#REF!</v>
      </c>
      <c r="C784" s="4" t="e">
        <f>(#REF!-#REF!)/#REF!</f>
        <v>#REF!</v>
      </c>
      <c r="D784" s="4" t="e">
        <f>LN(#REF!/#REF!)</f>
        <v>#REF!</v>
      </c>
      <c r="E784" s="4" t="e">
        <f t="shared" si="13"/>
        <v>#REF!</v>
      </c>
      <c r="F784" s="4" t="e" cm="1">
        <f t="array" ref="F784">AVERAGE(B784:B2291-$I$4/252)/_xlfn.STDEV.S(B784:B2291-$I$4)</f>
        <v>#REF!</v>
      </c>
      <c r="G784" s="4"/>
      <c r="H784" s="4"/>
      <c r="I784" s="4"/>
      <c r="J784" s="4"/>
    </row>
    <row r="785" spans="1:10" x14ac:dyDescent="0.2">
      <c r="A785" t="e">
        <f>LEFT(#REF!,10)</f>
        <v>#REF!</v>
      </c>
      <c r="B785" s="4" t="e">
        <f>(#REF!-#REF!)/#REF!</f>
        <v>#REF!</v>
      </c>
      <c r="C785" s="4" t="e">
        <f>(#REF!-#REF!)/#REF!</f>
        <v>#REF!</v>
      </c>
      <c r="D785" s="4" t="e">
        <f>LN(#REF!/#REF!)</f>
        <v>#REF!</v>
      </c>
      <c r="E785" s="4" t="e">
        <f t="shared" si="13"/>
        <v>#REF!</v>
      </c>
      <c r="F785" s="4" t="e" cm="1">
        <f t="array" ref="F785">AVERAGE(B785:B2292-$I$4/252)/_xlfn.STDEV.S(B785:B2292-$I$4)</f>
        <v>#REF!</v>
      </c>
      <c r="G785" s="4"/>
      <c r="H785" s="4"/>
      <c r="I785" s="4"/>
      <c r="J785" s="4"/>
    </row>
    <row r="786" spans="1:10" x14ac:dyDescent="0.2">
      <c r="A786" t="e">
        <f>LEFT(#REF!,10)</f>
        <v>#REF!</v>
      </c>
      <c r="B786" s="4" t="e">
        <f>(#REF!-#REF!)/#REF!</f>
        <v>#REF!</v>
      </c>
      <c r="C786" s="4" t="e">
        <f>(#REF!-#REF!)/#REF!</f>
        <v>#REF!</v>
      </c>
      <c r="D786" s="4" t="e">
        <f>LN(#REF!/#REF!)</f>
        <v>#REF!</v>
      </c>
      <c r="E786" s="4" t="e">
        <f t="shared" si="13"/>
        <v>#REF!</v>
      </c>
      <c r="F786" s="4" t="e" cm="1">
        <f t="array" ref="F786">AVERAGE(B786:B2293-$I$4/252)/_xlfn.STDEV.S(B786:B2293-$I$4)</f>
        <v>#REF!</v>
      </c>
      <c r="G786" s="4"/>
      <c r="H786" s="4"/>
      <c r="I786" s="4"/>
      <c r="J786" s="4"/>
    </row>
    <row r="787" spans="1:10" x14ac:dyDescent="0.2">
      <c r="A787" t="e">
        <f>LEFT(#REF!,10)</f>
        <v>#REF!</v>
      </c>
      <c r="B787" s="4" t="e">
        <f>(#REF!-#REF!)/#REF!</f>
        <v>#REF!</v>
      </c>
      <c r="C787" s="4" t="e">
        <f>(#REF!-#REF!)/#REF!</f>
        <v>#REF!</v>
      </c>
      <c r="D787" s="4" t="e">
        <f>LN(#REF!/#REF!)</f>
        <v>#REF!</v>
      </c>
      <c r="E787" s="4" t="e">
        <f t="shared" si="13"/>
        <v>#REF!</v>
      </c>
      <c r="F787" s="4" t="e" cm="1">
        <f t="array" ref="F787">AVERAGE(B787:B2294-$I$4/252)/_xlfn.STDEV.S(B787:B2294-$I$4)</f>
        <v>#REF!</v>
      </c>
      <c r="G787" s="4"/>
      <c r="H787" s="4"/>
      <c r="I787" s="4"/>
      <c r="J787" s="4"/>
    </row>
    <row r="788" spans="1:10" x14ac:dyDescent="0.2">
      <c r="A788" t="e">
        <f>LEFT(#REF!,10)</f>
        <v>#REF!</v>
      </c>
      <c r="B788" s="4" t="e">
        <f>(#REF!-#REF!)/#REF!</f>
        <v>#REF!</v>
      </c>
      <c r="C788" s="4" t="e">
        <f>(#REF!-#REF!)/#REF!</f>
        <v>#REF!</v>
      </c>
      <c r="D788" s="4" t="e">
        <f>LN(#REF!/#REF!)</f>
        <v>#REF!</v>
      </c>
      <c r="E788" s="4" t="e">
        <f t="shared" si="13"/>
        <v>#REF!</v>
      </c>
      <c r="F788" s="4" t="e" cm="1">
        <f t="array" ref="F788">AVERAGE(B788:B2295-$I$4/252)/_xlfn.STDEV.S(B788:B2295-$I$4)</f>
        <v>#REF!</v>
      </c>
      <c r="G788" s="4"/>
      <c r="H788" s="4"/>
      <c r="I788" s="4"/>
      <c r="J788" s="4"/>
    </row>
    <row r="789" spans="1:10" x14ac:dyDescent="0.2">
      <c r="A789" t="e">
        <f>LEFT(#REF!,10)</f>
        <v>#REF!</v>
      </c>
      <c r="B789" s="4" t="e">
        <f>(#REF!-#REF!)/#REF!</f>
        <v>#REF!</v>
      </c>
      <c r="C789" s="4" t="e">
        <f>(#REF!-#REF!)/#REF!</f>
        <v>#REF!</v>
      </c>
      <c r="D789" s="4" t="e">
        <f>LN(#REF!/#REF!)</f>
        <v>#REF!</v>
      </c>
      <c r="E789" s="4" t="e">
        <f t="shared" si="13"/>
        <v>#REF!</v>
      </c>
      <c r="F789" s="4" t="e" cm="1">
        <f t="array" ref="F789">AVERAGE(B789:B2296-$I$4/252)/_xlfn.STDEV.S(B789:B2296-$I$4)</f>
        <v>#REF!</v>
      </c>
      <c r="G789" s="4"/>
      <c r="H789" s="4"/>
      <c r="I789" s="4"/>
      <c r="J789" s="4"/>
    </row>
    <row r="790" spans="1:10" x14ac:dyDescent="0.2">
      <c r="A790" t="e">
        <f>LEFT(#REF!,10)</f>
        <v>#REF!</v>
      </c>
      <c r="B790" s="4" t="e">
        <f>(#REF!-#REF!)/#REF!</f>
        <v>#REF!</v>
      </c>
      <c r="C790" s="4" t="e">
        <f>(#REF!-#REF!)/#REF!</f>
        <v>#REF!</v>
      </c>
      <c r="D790" s="4" t="e">
        <f>LN(#REF!/#REF!)</f>
        <v>#REF!</v>
      </c>
      <c r="E790" s="4" t="e">
        <f t="shared" si="13"/>
        <v>#REF!</v>
      </c>
      <c r="F790" s="4" t="e" cm="1">
        <f t="array" ref="F790">AVERAGE(B790:B2297-$I$4/252)/_xlfn.STDEV.S(B790:B2297-$I$4)</f>
        <v>#REF!</v>
      </c>
      <c r="G790" s="4"/>
      <c r="H790" s="4"/>
      <c r="I790" s="4"/>
      <c r="J790" s="4"/>
    </row>
    <row r="791" spans="1:10" x14ac:dyDescent="0.2">
      <c r="A791" t="e">
        <f>LEFT(#REF!,10)</f>
        <v>#REF!</v>
      </c>
      <c r="B791" s="4" t="e">
        <f>(#REF!-#REF!)/#REF!</f>
        <v>#REF!</v>
      </c>
      <c r="C791" s="4" t="e">
        <f>(#REF!-#REF!)/#REF!</f>
        <v>#REF!</v>
      </c>
      <c r="D791" s="4" t="e">
        <f>LN(#REF!/#REF!)</f>
        <v>#REF!</v>
      </c>
      <c r="E791" s="4" t="e">
        <f t="shared" si="13"/>
        <v>#REF!</v>
      </c>
      <c r="F791" s="4" t="e" cm="1">
        <f t="array" ref="F791">AVERAGE(B791:B2298-$I$4/252)/_xlfn.STDEV.S(B791:B2298-$I$4)</f>
        <v>#REF!</v>
      </c>
      <c r="G791" s="4"/>
      <c r="H791" s="4"/>
      <c r="I791" s="4"/>
      <c r="J791" s="4"/>
    </row>
    <row r="792" spans="1:10" x14ac:dyDescent="0.2">
      <c r="A792" t="e">
        <f>LEFT(#REF!,10)</f>
        <v>#REF!</v>
      </c>
      <c r="B792" s="4" t="e">
        <f>(#REF!-#REF!)/#REF!</f>
        <v>#REF!</v>
      </c>
      <c r="C792" s="4" t="e">
        <f>(#REF!-#REF!)/#REF!</f>
        <v>#REF!</v>
      </c>
      <c r="D792" s="4" t="e">
        <f>LN(#REF!/#REF!)</f>
        <v>#REF!</v>
      </c>
      <c r="E792" s="4" t="e">
        <f t="shared" si="13"/>
        <v>#REF!</v>
      </c>
      <c r="F792" s="4" t="e" cm="1">
        <f t="array" ref="F792">AVERAGE(B792:B2299-$I$4/252)/_xlfn.STDEV.S(B792:B2299-$I$4)</f>
        <v>#REF!</v>
      </c>
      <c r="G792" s="4"/>
      <c r="H792" s="4"/>
      <c r="I792" s="4"/>
      <c r="J792" s="4"/>
    </row>
    <row r="793" spans="1:10" x14ac:dyDescent="0.2">
      <c r="A793" t="e">
        <f>LEFT(#REF!,10)</f>
        <v>#REF!</v>
      </c>
      <c r="B793" s="4" t="e">
        <f>(#REF!-#REF!)/#REF!</f>
        <v>#REF!</v>
      </c>
      <c r="C793" s="4" t="e">
        <f>(#REF!-#REF!)/#REF!</f>
        <v>#REF!</v>
      </c>
      <c r="D793" s="4" t="e">
        <f>LN(#REF!/#REF!)</f>
        <v>#REF!</v>
      </c>
      <c r="E793" s="4" t="e">
        <f t="shared" si="13"/>
        <v>#REF!</v>
      </c>
      <c r="F793" s="4" t="e" cm="1">
        <f t="array" ref="F793">AVERAGE(B793:B2300-$I$4/252)/_xlfn.STDEV.S(B793:B2300-$I$4)</f>
        <v>#REF!</v>
      </c>
      <c r="G793" s="4"/>
      <c r="H793" s="4"/>
      <c r="I793" s="4"/>
      <c r="J793" s="4"/>
    </row>
    <row r="794" spans="1:10" x14ac:dyDescent="0.2">
      <c r="A794" t="e">
        <f>LEFT(#REF!,10)</f>
        <v>#REF!</v>
      </c>
      <c r="B794" s="4" t="e">
        <f>(#REF!-#REF!)/#REF!</f>
        <v>#REF!</v>
      </c>
      <c r="C794" s="4" t="e">
        <f>(#REF!-#REF!)/#REF!</f>
        <v>#REF!</v>
      </c>
      <c r="D794" s="4" t="e">
        <f>LN(#REF!/#REF!)</f>
        <v>#REF!</v>
      </c>
      <c r="E794" s="4" t="e">
        <f t="shared" si="13"/>
        <v>#REF!</v>
      </c>
      <c r="F794" s="4" t="e" cm="1">
        <f t="array" ref="F794">AVERAGE(B794:B2301-$I$4/252)/_xlfn.STDEV.S(B794:B2301-$I$4)</f>
        <v>#REF!</v>
      </c>
      <c r="G794" s="4"/>
      <c r="H794" s="4"/>
      <c r="I794" s="4"/>
      <c r="J794" s="4"/>
    </row>
    <row r="795" spans="1:10" x14ac:dyDescent="0.2">
      <c r="A795" t="e">
        <f>LEFT(#REF!,10)</f>
        <v>#REF!</v>
      </c>
      <c r="B795" s="4" t="e">
        <f>(#REF!-#REF!)/#REF!</f>
        <v>#REF!</v>
      </c>
      <c r="C795" s="4" t="e">
        <f>(#REF!-#REF!)/#REF!</f>
        <v>#REF!</v>
      </c>
      <c r="D795" s="4" t="e">
        <f>LN(#REF!/#REF!)</f>
        <v>#REF!</v>
      </c>
      <c r="E795" s="4" t="e">
        <f t="shared" si="13"/>
        <v>#REF!</v>
      </c>
      <c r="F795" s="4" t="e" cm="1">
        <f t="array" ref="F795">AVERAGE(B795:B2302-$I$4/252)/_xlfn.STDEV.S(B795:B2302-$I$4)</f>
        <v>#REF!</v>
      </c>
      <c r="G795" s="4"/>
      <c r="H795" s="4"/>
      <c r="I795" s="4"/>
      <c r="J795" s="4"/>
    </row>
    <row r="796" spans="1:10" x14ac:dyDescent="0.2">
      <c r="A796" t="e">
        <f>LEFT(#REF!,10)</f>
        <v>#REF!</v>
      </c>
      <c r="B796" s="4" t="e">
        <f>(#REF!-#REF!)/#REF!</f>
        <v>#REF!</v>
      </c>
      <c r="C796" s="4" t="e">
        <f>(#REF!-#REF!)/#REF!</f>
        <v>#REF!</v>
      </c>
      <c r="D796" s="4" t="e">
        <f>LN(#REF!/#REF!)</f>
        <v>#REF!</v>
      </c>
      <c r="E796" s="4" t="e">
        <f t="shared" si="13"/>
        <v>#REF!</v>
      </c>
      <c r="F796" s="4" t="e" cm="1">
        <f t="array" ref="F796">AVERAGE(B796:B2303-$I$4/252)/_xlfn.STDEV.S(B796:B2303-$I$4)</f>
        <v>#REF!</v>
      </c>
      <c r="G796" s="4"/>
      <c r="H796" s="4"/>
      <c r="I796" s="4"/>
      <c r="J796" s="4"/>
    </row>
    <row r="797" spans="1:10" x14ac:dyDescent="0.2">
      <c r="A797" t="e">
        <f>LEFT(#REF!,10)</f>
        <v>#REF!</v>
      </c>
      <c r="B797" s="4" t="e">
        <f>(#REF!-#REF!)/#REF!</f>
        <v>#REF!</v>
      </c>
      <c r="C797" s="4" t="e">
        <f>(#REF!-#REF!)/#REF!</f>
        <v>#REF!</v>
      </c>
      <c r="D797" s="4" t="e">
        <f>LN(#REF!/#REF!)</f>
        <v>#REF!</v>
      </c>
      <c r="E797" s="4" t="e">
        <f t="shared" si="13"/>
        <v>#REF!</v>
      </c>
      <c r="F797" s="4" t="e" cm="1">
        <f t="array" ref="F797">AVERAGE(B797:B2304-$I$4/252)/_xlfn.STDEV.S(B797:B2304-$I$4)</f>
        <v>#REF!</v>
      </c>
      <c r="G797" s="4"/>
      <c r="H797" s="4"/>
      <c r="I797" s="4"/>
      <c r="J797" s="4"/>
    </row>
    <row r="798" spans="1:10" x14ac:dyDescent="0.2">
      <c r="A798" t="e">
        <f>LEFT(#REF!,10)</f>
        <v>#REF!</v>
      </c>
      <c r="B798" s="4" t="e">
        <f>(#REF!-#REF!)/#REF!</f>
        <v>#REF!</v>
      </c>
      <c r="C798" s="4" t="e">
        <f>(#REF!-#REF!)/#REF!</f>
        <v>#REF!</v>
      </c>
      <c r="D798" s="4" t="e">
        <f>LN(#REF!/#REF!)</f>
        <v>#REF!</v>
      </c>
      <c r="E798" s="4" t="e">
        <f t="shared" si="13"/>
        <v>#REF!</v>
      </c>
      <c r="F798" s="4" t="e" cm="1">
        <f t="array" ref="F798">AVERAGE(B798:B2305-$I$4/252)/_xlfn.STDEV.S(B798:B2305-$I$4)</f>
        <v>#REF!</v>
      </c>
      <c r="G798" s="4"/>
      <c r="H798" s="4"/>
      <c r="I798" s="4"/>
      <c r="J798" s="4"/>
    </row>
    <row r="799" spans="1:10" x14ac:dyDescent="0.2">
      <c r="A799" t="e">
        <f>LEFT(#REF!,10)</f>
        <v>#REF!</v>
      </c>
      <c r="B799" s="4" t="e">
        <f>(#REF!-#REF!)/#REF!</f>
        <v>#REF!</v>
      </c>
      <c r="C799" s="4" t="e">
        <f>(#REF!-#REF!)/#REF!</f>
        <v>#REF!</v>
      </c>
      <c r="D799" s="4" t="e">
        <f>LN(#REF!/#REF!)</f>
        <v>#REF!</v>
      </c>
      <c r="E799" s="4" t="e">
        <f t="shared" si="13"/>
        <v>#REF!</v>
      </c>
      <c r="F799" s="4" t="e" cm="1">
        <f t="array" ref="F799">AVERAGE(B799:B2306-$I$4/252)/_xlfn.STDEV.S(B799:B2306-$I$4)</f>
        <v>#REF!</v>
      </c>
      <c r="G799" s="4"/>
      <c r="H799" s="4"/>
      <c r="I799" s="4"/>
      <c r="J799" s="4"/>
    </row>
    <row r="800" spans="1:10" x14ac:dyDescent="0.2">
      <c r="A800" t="e">
        <f>LEFT(#REF!,10)</f>
        <v>#REF!</v>
      </c>
      <c r="B800" s="4" t="e">
        <f>(#REF!-#REF!)/#REF!</f>
        <v>#REF!</v>
      </c>
      <c r="C800" s="4" t="e">
        <f>(#REF!-#REF!)/#REF!</f>
        <v>#REF!</v>
      </c>
      <c r="D800" s="4" t="e">
        <f>LN(#REF!/#REF!)</f>
        <v>#REF!</v>
      </c>
      <c r="E800" s="4" t="e">
        <f t="shared" si="13"/>
        <v>#REF!</v>
      </c>
      <c r="F800" s="4" t="e" cm="1">
        <f t="array" ref="F800">AVERAGE(B800:B2307-$I$4/252)/_xlfn.STDEV.S(B800:B2307-$I$4)</f>
        <v>#REF!</v>
      </c>
      <c r="G800" s="4"/>
      <c r="H800" s="4"/>
      <c r="I800" s="4"/>
      <c r="J800" s="4"/>
    </row>
    <row r="801" spans="1:10" x14ac:dyDescent="0.2">
      <c r="A801" t="e">
        <f>LEFT(#REF!,10)</f>
        <v>#REF!</v>
      </c>
      <c r="B801" s="4" t="e">
        <f>(#REF!-#REF!)/#REF!</f>
        <v>#REF!</v>
      </c>
      <c r="C801" s="4" t="e">
        <f>(#REF!-#REF!)/#REF!</f>
        <v>#REF!</v>
      </c>
      <c r="D801" s="4" t="e">
        <f>LN(#REF!/#REF!)</f>
        <v>#REF!</v>
      </c>
      <c r="E801" s="4" t="e">
        <f t="shared" si="13"/>
        <v>#REF!</v>
      </c>
      <c r="F801" s="4" t="e" cm="1">
        <f t="array" ref="F801">AVERAGE(B801:B2308-$I$4/252)/_xlfn.STDEV.S(B801:B2308-$I$4)</f>
        <v>#REF!</v>
      </c>
      <c r="G801" s="4"/>
      <c r="H801" s="4"/>
      <c r="I801" s="4"/>
      <c r="J801" s="4"/>
    </row>
    <row r="802" spans="1:10" x14ac:dyDescent="0.2">
      <c r="A802" t="e">
        <f>LEFT(#REF!,10)</f>
        <v>#REF!</v>
      </c>
      <c r="B802" s="4" t="e">
        <f>(#REF!-#REF!)/#REF!</f>
        <v>#REF!</v>
      </c>
      <c r="C802" s="4" t="e">
        <f>(#REF!-#REF!)/#REF!</f>
        <v>#REF!</v>
      </c>
      <c r="D802" s="4" t="e">
        <f>LN(#REF!/#REF!)</f>
        <v>#REF!</v>
      </c>
      <c r="E802" s="4" t="e">
        <f t="shared" si="13"/>
        <v>#REF!</v>
      </c>
      <c r="F802" s="4" t="e" cm="1">
        <f t="array" ref="F802">AVERAGE(B802:B2309-$I$4/252)/_xlfn.STDEV.S(B802:B2309-$I$4)</f>
        <v>#REF!</v>
      </c>
      <c r="G802" s="4"/>
      <c r="H802" s="4"/>
      <c r="I802" s="4"/>
      <c r="J802" s="4"/>
    </row>
    <row r="803" spans="1:10" x14ac:dyDescent="0.2">
      <c r="A803" t="e">
        <f>LEFT(#REF!,10)</f>
        <v>#REF!</v>
      </c>
      <c r="B803" s="4" t="e">
        <f>(#REF!-#REF!)/#REF!</f>
        <v>#REF!</v>
      </c>
      <c r="C803" s="4" t="e">
        <f>(#REF!-#REF!)/#REF!</f>
        <v>#REF!</v>
      </c>
      <c r="D803" s="4" t="e">
        <f>LN(#REF!/#REF!)</f>
        <v>#REF!</v>
      </c>
      <c r="E803" s="4" t="e">
        <f t="shared" si="13"/>
        <v>#REF!</v>
      </c>
      <c r="F803" s="4" t="e" cm="1">
        <f t="array" ref="F803">AVERAGE(B803:B2310-$I$4/252)/_xlfn.STDEV.S(B803:B2310-$I$4)</f>
        <v>#REF!</v>
      </c>
      <c r="G803" s="4"/>
      <c r="H803" s="4"/>
      <c r="I803" s="4"/>
      <c r="J803" s="4"/>
    </row>
    <row r="804" spans="1:10" x14ac:dyDescent="0.2">
      <c r="A804" t="e">
        <f>LEFT(#REF!,10)</f>
        <v>#REF!</v>
      </c>
      <c r="B804" s="4" t="e">
        <f>(#REF!-#REF!)/#REF!</f>
        <v>#REF!</v>
      </c>
      <c r="C804" s="4" t="e">
        <f>(#REF!-#REF!)/#REF!</f>
        <v>#REF!</v>
      </c>
      <c r="D804" s="4" t="e">
        <f>LN(#REF!/#REF!)</f>
        <v>#REF!</v>
      </c>
      <c r="E804" s="4" t="e">
        <f t="shared" si="13"/>
        <v>#REF!</v>
      </c>
      <c r="F804" s="4" t="e" cm="1">
        <f t="array" ref="F804">AVERAGE(B804:B2311-$I$4/252)/_xlfn.STDEV.S(B804:B2311-$I$4)</f>
        <v>#REF!</v>
      </c>
      <c r="G804" s="4"/>
      <c r="H804" s="4"/>
      <c r="I804" s="4"/>
      <c r="J804" s="4"/>
    </row>
    <row r="805" spans="1:10" x14ac:dyDescent="0.2">
      <c r="A805" t="e">
        <f>LEFT(#REF!,10)</f>
        <v>#REF!</v>
      </c>
      <c r="B805" s="4" t="e">
        <f>(#REF!-#REF!)/#REF!</f>
        <v>#REF!</v>
      </c>
      <c r="C805" s="4" t="e">
        <f>(#REF!-#REF!)/#REF!</f>
        <v>#REF!</v>
      </c>
      <c r="D805" s="4" t="e">
        <f>LN(#REF!/#REF!)</f>
        <v>#REF!</v>
      </c>
      <c r="E805" s="4" t="e">
        <f t="shared" si="13"/>
        <v>#REF!</v>
      </c>
      <c r="F805" s="4" t="e" cm="1">
        <f t="array" ref="F805">AVERAGE(B805:B2312-$I$4/252)/_xlfn.STDEV.S(B805:B2312-$I$4)</f>
        <v>#REF!</v>
      </c>
      <c r="G805" s="4"/>
      <c r="H805" s="4"/>
      <c r="I805" s="4"/>
      <c r="J805" s="4"/>
    </row>
    <row r="806" spans="1:10" x14ac:dyDescent="0.2">
      <c r="A806" t="e">
        <f>LEFT(#REF!,10)</f>
        <v>#REF!</v>
      </c>
      <c r="B806" s="4" t="e">
        <f>(#REF!-#REF!)/#REF!</f>
        <v>#REF!</v>
      </c>
      <c r="C806" s="4" t="e">
        <f>(#REF!-#REF!)/#REF!</f>
        <v>#REF!</v>
      </c>
      <c r="D806" s="4" t="e">
        <f>LN(#REF!/#REF!)</f>
        <v>#REF!</v>
      </c>
      <c r="E806" s="4" t="e">
        <f t="shared" si="13"/>
        <v>#REF!</v>
      </c>
      <c r="F806" s="4" t="e" cm="1">
        <f t="array" ref="F806">AVERAGE(B806:B2313-$I$4/252)/_xlfn.STDEV.S(B806:B2313-$I$4)</f>
        <v>#REF!</v>
      </c>
      <c r="G806" s="4"/>
      <c r="H806" s="4"/>
      <c r="I806" s="4"/>
      <c r="J806" s="4"/>
    </row>
    <row r="807" spans="1:10" x14ac:dyDescent="0.2">
      <c r="A807" t="e">
        <f>LEFT(#REF!,10)</f>
        <v>#REF!</v>
      </c>
      <c r="B807" s="4" t="e">
        <f>(#REF!-#REF!)/#REF!</f>
        <v>#REF!</v>
      </c>
      <c r="C807" s="4" t="e">
        <f>(#REF!-#REF!)/#REF!</f>
        <v>#REF!</v>
      </c>
      <c r="D807" s="4" t="e">
        <f>LN(#REF!/#REF!)</f>
        <v>#REF!</v>
      </c>
      <c r="E807" s="4" t="e">
        <f t="shared" si="13"/>
        <v>#REF!</v>
      </c>
      <c r="F807" s="4" t="e" cm="1">
        <f t="array" ref="F807">AVERAGE(B807:B2314-$I$4/252)/_xlfn.STDEV.S(B807:B2314-$I$4)</f>
        <v>#REF!</v>
      </c>
      <c r="G807" s="4"/>
      <c r="H807" s="4"/>
      <c r="I807" s="4"/>
      <c r="J807" s="4"/>
    </row>
    <row r="808" spans="1:10" x14ac:dyDescent="0.2">
      <c r="A808" t="e">
        <f>LEFT(#REF!,10)</f>
        <v>#REF!</v>
      </c>
      <c r="B808" s="4" t="e">
        <f>(#REF!-#REF!)/#REF!</f>
        <v>#REF!</v>
      </c>
      <c r="C808" s="4" t="e">
        <f>(#REF!-#REF!)/#REF!</f>
        <v>#REF!</v>
      </c>
      <c r="D808" s="4" t="e">
        <f>LN(#REF!/#REF!)</f>
        <v>#REF!</v>
      </c>
      <c r="E808" s="4" t="e">
        <f t="shared" si="13"/>
        <v>#REF!</v>
      </c>
      <c r="F808" s="4" t="e" cm="1">
        <f t="array" ref="F808">AVERAGE(B808:B2315-$I$4/252)/_xlfn.STDEV.S(B808:B2315-$I$4)</f>
        <v>#REF!</v>
      </c>
      <c r="G808" s="4"/>
      <c r="H808" s="4"/>
      <c r="I808" s="4"/>
      <c r="J808" s="4"/>
    </row>
    <row r="809" spans="1:10" x14ac:dyDescent="0.2">
      <c r="A809" t="e">
        <f>LEFT(#REF!,10)</f>
        <v>#REF!</v>
      </c>
      <c r="B809" s="4" t="e">
        <f>(#REF!-#REF!)/#REF!</f>
        <v>#REF!</v>
      </c>
      <c r="C809" s="4" t="e">
        <f>(#REF!-#REF!)/#REF!</f>
        <v>#REF!</v>
      </c>
      <c r="D809" s="4" t="e">
        <f>LN(#REF!/#REF!)</f>
        <v>#REF!</v>
      </c>
      <c r="E809" s="4" t="e">
        <f t="shared" si="13"/>
        <v>#REF!</v>
      </c>
      <c r="F809" s="4" t="e" cm="1">
        <f t="array" ref="F809">AVERAGE(B809:B2316-$I$4/252)/_xlfn.STDEV.S(B809:B2316-$I$4)</f>
        <v>#REF!</v>
      </c>
      <c r="G809" s="4"/>
      <c r="H809" s="4"/>
      <c r="I809" s="4"/>
      <c r="J809" s="4"/>
    </row>
    <row r="810" spans="1:10" x14ac:dyDescent="0.2">
      <c r="A810" t="e">
        <f>LEFT(#REF!,10)</f>
        <v>#REF!</v>
      </c>
      <c r="B810" s="4" t="e">
        <f>(#REF!-#REF!)/#REF!</f>
        <v>#REF!</v>
      </c>
      <c r="C810" s="4" t="e">
        <f>(#REF!-#REF!)/#REF!</f>
        <v>#REF!</v>
      </c>
      <c r="D810" s="4" t="e">
        <f>LN(#REF!/#REF!)</f>
        <v>#REF!</v>
      </c>
      <c r="E810" s="4" t="e">
        <f t="shared" si="13"/>
        <v>#REF!</v>
      </c>
      <c r="F810" s="4" t="e" cm="1">
        <f t="array" ref="F810">AVERAGE(B810:B2317-$I$4/252)/_xlfn.STDEV.S(B810:B2317-$I$4)</f>
        <v>#REF!</v>
      </c>
      <c r="G810" s="4"/>
      <c r="H810" s="4"/>
      <c r="I810" s="4"/>
      <c r="J810" s="4"/>
    </row>
    <row r="811" spans="1:10" x14ac:dyDescent="0.2">
      <c r="A811" t="e">
        <f>LEFT(#REF!,10)</f>
        <v>#REF!</v>
      </c>
      <c r="B811" s="4" t="e">
        <f>(#REF!-#REF!)/#REF!</f>
        <v>#REF!</v>
      </c>
      <c r="C811" s="4" t="e">
        <f>(#REF!-#REF!)/#REF!</f>
        <v>#REF!</v>
      </c>
      <c r="D811" s="4" t="e">
        <f>LN(#REF!/#REF!)</f>
        <v>#REF!</v>
      </c>
      <c r="E811" s="4" t="e">
        <f t="shared" si="13"/>
        <v>#REF!</v>
      </c>
      <c r="F811" s="4" t="e" cm="1">
        <f t="array" ref="F811">AVERAGE(B811:B2318-$I$4/252)/_xlfn.STDEV.S(B811:B2318-$I$4)</f>
        <v>#REF!</v>
      </c>
      <c r="G811" s="4"/>
      <c r="H811" s="4"/>
      <c r="I811" s="4"/>
      <c r="J811" s="4"/>
    </row>
    <row r="812" spans="1:10" x14ac:dyDescent="0.2">
      <c r="A812" t="e">
        <f>LEFT(#REF!,10)</f>
        <v>#REF!</v>
      </c>
      <c r="B812" s="4" t="e">
        <f>(#REF!-#REF!)/#REF!</f>
        <v>#REF!</v>
      </c>
      <c r="C812" s="4" t="e">
        <f>(#REF!-#REF!)/#REF!</f>
        <v>#REF!</v>
      </c>
      <c r="D812" s="4" t="e">
        <f>LN(#REF!/#REF!)</f>
        <v>#REF!</v>
      </c>
      <c r="E812" s="4" t="e">
        <f t="shared" si="13"/>
        <v>#REF!</v>
      </c>
      <c r="F812" s="4" t="e" cm="1">
        <f t="array" ref="F812">AVERAGE(B812:B2319-$I$4/252)/_xlfn.STDEV.S(B812:B2319-$I$4)</f>
        <v>#REF!</v>
      </c>
      <c r="G812" s="4"/>
      <c r="H812" s="4"/>
      <c r="I812" s="4"/>
      <c r="J812" s="4"/>
    </row>
    <row r="813" spans="1:10" x14ac:dyDescent="0.2">
      <c r="A813" t="e">
        <f>LEFT(#REF!,10)</f>
        <v>#REF!</v>
      </c>
      <c r="B813" s="4" t="e">
        <f>(#REF!-#REF!)/#REF!</f>
        <v>#REF!</v>
      </c>
      <c r="C813" s="4" t="e">
        <f>(#REF!-#REF!)/#REF!</f>
        <v>#REF!</v>
      </c>
      <c r="D813" s="4" t="e">
        <f>LN(#REF!/#REF!)</f>
        <v>#REF!</v>
      </c>
      <c r="E813" s="4" t="e">
        <f t="shared" si="13"/>
        <v>#REF!</v>
      </c>
      <c r="F813" s="4" t="e" cm="1">
        <f t="array" ref="F813">AVERAGE(B813:B2320-$I$4/252)/_xlfn.STDEV.S(B813:B2320-$I$4)</f>
        <v>#REF!</v>
      </c>
      <c r="G813" s="4"/>
      <c r="H813" s="4"/>
      <c r="I813" s="4"/>
      <c r="J813" s="4"/>
    </row>
    <row r="814" spans="1:10" x14ac:dyDescent="0.2">
      <c r="A814" t="e">
        <f>LEFT(#REF!,10)</f>
        <v>#REF!</v>
      </c>
      <c r="B814" s="4" t="e">
        <f>(#REF!-#REF!)/#REF!</f>
        <v>#REF!</v>
      </c>
      <c r="C814" s="4" t="e">
        <f>(#REF!-#REF!)/#REF!</f>
        <v>#REF!</v>
      </c>
      <c r="D814" s="4" t="e">
        <f>LN(#REF!/#REF!)</f>
        <v>#REF!</v>
      </c>
      <c r="E814" s="4" t="e">
        <f t="shared" si="13"/>
        <v>#REF!</v>
      </c>
      <c r="F814" s="4" t="e" cm="1">
        <f t="array" ref="F814">AVERAGE(B814:B2321-$I$4/252)/_xlfn.STDEV.S(B814:B2321-$I$4)</f>
        <v>#REF!</v>
      </c>
      <c r="G814" s="4"/>
      <c r="H814" s="4"/>
      <c r="I814" s="4"/>
      <c r="J814" s="4"/>
    </row>
    <row r="815" spans="1:10" x14ac:dyDescent="0.2">
      <c r="A815" t="e">
        <f>LEFT(#REF!,10)</f>
        <v>#REF!</v>
      </c>
      <c r="B815" s="4" t="e">
        <f>(#REF!-#REF!)/#REF!</f>
        <v>#REF!</v>
      </c>
      <c r="C815" s="4" t="e">
        <f>(#REF!-#REF!)/#REF!</f>
        <v>#REF!</v>
      </c>
      <c r="D815" s="4" t="e">
        <f>LN(#REF!/#REF!)</f>
        <v>#REF!</v>
      </c>
      <c r="E815" s="4" t="e">
        <f t="shared" si="13"/>
        <v>#REF!</v>
      </c>
      <c r="F815" s="4" t="e" cm="1">
        <f t="array" ref="F815">AVERAGE(B815:B2322-$I$4/252)/_xlfn.STDEV.S(B815:B2322-$I$4)</f>
        <v>#REF!</v>
      </c>
      <c r="G815" s="4"/>
      <c r="H815" s="4"/>
      <c r="I815" s="4"/>
      <c r="J815" s="4"/>
    </row>
    <row r="816" spans="1:10" x14ac:dyDescent="0.2">
      <c r="A816" t="e">
        <f>LEFT(#REF!,10)</f>
        <v>#REF!</v>
      </c>
      <c r="B816" s="4" t="e">
        <f>(#REF!-#REF!)/#REF!</f>
        <v>#REF!</v>
      </c>
      <c r="C816" s="4" t="e">
        <f>(#REF!-#REF!)/#REF!</f>
        <v>#REF!</v>
      </c>
      <c r="D816" s="4" t="e">
        <f>LN(#REF!/#REF!)</f>
        <v>#REF!</v>
      </c>
      <c r="E816" s="4" t="e">
        <f t="shared" si="13"/>
        <v>#REF!</v>
      </c>
      <c r="F816" s="4" t="e" cm="1">
        <f t="array" ref="F816">AVERAGE(B816:B2323-$I$4/252)/_xlfn.STDEV.S(B816:B2323-$I$4)</f>
        <v>#REF!</v>
      </c>
      <c r="G816" s="4"/>
      <c r="H816" s="4"/>
      <c r="I816" s="4"/>
      <c r="J816" s="4"/>
    </row>
    <row r="817" spans="1:10" x14ac:dyDescent="0.2">
      <c r="A817" t="e">
        <f>LEFT(#REF!,10)</f>
        <v>#REF!</v>
      </c>
      <c r="B817" s="4" t="e">
        <f>(#REF!-#REF!)/#REF!</f>
        <v>#REF!</v>
      </c>
      <c r="C817" s="4" t="e">
        <f>(#REF!-#REF!)/#REF!</f>
        <v>#REF!</v>
      </c>
      <c r="D817" s="4" t="e">
        <f>LN(#REF!/#REF!)</f>
        <v>#REF!</v>
      </c>
      <c r="E817" s="4" t="e">
        <f t="shared" si="13"/>
        <v>#REF!</v>
      </c>
      <c r="F817" s="4" t="e" cm="1">
        <f t="array" ref="F817">AVERAGE(B817:B2324-$I$4/252)/_xlfn.STDEV.S(B817:B2324-$I$4)</f>
        <v>#REF!</v>
      </c>
      <c r="G817" s="4"/>
      <c r="H817" s="4"/>
      <c r="I817" s="4"/>
      <c r="J817" s="4"/>
    </row>
    <row r="818" spans="1:10" x14ac:dyDescent="0.2">
      <c r="A818" t="e">
        <f>LEFT(#REF!,10)</f>
        <v>#REF!</v>
      </c>
      <c r="B818" s="4" t="e">
        <f>(#REF!-#REF!)/#REF!</f>
        <v>#REF!</v>
      </c>
      <c r="C818" s="4" t="e">
        <f>(#REF!-#REF!)/#REF!</f>
        <v>#REF!</v>
      </c>
      <c r="D818" s="4" t="e">
        <f>LN(#REF!/#REF!)</f>
        <v>#REF!</v>
      </c>
      <c r="E818" s="4" t="e">
        <f t="shared" si="13"/>
        <v>#REF!</v>
      </c>
      <c r="F818" s="4" t="e" cm="1">
        <f t="array" ref="F818">AVERAGE(B818:B2325-$I$4/252)/_xlfn.STDEV.S(B818:B2325-$I$4)</f>
        <v>#REF!</v>
      </c>
      <c r="G818" s="4"/>
      <c r="H818" s="4"/>
      <c r="I818" s="4"/>
      <c r="J818" s="4"/>
    </row>
    <row r="819" spans="1:10" x14ac:dyDescent="0.2">
      <c r="A819" t="e">
        <f>LEFT(#REF!,10)</f>
        <v>#REF!</v>
      </c>
      <c r="B819" s="4" t="e">
        <f>(#REF!-#REF!)/#REF!</f>
        <v>#REF!</v>
      </c>
      <c r="C819" s="4" t="e">
        <f>(#REF!-#REF!)/#REF!</f>
        <v>#REF!</v>
      </c>
      <c r="D819" s="4" t="e">
        <f>LN(#REF!/#REF!)</f>
        <v>#REF!</v>
      </c>
      <c r="E819" s="4" t="e">
        <f t="shared" si="13"/>
        <v>#REF!</v>
      </c>
      <c r="F819" s="4" t="e" cm="1">
        <f t="array" ref="F819">AVERAGE(B819:B2326-$I$4/252)/_xlfn.STDEV.S(B819:B2326-$I$4)</f>
        <v>#REF!</v>
      </c>
      <c r="G819" s="4"/>
      <c r="H819" s="4"/>
      <c r="I819" s="4"/>
      <c r="J819" s="4"/>
    </row>
    <row r="820" spans="1:10" x14ac:dyDescent="0.2">
      <c r="A820" t="e">
        <f>LEFT(#REF!,10)</f>
        <v>#REF!</v>
      </c>
      <c r="B820" s="4" t="e">
        <f>(#REF!-#REF!)/#REF!</f>
        <v>#REF!</v>
      </c>
      <c r="C820" s="4" t="e">
        <f>(#REF!-#REF!)/#REF!</f>
        <v>#REF!</v>
      </c>
      <c r="D820" s="4" t="e">
        <f>LN(#REF!/#REF!)</f>
        <v>#REF!</v>
      </c>
      <c r="E820" s="4" t="e">
        <f t="shared" si="13"/>
        <v>#REF!</v>
      </c>
      <c r="F820" s="4" t="e" cm="1">
        <f t="array" ref="F820">AVERAGE(B820:B2327-$I$4/252)/_xlfn.STDEV.S(B820:B2327-$I$4)</f>
        <v>#REF!</v>
      </c>
      <c r="G820" s="4"/>
      <c r="H820" s="4"/>
      <c r="I820" s="4"/>
      <c r="J820" s="4"/>
    </row>
    <row r="821" spans="1:10" x14ac:dyDescent="0.2">
      <c r="A821" t="e">
        <f>LEFT(#REF!,10)</f>
        <v>#REF!</v>
      </c>
      <c r="B821" s="4" t="e">
        <f>(#REF!-#REF!)/#REF!</f>
        <v>#REF!</v>
      </c>
      <c r="C821" s="4" t="e">
        <f>(#REF!-#REF!)/#REF!</f>
        <v>#REF!</v>
      </c>
      <c r="D821" s="4" t="e">
        <f>LN(#REF!/#REF!)</f>
        <v>#REF!</v>
      </c>
      <c r="E821" s="4" t="e">
        <f t="shared" si="13"/>
        <v>#REF!</v>
      </c>
      <c r="F821" s="4" t="e" cm="1">
        <f t="array" ref="F821">AVERAGE(B821:B2328-$I$4/252)/_xlfn.STDEV.S(B821:B2328-$I$4)</f>
        <v>#REF!</v>
      </c>
      <c r="G821" s="4"/>
      <c r="H821" s="4"/>
      <c r="I821" s="4"/>
      <c r="J821" s="4"/>
    </row>
    <row r="822" spans="1:10" x14ac:dyDescent="0.2">
      <c r="A822" t="e">
        <f>LEFT(#REF!,10)</f>
        <v>#REF!</v>
      </c>
      <c r="B822" s="4" t="e">
        <f>(#REF!-#REF!)/#REF!</f>
        <v>#REF!</v>
      </c>
      <c r="C822" s="4" t="e">
        <f>(#REF!-#REF!)/#REF!</f>
        <v>#REF!</v>
      </c>
      <c r="D822" s="4" t="e">
        <f>LN(#REF!/#REF!)</f>
        <v>#REF!</v>
      </c>
      <c r="E822" s="4" t="e">
        <f t="shared" si="13"/>
        <v>#REF!</v>
      </c>
      <c r="F822" s="4" t="e" cm="1">
        <f t="array" ref="F822">AVERAGE(B822:B2329-$I$4/252)/_xlfn.STDEV.S(B822:B2329-$I$4)</f>
        <v>#REF!</v>
      </c>
      <c r="G822" s="4"/>
      <c r="H822" s="4"/>
      <c r="I822" s="4"/>
      <c r="J822" s="4"/>
    </row>
    <row r="823" spans="1:10" x14ac:dyDescent="0.2">
      <c r="A823" t="e">
        <f>LEFT(#REF!,10)</f>
        <v>#REF!</v>
      </c>
      <c r="B823" s="4" t="e">
        <f>(#REF!-#REF!)/#REF!</f>
        <v>#REF!</v>
      </c>
      <c r="C823" s="4" t="e">
        <f>(#REF!-#REF!)/#REF!</f>
        <v>#REF!</v>
      </c>
      <c r="D823" s="4" t="e">
        <f>LN(#REF!/#REF!)</f>
        <v>#REF!</v>
      </c>
      <c r="E823" s="4" t="e">
        <f t="shared" si="13"/>
        <v>#REF!</v>
      </c>
      <c r="F823" s="4" t="e" cm="1">
        <f t="array" ref="F823">AVERAGE(B823:B2330-$I$4/252)/_xlfn.STDEV.S(B823:B2330-$I$4)</f>
        <v>#REF!</v>
      </c>
      <c r="G823" s="4"/>
      <c r="H823" s="4"/>
      <c r="I823" s="4"/>
      <c r="J823" s="4"/>
    </row>
    <row r="824" spans="1:10" x14ac:dyDescent="0.2">
      <c r="A824" t="e">
        <f>LEFT(#REF!,10)</f>
        <v>#REF!</v>
      </c>
      <c r="B824" s="4" t="e">
        <f>(#REF!-#REF!)/#REF!</f>
        <v>#REF!</v>
      </c>
      <c r="C824" s="4" t="e">
        <f>(#REF!-#REF!)/#REF!</f>
        <v>#REF!</v>
      </c>
      <c r="D824" s="4" t="e">
        <f>LN(#REF!/#REF!)</f>
        <v>#REF!</v>
      </c>
      <c r="E824" s="4" t="e">
        <f t="shared" si="13"/>
        <v>#REF!</v>
      </c>
      <c r="F824" s="4" t="e" cm="1">
        <f t="array" ref="F824">AVERAGE(B824:B2331-$I$4/252)/_xlfn.STDEV.S(B824:B2331-$I$4)</f>
        <v>#REF!</v>
      </c>
      <c r="G824" s="4"/>
      <c r="H824" s="4"/>
      <c r="I824" s="4"/>
      <c r="J824" s="4"/>
    </row>
    <row r="825" spans="1:10" x14ac:dyDescent="0.2">
      <c r="A825" t="e">
        <f>LEFT(#REF!,10)</f>
        <v>#REF!</v>
      </c>
      <c r="B825" s="4" t="e">
        <f>(#REF!-#REF!)/#REF!</f>
        <v>#REF!</v>
      </c>
      <c r="C825" s="4" t="e">
        <f>(#REF!-#REF!)/#REF!</f>
        <v>#REF!</v>
      </c>
      <c r="D825" s="4" t="e">
        <f>LN(#REF!/#REF!)</f>
        <v>#REF!</v>
      </c>
      <c r="E825" s="4" t="e">
        <f t="shared" si="13"/>
        <v>#REF!</v>
      </c>
      <c r="F825" s="4" t="e" cm="1">
        <f t="array" ref="F825">AVERAGE(B825:B2332-$I$4/252)/_xlfn.STDEV.S(B825:B2332-$I$4)</f>
        <v>#REF!</v>
      </c>
      <c r="G825" s="4"/>
      <c r="H825" s="4"/>
      <c r="I825" s="4"/>
      <c r="J825" s="4"/>
    </row>
    <row r="826" spans="1:10" x14ac:dyDescent="0.2">
      <c r="A826" t="e">
        <f>LEFT(#REF!,10)</f>
        <v>#REF!</v>
      </c>
      <c r="B826" s="4" t="e">
        <f>(#REF!-#REF!)/#REF!</f>
        <v>#REF!</v>
      </c>
      <c r="C826" s="4" t="e">
        <f>(#REF!-#REF!)/#REF!</f>
        <v>#REF!</v>
      </c>
      <c r="D826" s="4" t="e">
        <f>LN(#REF!/#REF!)</f>
        <v>#REF!</v>
      </c>
      <c r="E826" s="4" t="e">
        <f t="shared" si="13"/>
        <v>#REF!</v>
      </c>
      <c r="F826" s="4" t="e" cm="1">
        <f t="array" ref="F826">AVERAGE(B826:B2333-$I$4/252)/_xlfn.STDEV.S(B826:B2333-$I$4)</f>
        <v>#REF!</v>
      </c>
      <c r="G826" s="4"/>
      <c r="H826" s="4"/>
      <c r="I826" s="4"/>
      <c r="J826" s="4"/>
    </row>
    <row r="827" spans="1:10" x14ac:dyDescent="0.2">
      <c r="A827" t="e">
        <f>LEFT(#REF!,10)</f>
        <v>#REF!</v>
      </c>
      <c r="B827" s="4" t="e">
        <f>(#REF!-#REF!)/#REF!</f>
        <v>#REF!</v>
      </c>
      <c r="C827" s="4" t="e">
        <f>(#REF!-#REF!)/#REF!</f>
        <v>#REF!</v>
      </c>
      <c r="D827" s="4" t="e">
        <f>LN(#REF!/#REF!)</f>
        <v>#REF!</v>
      </c>
      <c r="E827" s="4" t="e">
        <f t="shared" si="13"/>
        <v>#REF!</v>
      </c>
      <c r="F827" s="4" t="e" cm="1">
        <f t="array" ref="F827">AVERAGE(B827:B2334-$I$4/252)/_xlfn.STDEV.S(B827:B2334-$I$4)</f>
        <v>#REF!</v>
      </c>
      <c r="G827" s="4"/>
      <c r="H827" s="4"/>
      <c r="I827" s="4"/>
      <c r="J827" s="4"/>
    </row>
    <row r="828" spans="1:10" x14ac:dyDescent="0.2">
      <c r="A828" t="e">
        <f>LEFT(#REF!,10)</f>
        <v>#REF!</v>
      </c>
      <c r="B828" s="4" t="e">
        <f>(#REF!-#REF!)/#REF!</f>
        <v>#REF!</v>
      </c>
      <c r="C828" s="4" t="e">
        <f>(#REF!-#REF!)/#REF!</f>
        <v>#REF!</v>
      </c>
      <c r="D828" s="4" t="e">
        <f>LN(#REF!/#REF!)</f>
        <v>#REF!</v>
      </c>
      <c r="E828" s="4" t="e">
        <f t="shared" si="13"/>
        <v>#REF!</v>
      </c>
      <c r="F828" s="4" t="e" cm="1">
        <f t="array" ref="F828">AVERAGE(B828:B2335-$I$4/252)/_xlfn.STDEV.S(B828:B2335-$I$4)</f>
        <v>#REF!</v>
      </c>
      <c r="G828" s="4"/>
      <c r="H828" s="4"/>
      <c r="I828" s="4"/>
      <c r="J828" s="4"/>
    </row>
    <row r="829" spans="1:10" x14ac:dyDescent="0.2">
      <c r="A829" t="e">
        <f>LEFT(#REF!,10)</f>
        <v>#REF!</v>
      </c>
      <c r="B829" s="4" t="e">
        <f>(#REF!-#REF!)/#REF!</f>
        <v>#REF!</v>
      </c>
      <c r="C829" s="4" t="e">
        <f>(#REF!-#REF!)/#REF!</f>
        <v>#REF!</v>
      </c>
      <c r="D829" s="4" t="e">
        <f>LN(#REF!/#REF!)</f>
        <v>#REF!</v>
      </c>
      <c r="E829" s="4" t="e">
        <f t="shared" si="13"/>
        <v>#REF!</v>
      </c>
      <c r="F829" s="4" t="e" cm="1">
        <f t="array" ref="F829">AVERAGE(B829:B2336-$I$4/252)/_xlfn.STDEV.S(B829:B2336-$I$4)</f>
        <v>#REF!</v>
      </c>
      <c r="G829" s="4"/>
      <c r="H829" s="4"/>
      <c r="I829" s="4"/>
      <c r="J829" s="4"/>
    </row>
    <row r="830" spans="1:10" x14ac:dyDescent="0.2">
      <c r="A830" t="e">
        <f>LEFT(#REF!,10)</f>
        <v>#REF!</v>
      </c>
      <c r="B830" s="4" t="e">
        <f>(#REF!-#REF!)/#REF!</f>
        <v>#REF!</v>
      </c>
      <c r="C830" s="4" t="e">
        <f>(#REF!-#REF!)/#REF!</f>
        <v>#REF!</v>
      </c>
      <c r="D830" s="4" t="e">
        <f>LN(#REF!/#REF!)</f>
        <v>#REF!</v>
      </c>
      <c r="E830" s="4" t="e">
        <f t="shared" si="13"/>
        <v>#REF!</v>
      </c>
      <c r="F830" s="4" t="e" cm="1">
        <f t="array" ref="F830">AVERAGE(B830:B2337-$I$4/252)/_xlfn.STDEV.S(B830:B2337-$I$4)</f>
        <v>#REF!</v>
      </c>
      <c r="G830" s="4"/>
      <c r="H830" s="4"/>
      <c r="I830" s="4"/>
      <c r="J830" s="4"/>
    </row>
    <row r="831" spans="1:10" x14ac:dyDescent="0.2">
      <c r="A831" t="e">
        <f>LEFT(#REF!,10)</f>
        <v>#REF!</v>
      </c>
      <c r="B831" s="4" t="e">
        <f>(#REF!-#REF!)/#REF!</f>
        <v>#REF!</v>
      </c>
      <c r="C831" s="4" t="e">
        <f>(#REF!-#REF!)/#REF!</f>
        <v>#REF!</v>
      </c>
      <c r="D831" s="4" t="e">
        <f>LN(#REF!/#REF!)</f>
        <v>#REF!</v>
      </c>
      <c r="E831" s="4" t="e">
        <f t="shared" si="13"/>
        <v>#REF!</v>
      </c>
      <c r="F831" s="4" t="e" cm="1">
        <f t="array" ref="F831">AVERAGE(B831:B2338-$I$4/252)/_xlfn.STDEV.S(B831:B2338-$I$4)</f>
        <v>#REF!</v>
      </c>
      <c r="G831" s="4"/>
      <c r="H831" s="4"/>
      <c r="I831" s="4"/>
      <c r="J831" s="4"/>
    </row>
    <row r="832" spans="1:10" x14ac:dyDescent="0.2">
      <c r="A832" t="e">
        <f>LEFT(#REF!,10)</f>
        <v>#REF!</v>
      </c>
      <c r="B832" s="4" t="e">
        <f>(#REF!-#REF!)/#REF!</f>
        <v>#REF!</v>
      </c>
      <c r="C832" s="4" t="e">
        <f>(#REF!-#REF!)/#REF!</f>
        <v>#REF!</v>
      </c>
      <c r="D832" s="4" t="e">
        <f>LN(#REF!/#REF!)</f>
        <v>#REF!</v>
      </c>
      <c r="E832" s="4" t="e">
        <f t="shared" si="13"/>
        <v>#REF!</v>
      </c>
      <c r="F832" s="4" t="e" cm="1">
        <f t="array" ref="F832">AVERAGE(B832:B2339-$I$4/252)/_xlfn.STDEV.S(B832:B2339-$I$4)</f>
        <v>#REF!</v>
      </c>
      <c r="G832" s="4"/>
      <c r="H832" s="4"/>
      <c r="I832" s="4"/>
      <c r="J832" s="4"/>
    </row>
    <row r="833" spans="1:10" x14ac:dyDescent="0.2">
      <c r="A833" t="e">
        <f>LEFT(#REF!,10)</f>
        <v>#REF!</v>
      </c>
      <c r="B833" s="4" t="e">
        <f>(#REF!-#REF!)/#REF!</f>
        <v>#REF!</v>
      </c>
      <c r="C833" s="4" t="e">
        <f>(#REF!-#REF!)/#REF!</f>
        <v>#REF!</v>
      </c>
      <c r="D833" s="4" t="e">
        <f>LN(#REF!/#REF!)</f>
        <v>#REF!</v>
      </c>
      <c r="E833" s="4" t="e">
        <f t="shared" si="13"/>
        <v>#REF!</v>
      </c>
      <c r="F833" s="4" t="e" cm="1">
        <f t="array" ref="F833">AVERAGE(B833:B2340-$I$4/252)/_xlfn.STDEV.S(B833:B2340-$I$4)</f>
        <v>#REF!</v>
      </c>
      <c r="G833" s="4"/>
      <c r="H833" s="4"/>
      <c r="I833" s="4"/>
      <c r="J833" s="4"/>
    </row>
    <row r="834" spans="1:10" x14ac:dyDescent="0.2">
      <c r="A834" t="e">
        <f>LEFT(#REF!,10)</f>
        <v>#REF!</v>
      </c>
      <c r="B834" s="4" t="e">
        <f>(#REF!-#REF!)/#REF!</f>
        <v>#REF!</v>
      </c>
      <c r="C834" s="4" t="e">
        <f>(#REF!-#REF!)/#REF!</f>
        <v>#REF!</v>
      </c>
      <c r="D834" s="4" t="e">
        <f>LN(#REF!/#REF!)</f>
        <v>#REF!</v>
      </c>
      <c r="E834" s="4" t="e">
        <f t="shared" si="13"/>
        <v>#REF!</v>
      </c>
      <c r="F834" s="4" t="e" cm="1">
        <f t="array" ref="F834">AVERAGE(B834:B2341-$I$4/252)/_xlfn.STDEV.S(B834:B2341-$I$4)</f>
        <v>#REF!</v>
      </c>
      <c r="G834" s="4"/>
      <c r="H834" s="4"/>
      <c r="I834" s="4"/>
      <c r="J834" s="4"/>
    </row>
    <row r="835" spans="1:10" x14ac:dyDescent="0.2">
      <c r="A835" t="e">
        <f>LEFT(#REF!,10)</f>
        <v>#REF!</v>
      </c>
      <c r="B835" s="4" t="e">
        <f>(#REF!-#REF!)/#REF!</f>
        <v>#REF!</v>
      </c>
      <c r="C835" s="4" t="e">
        <f>(#REF!-#REF!)/#REF!</f>
        <v>#REF!</v>
      </c>
      <c r="D835" s="4" t="e">
        <f>LN(#REF!/#REF!)</f>
        <v>#REF!</v>
      </c>
      <c r="E835" s="4" t="e">
        <f t="shared" si="13"/>
        <v>#REF!</v>
      </c>
      <c r="F835" s="4" t="e" cm="1">
        <f t="array" ref="F835">AVERAGE(B835:B2342-$I$4/252)/_xlfn.STDEV.S(B835:B2342-$I$4)</f>
        <v>#REF!</v>
      </c>
      <c r="G835" s="4"/>
      <c r="H835" s="4"/>
      <c r="I835" s="4"/>
      <c r="J835" s="4"/>
    </row>
    <row r="836" spans="1:10" x14ac:dyDescent="0.2">
      <c r="A836" t="e">
        <f>LEFT(#REF!,10)</f>
        <v>#REF!</v>
      </c>
      <c r="B836" s="4" t="e">
        <f>(#REF!-#REF!)/#REF!</f>
        <v>#REF!</v>
      </c>
      <c r="C836" s="4" t="e">
        <f>(#REF!-#REF!)/#REF!</f>
        <v>#REF!</v>
      </c>
      <c r="D836" s="4" t="e">
        <f>LN(#REF!/#REF!)</f>
        <v>#REF!</v>
      </c>
      <c r="E836" s="4" t="e">
        <f t="shared" si="13"/>
        <v>#REF!</v>
      </c>
      <c r="F836" s="4" t="e" cm="1">
        <f t="array" ref="F836">AVERAGE(B836:B2343-$I$4/252)/_xlfn.STDEV.S(B836:B2343-$I$4)</f>
        <v>#REF!</v>
      </c>
      <c r="G836" s="4"/>
      <c r="H836" s="4"/>
      <c r="I836" s="4"/>
      <c r="J836" s="4"/>
    </row>
    <row r="837" spans="1:10" x14ac:dyDescent="0.2">
      <c r="A837" t="e">
        <f>LEFT(#REF!,10)</f>
        <v>#REF!</v>
      </c>
      <c r="B837" s="4" t="e">
        <f>(#REF!-#REF!)/#REF!</f>
        <v>#REF!</v>
      </c>
      <c r="C837" s="4" t="e">
        <f>(#REF!-#REF!)/#REF!</f>
        <v>#REF!</v>
      </c>
      <c r="D837" s="4" t="e">
        <f>LN(#REF!/#REF!)</f>
        <v>#REF!</v>
      </c>
      <c r="E837" s="4" t="e">
        <f t="shared" ref="E837:E900" si="14">_xlfn.STDEV.S(D837:D856)</f>
        <v>#REF!</v>
      </c>
      <c r="F837" s="4" t="e" cm="1">
        <f t="array" ref="F837">AVERAGE(B837:B2344-$I$4/252)/_xlfn.STDEV.S(B837:B2344-$I$4)</f>
        <v>#REF!</v>
      </c>
      <c r="G837" s="4"/>
      <c r="H837" s="4"/>
      <c r="I837" s="4"/>
      <c r="J837" s="4"/>
    </row>
    <row r="838" spans="1:10" x14ac:dyDescent="0.2">
      <c r="A838" t="e">
        <f>LEFT(#REF!,10)</f>
        <v>#REF!</v>
      </c>
      <c r="B838" s="4" t="e">
        <f>(#REF!-#REF!)/#REF!</f>
        <v>#REF!</v>
      </c>
      <c r="C838" s="4" t="e">
        <f>(#REF!-#REF!)/#REF!</f>
        <v>#REF!</v>
      </c>
      <c r="D838" s="4" t="e">
        <f>LN(#REF!/#REF!)</f>
        <v>#REF!</v>
      </c>
      <c r="E838" s="4" t="e">
        <f t="shared" si="14"/>
        <v>#REF!</v>
      </c>
      <c r="F838" s="4" t="e" cm="1">
        <f t="array" ref="F838">AVERAGE(B838:B2345-$I$4/252)/_xlfn.STDEV.S(B838:B2345-$I$4)</f>
        <v>#REF!</v>
      </c>
      <c r="G838" s="4"/>
      <c r="H838" s="4"/>
      <c r="I838" s="4"/>
      <c r="J838" s="4"/>
    </row>
    <row r="839" spans="1:10" x14ac:dyDescent="0.2">
      <c r="A839" t="e">
        <f>LEFT(#REF!,10)</f>
        <v>#REF!</v>
      </c>
      <c r="B839" s="4" t="e">
        <f>(#REF!-#REF!)/#REF!</f>
        <v>#REF!</v>
      </c>
      <c r="C839" s="4" t="e">
        <f>(#REF!-#REF!)/#REF!</f>
        <v>#REF!</v>
      </c>
      <c r="D839" s="4" t="e">
        <f>LN(#REF!/#REF!)</f>
        <v>#REF!</v>
      </c>
      <c r="E839" s="4" t="e">
        <f t="shared" si="14"/>
        <v>#REF!</v>
      </c>
      <c r="F839" s="4" t="e" cm="1">
        <f t="array" ref="F839">AVERAGE(B839:B2346-$I$4/252)/_xlfn.STDEV.S(B839:B2346-$I$4)</f>
        <v>#REF!</v>
      </c>
      <c r="G839" s="4"/>
      <c r="H839" s="4"/>
      <c r="I839" s="4"/>
      <c r="J839" s="4"/>
    </row>
    <row r="840" spans="1:10" x14ac:dyDescent="0.2">
      <c r="A840" t="e">
        <f>LEFT(#REF!,10)</f>
        <v>#REF!</v>
      </c>
      <c r="B840" s="4" t="e">
        <f>(#REF!-#REF!)/#REF!</f>
        <v>#REF!</v>
      </c>
      <c r="C840" s="4" t="e">
        <f>(#REF!-#REF!)/#REF!</f>
        <v>#REF!</v>
      </c>
      <c r="D840" s="4" t="e">
        <f>LN(#REF!/#REF!)</f>
        <v>#REF!</v>
      </c>
      <c r="E840" s="4" t="e">
        <f t="shared" si="14"/>
        <v>#REF!</v>
      </c>
      <c r="F840" s="4" t="e" cm="1">
        <f t="array" ref="F840">AVERAGE(B840:B2347-$I$4/252)/_xlfn.STDEV.S(B840:B2347-$I$4)</f>
        <v>#REF!</v>
      </c>
      <c r="G840" s="4"/>
      <c r="H840" s="4"/>
      <c r="I840" s="4"/>
      <c r="J840" s="4"/>
    </row>
    <row r="841" spans="1:10" x14ac:dyDescent="0.2">
      <c r="A841" t="e">
        <f>LEFT(#REF!,10)</f>
        <v>#REF!</v>
      </c>
      <c r="B841" s="4" t="e">
        <f>(#REF!-#REF!)/#REF!</f>
        <v>#REF!</v>
      </c>
      <c r="C841" s="4" t="e">
        <f>(#REF!-#REF!)/#REF!</f>
        <v>#REF!</v>
      </c>
      <c r="D841" s="4" t="e">
        <f>LN(#REF!/#REF!)</f>
        <v>#REF!</v>
      </c>
      <c r="E841" s="4" t="e">
        <f t="shared" si="14"/>
        <v>#REF!</v>
      </c>
      <c r="F841" s="4" t="e" cm="1">
        <f t="array" ref="F841">AVERAGE(B841:B2348-$I$4/252)/_xlfn.STDEV.S(B841:B2348-$I$4)</f>
        <v>#REF!</v>
      </c>
      <c r="G841" s="4"/>
      <c r="H841" s="4"/>
      <c r="I841" s="4"/>
      <c r="J841" s="4"/>
    </row>
    <row r="842" spans="1:10" x14ac:dyDescent="0.2">
      <c r="A842" t="e">
        <f>LEFT(#REF!,10)</f>
        <v>#REF!</v>
      </c>
      <c r="B842" s="4" t="e">
        <f>(#REF!-#REF!)/#REF!</f>
        <v>#REF!</v>
      </c>
      <c r="C842" s="4" t="e">
        <f>(#REF!-#REF!)/#REF!</f>
        <v>#REF!</v>
      </c>
      <c r="D842" s="4" t="e">
        <f>LN(#REF!/#REF!)</f>
        <v>#REF!</v>
      </c>
      <c r="E842" s="4" t="e">
        <f t="shared" si="14"/>
        <v>#REF!</v>
      </c>
      <c r="F842" s="4" t="e" cm="1">
        <f t="array" ref="F842">AVERAGE(B842:B2349-$I$4/252)/_xlfn.STDEV.S(B842:B2349-$I$4)</f>
        <v>#REF!</v>
      </c>
      <c r="G842" s="4"/>
      <c r="H842" s="4"/>
      <c r="I842" s="4"/>
      <c r="J842" s="4"/>
    </row>
    <row r="843" spans="1:10" x14ac:dyDescent="0.2">
      <c r="A843" t="e">
        <f>LEFT(#REF!,10)</f>
        <v>#REF!</v>
      </c>
      <c r="B843" s="4" t="e">
        <f>(#REF!-#REF!)/#REF!</f>
        <v>#REF!</v>
      </c>
      <c r="C843" s="4" t="e">
        <f>(#REF!-#REF!)/#REF!</f>
        <v>#REF!</v>
      </c>
      <c r="D843" s="4" t="e">
        <f>LN(#REF!/#REF!)</f>
        <v>#REF!</v>
      </c>
      <c r="E843" s="4" t="e">
        <f t="shared" si="14"/>
        <v>#REF!</v>
      </c>
      <c r="F843" s="4" t="e" cm="1">
        <f t="array" ref="F843">AVERAGE(B843:B2350-$I$4/252)/_xlfn.STDEV.S(B843:B2350-$I$4)</f>
        <v>#REF!</v>
      </c>
      <c r="G843" s="4"/>
      <c r="H843" s="4"/>
      <c r="I843" s="4"/>
      <c r="J843" s="4"/>
    </row>
    <row r="844" spans="1:10" x14ac:dyDescent="0.2">
      <c r="A844" t="e">
        <f>LEFT(#REF!,10)</f>
        <v>#REF!</v>
      </c>
      <c r="B844" s="4" t="e">
        <f>(#REF!-#REF!)/#REF!</f>
        <v>#REF!</v>
      </c>
      <c r="C844" s="4" t="e">
        <f>(#REF!-#REF!)/#REF!</f>
        <v>#REF!</v>
      </c>
      <c r="D844" s="4" t="e">
        <f>LN(#REF!/#REF!)</f>
        <v>#REF!</v>
      </c>
      <c r="E844" s="4" t="e">
        <f t="shared" si="14"/>
        <v>#REF!</v>
      </c>
      <c r="F844" s="4" t="e" cm="1">
        <f t="array" ref="F844">AVERAGE(B844:B2351-$I$4/252)/_xlfn.STDEV.S(B844:B2351-$I$4)</f>
        <v>#REF!</v>
      </c>
      <c r="G844" s="4"/>
      <c r="H844" s="4"/>
      <c r="I844" s="4"/>
      <c r="J844" s="4"/>
    </row>
    <row r="845" spans="1:10" x14ac:dyDescent="0.2">
      <c r="A845" t="e">
        <f>LEFT(#REF!,10)</f>
        <v>#REF!</v>
      </c>
      <c r="B845" s="4" t="e">
        <f>(#REF!-#REF!)/#REF!</f>
        <v>#REF!</v>
      </c>
      <c r="C845" s="4" t="e">
        <f>(#REF!-#REF!)/#REF!</f>
        <v>#REF!</v>
      </c>
      <c r="D845" s="4" t="e">
        <f>LN(#REF!/#REF!)</f>
        <v>#REF!</v>
      </c>
      <c r="E845" s="4" t="e">
        <f t="shared" si="14"/>
        <v>#REF!</v>
      </c>
      <c r="F845" s="4" t="e" cm="1">
        <f t="array" ref="F845">AVERAGE(B845:B2352-$I$4/252)/_xlfn.STDEV.S(B845:B2352-$I$4)</f>
        <v>#REF!</v>
      </c>
      <c r="G845" s="4"/>
      <c r="H845" s="4"/>
      <c r="I845" s="4"/>
      <c r="J845" s="4"/>
    </row>
    <row r="846" spans="1:10" x14ac:dyDescent="0.2">
      <c r="A846" t="e">
        <f>LEFT(#REF!,10)</f>
        <v>#REF!</v>
      </c>
      <c r="B846" s="4" t="e">
        <f>(#REF!-#REF!)/#REF!</f>
        <v>#REF!</v>
      </c>
      <c r="C846" s="4" t="e">
        <f>(#REF!-#REF!)/#REF!</f>
        <v>#REF!</v>
      </c>
      <c r="D846" s="4" t="e">
        <f>LN(#REF!/#REF!)</f>
        <v>#REF!</v>
      </c>
      <c r="E846" s="4" t="e">
        <f t="shared" si="14"/>
        <v>#REF!</v>
      </c>
      <c r="F846" s="4" t="e" cm="1">
        <f t="array" ref="F846">AVERAGE(B846:B2353-$I$4/252)/_xlfn.STDEV.S(B846:B2353-$I$4)</f>
        <v>#REF!</v>
      </c>
      <c r="G846" s="4"/>
      <c r="H846" s="4"/>
      <c r="I846" s="4"/>
      <c r="J846" s="4"/>
    </row>
    <row r="847" spans="1:10" x14ac:dyDescent="0.2">
      <c r="A847" t="e">
        <f>LEFT(#REF!,10)</f>
        <v>#REF!</v>
      </c>
      <c r="B847" s="4" t="e">
        <f>(#REF!-#REF!)/#REF!</f>
        <v>#REF!</v>
      </c>
      <c r="C847" s="4" t="e">
        <f>(#REF!-#REF!)/#REF!</f>
        <v>#REF!</v>
      </c>
      <c r="D847" s="4" t="e">
        <f>LN(#REF!/#REF!)</f>
        <v>#REF!</v>
      </c>
      <c r="E847" s="4" t="e">
        <f t="shared" si="14"/>
        <v>#REF!</v>
      </c>
      <c r="F847" s="4" t="e" cm="1">
        <f t="array" ref="F847">AVERAGE(B847:B2354-$I$4/252)/_xlfn.STDEV.S(B847:B2354-$I$4)</f>
        <v>#REF!</v>
      </c>
      <c r="G847" s="4"/>
      <c r="H847" s="4"/>
      <c r="I847" s="4"/>
      <c r="J847" s="4"/>
    </row>
    <row r="848" spans="1:10" x14ac:dyDescent="0.2">
      <c r="A848" t="e">
        <f>LEFT(#REF!,10)</f>
        <v>#REF!</v>
      </c>
      <c r="B848" s="4" t="e">
        <f>(#REF!-#REF!)/#REF!</f>
        <v>#REF!</v>
      </c>
      <c r="C848" s="4" t="e">
        <f>(#REF!-#REF!)/#REF!</f>
        <v>#REF!</v>
      </c>
      <c r="D848" s="4" t="e">
        <f>LN(#REF!/#REF!)</f>
        <v>#REF!</v>
      </c>
      <c r="E848" s="4" t="e">
        <f t="shared" si="14"/>
        <v>#REF!</v>
      </c>
      <c r="F848" s="4" t="e" cm="1">
        <f t="array" ref="F848">AVERAGE(B848:B2355-$I$4/252)/_xlfn.STDEV.S(B848:B2355-$I$4)</f>
        <v>#REF!</v>
      </c>
      <c r="G848" s="4"/>
      <c r="H848" s="4"/>
      <c r="I848" s="4"/>
      <c r="J848" s="4"/>
    </row>
    <row r="849" spans="1:10" x14ac:dyDescent="0.2">
      <c r="A849" t="e">
        <f>LEFT(#REF!,10)</f>
        <v>#REF!</v>
      </c>
      <c r="B849" s="4" t="e">
        <f>(#REF!-#REF!)/#REF!</f>
        <v>#REF!</v>
      </c>
      <c r="C849" s="4" t="e">
        <f>(#REF!-#REF!)/#REF!</f>
        <v>#REF!</v>
      </c>
      <c r="D849" s="4" t="e">
        <f>LN(#REF!/#REF!)</f>
        <v>#REF!</v>
      </c>
      <c r="E849" s="4" t="e">
        <f t="shared" si="14"/>
        <v>#REF!</v>
      </c>
      <c r="F849" s="4" t="e" cm="1">
        <f t="array" ref="F849">AVERAGE(B849:B2356-$I$4/252)/_xlfn.STDEV.S(B849:B2356-$I$4)</f>
        <v>#REF!</v>
      </c>
      <c r="G849" s="4"/>
      <c r="H849" s="4"/>
      <c r="I849" s="4"/>
      <c r="J849" s="4"/>
    </row>
    <row r="850" spans="1:10" x14ac:dyDescent="0.2">
      <c r="A850" t="e">
        <f>LEFT(#REF!,10)</f>
        <v>#REF!</v>
      </c>
      <c r="B850" s="4" t="e">
        <f>(#REF!-#REF!)/#REF!</f>
        <v>#REF!</v>
      </c>
      <c r="C850" s="4" t="e">
        <f>(#REF!-#REF!)/#REF!</f>
        <v>#REF!</v>
      </c>
      <c r="D850" s="4" t="e">
        <f>LN(#REF!/#REF!)</f>
        <v>#REF!</v>
      </c>
      <c r="E850" s="4" t="e">
        <f t="shared" si="14"/>
        <v>#REF!</v>
      </c>
      <c r="F850" s="4" t="e" cm="1">
        <f t="array" ref="F850">AVERAGE(B850:B2357-$I$4/252)/_xlfn.STDEV.S(B850:B2357-$I$4)</f>
        <v>#REF!</v>
      </c>
      <c r="G850" s="4"/>
      <c r="H850" s="4"/>
      <c r="I850" s="4"/>
      <c r="J850" s="4"/>
    </row>
    <row r="851" spans="1:10" x14ac:dyDescent="0.2">
      <c r="A851" t="e">
        <f>LEFT(#REF!,10)</f>
        <v>#REF!</v>
      </c>
      <c r="B851" s="4" t="e">
        <f>(#REF!-#REF!)/#REF!</f>
        <v>#REF!</v>
      </c>
      <c r="C851" s="4" t="e">
        <f>(#REF!-#REF!)/#REF!</f>
        <v>#REF!</v>
      </c>
      <c r="D851" s="4" t="e">
        <f>LN(#REF!/#REF!)</f>
        <v>#REF!</v>
      </c>
      <c r="E851" s="4" t="e">
        <f t="shared" si="14"/>
        <v>#REF!</v>
      </c>
      <c r="F851" s="4" t="e" cm="1">
        <f t="array" ref="F851">AVERAGE(B851:B2358-$I$4/252)/_xlfn.STDEV.S(B851:B2358-$I$4)</f>
        <v>#REF!</v>
      </c>
      <c r="G851" s="4"/>
      <c r="H851" s="4"/>
      <c r="I851" s="4"/>
      <c r="J851" s="4"/>
    </row>
    <row r="852" spans="1:10" x14ac:dyDescent="0.2">
      <c r="A852" t="e">
        <f>LEFT(#REF!,10)</f>
        <v>#REF!</v>
      </c>
      <c r="B852" s="4" t="e">
        <f>(#REF!-#REF!)/#REF!</f>
        <v>#REF!</v>
      </c>
      <c r="C852" s="4" t="e">
        <f>(#REF!-#REF!)/#REF!</f>
        <v>#REF!</v>
      </c>
      <c r="D852" s="4" t="e">
        <f>LN(#REF!/#REF!)</f>
        <v>#REF!</v>
      </c>
      <c r="E852" s="4" t="e">
        <f t="shared" si="14"/>
        <v>#REF!</v>
      </c>
      <c r="F852" s="4" t="e" cm="1">
        <f t="array" ref="F852">AVERAGE(B852:B2359-$I$4/252)/_xlfn.STDEV.S(B852:B2359-$I$4)</f>
        <v>#REF!</v>
      </c>
      <c r="G852" s="4"/>
      <c r="H852" s="4"/>
      <c r="I852" s="4"/>
      <c r="J852" s="4"/>
    </row>
    <row r="853" spans="1:10" x14ac:dyDescent="0.2">
      <c r="A853" t="e">
        <f>LEFT(#REF!,10)</f>
        <v>#REF!</v>
      </c>
      <c r="B853" s="4" t="e">
        <f>(#REF!-#REF!)/#REF!</f>
        <v>#REF!</v>
      </c>
      <c r="C853" s="4" t="e">
        <f>(#REF!-#REF!)/#REF!</f>
        <v>#REF!</v>
      </c>
      <c r="D853" s="4" t="e">
        <f>LN(#REF!/#REF!)</f>
        <v>#REF!</v>
      </c>
      <c r="E853" s="4" t="e">
        <f t="shared" si="14"/>
        <v>#REF!</v>
      </c>
      <c r="F853" s="4" t="e" cm="1">
        <f t="array" ref="F853">AVERAGE(B853:B2360-$I$4/252)/_xlfn.STDEV.S(B853:B2360-$I$4)</f>
        <v>#REF!</v>
      </c>
      <c r="G853" s="4"/>
      <c r="H853" s="4"/>
      <c r="I853" s="4"/>
      <c r="J853" s="4"/>
    </row>
    <row r="854" spans="1:10" x14ac:dyDescent="0.2">
      <c r="A854" t="e">
        <f>LEFT(#REF!,10)</f>
        <v>#REF!</v>
      </c>
      <c r="B854" s="4" t="e">
        <f>(#REF!-#REF!)/#REF!</f>
        <v>#REF!</v>
      </c>
      <c r="C854" s="4" t="e">
        <f>(#REF!-#REF!)/#REF!</f>
        <v>#REF!</v>
      </c>
      <c r="D854" s="4" t="e">
        <f>LN(#REF!/#REF!)</f>
        <v>#REF!</v>
      </c>
      <c r="E854" s="4" t="e">
        <f t="shared" si="14"/>
        <v>#REF!</v>
      </c>
      <c r="F854" s="4" t="e" cm="1">
        <f t="array" ref="F854">AVERAGE(B854:B2361-$I$4/252)/_xlfn.STDEV.S(B854:B2361-$I$4)</f>
        <v>#REF!</v>
      </c>
      <c r="G854" s="4"/>
      <c r="H854" s="4"/>
      <c r="I854" s="4"/>
      <c r="J854" s="4"/>
    </row>
    <row r="855" spans="1:10" x14ac:dyDescent="0.2">
      <c r="A855" t="e">
        <f>LEFT(#REF!,10)</f>
        <v>#REF!</v>
      </c>
      <c r="B855" s="4" t="e">
        <f>(#REF!-#REF!)/#REF!</f>
        <v>#REF!</v>
      </c>
      <c r="C855" s="4" t="e">
        <f>(#REF!-#REF!)/#REF!</f>
        <v>#REF!</v>
      </c>
      <c r="D855" s="4" t="e">
        <f>LN(#REF!/#REF!)</f>
        <v>#REF!</v>
      </c>
      <c r="E855" s="4" t="e">
        <f t="shared" si="14"/>
        <v>#REF!</v>
      </c>
      <c r="F855" s="4" t="e" cm="1">
        <f t="array" ref="F855">AVERAGE(B855:B2362-$I$4/252)/_xlfn.STDEV.S(B855:B2362-$I$4)</f>
        <v>#REF!</v>
      </c>
      <c r="G855" s="4"/>
      <c r="H855" s="4"/>
      <c r="I855" s="4"/>
      <c r="J855" s="4"/>
    </row>
    <row r="856" spans="1:10" x14ac:dyDescent="0.2">
      <c r="A856" t="e">
        <f>LEFT(#REF!,10)</f>
        <v>#REF!</v>
      </c>
      <c r="B856" s="4" t="e">
        <f>(#REF!-#REF!)/#REF!</f>
        <v>#REF!</v>
      </c>
      <c r="C856" s="4" t="e">
        <f>(#REF!-#REF!)/#REF!</f>
        <v>#REF!</v>
      </c>
      <c r="D856" s="4" t="e">
        <f>LN(#REF!/#REF!)</f>
        <v>#REF!</v>
      </c>
      <c r="E856" s="4" t="e">
        <f t="shared" si="14"/>
        <v>#REF!</v>
      </c>
      <c r="F856" s="4" t="e" cm="1">
        <f t="array" ref="F856">AVERAGE(B856:B2363-$I$4/252)/_xlfn.STDEV.S(B856:B2363-$I$4)</f>
        <v>#REF!</v>
      </c>
      <c r="G856" s="4"/>
      <c r="H856" s="4"/>
      <c r="I856" s="4"/>
      <c r="J856" s="4"/>
    </row>
    <row r="857" spans="1:10" x14ac:dyDescent="0.2">
      <c r="A857" t="e">
        <f>LEFT(#REF!,10)</f>
        <v>#REF!</v>
      </c>
      <c r="B857" s="4" t="e">
        <f>(#REF!-#REF!)/#REF!</f>
        <v>#REF!</v>
      </c>
      <c r="C857" s="4" t="e">
        <f>(#REF!-#REF!)/#REF!</f>
        <v>#REF!</v>
      </c>
      <c r="D857" s="4" t="e">
        <f>LN(#REF!/#REF!)</f>
        <v>#REF!</v>
      </c>
      <c r="E857" s="4" t="e">
        <f t="shared" si="14"/>
        <v>#REF!</v>
      </c>
      <c r="F857" s="4" t="e" cm="1">
        <f t="array" ref="F857">AVERAGE(B857:B2364-$I$4/252)/_xlfn.STDEV.S(B857:B2364-$I$4)</f>
        <v>#REF!</v>
      </c>
      <c r="G857" s="4"/>
      <c r="H857" s="4"/>
      <c r="I857" s="4"/>
      <c r="J857" s="4"/>
    </row>
    <row r="858" spans="1:10" x14ac:dyDescent="0.2">
      <c r="A858" t="e">
        <f>LEFT(#REF!,10)</f>
        <v>#REF!</v>
      </c>
      <c r="B858" s="4" t="e">
        <f>(#REF!-#REF!)/#REF!</f>
        <v>#REF!</v>
      </c>
      <c r="C858" s="4" t="e">
        <f>(#REF!-#REF!)/#REF!</f>
        <v>#REF!</v>
      </c>
      <c r="D858" s="4" t="e">
        <f>LN(#REF!/#REF!)</f>
        <v>#REF!</v>
      </c>
      <c r="E858" s="4" t="e">
        <f t="shared" si="14"/>
        <v>#REF!</v>
      </c>
      <c r="F858" s="4" t="e" cm="1">
        <f t="array" ref="F858">AVERAGE(B858:B2365-$I$4/252)/_xlfn.STDEV.S(B858:B2365-$I$4)</f>
        <v>#REF!</v>
      </c>
      <c r="G858" s="4"/>
      <c r="H858" s="4"/>
      <c r="I858" s="4"/>
      <c r="J858" s="4"/>
    </row>
    <row r="859" spans="1:10" x14ac:dyDescent="0.2">
      <c r="A859" t="e">
        <f>LEFT(#REF!,10)</f>
        <v>#REF!</v>
      </c>
      <c r="B859" s="4" t="e">
        <f>(#REF!-#REF!)/#REF!</f>
        <v>#REF!</v>
      </c>
      <c r="C859" s="4" t="e">
        <f>(#REF!-#REF!)/#REF!</f>
        <v>#REF!</v>
      </c>
      <c r="D859" s="4" t="e">
        <f>LN(#REF!/#REF!)</f>
        <v>#REF!</v>
      </c>
      <c r="E859" s="4" t="e">
        <f t="shared" si="14"/>
        <v>#REF!</v>
      </c>
      <c r="F859" s="4" t="e" cm="1">
        <f t="array" ref="F859">AVERAGE(B859:B2366-$I$4/252)/_xlfn.STDEV.S(B859:B2366-$I$4)</f>
        <v>#REF!</v>
      </c>
      <c r="G859" s="4"/>
      <c r="H859" s="4"/>
      <c r="I859" s="4"/>
      <c r="J859" s="4"/>
    </row>
    <row r="860" spans="1:10" x14ac:dyDescent="0.2">
      <c r="A860" t="e">
        <f>LEFT(#REF!,10)</f>
        <v>#REF!</v>
      </c>
      <c r="B860" s="4" t="e">
        <f>(#REF!-#REF!)/#REF!</f>
        <v>#REF!</v>
      </c>
      <c r="C860" s="4" t="e">
        <f>(#REF!-#REF!)/#REF!</f>
        <v>#REF!</v>
      </c>
      <c r="D860" s="4" t="e">
        <f>LN(#REF!/#REF!)</f>
        <v>#REF!</v>
      </c>
      <c r="E860" s="4" t="e">
        <f t="shared" si="14"/>
        <v>#REF!</v>
      </c>
      <c r="F860" s="4" t="e" cm="1">
        <f t="array" ref="F860">AVERAGE(B860:B2367-$I$4/252)/_xlfn.STDEV.S(B860:B2367-$I$4)</f>
        <v>#REF!</v>
      </c>
      <c r="G860" s="4"/>
      <c r="H860" s="4"/>
      <c r="I860" s="4"/>
      <c r="J860" s="4"/>
    </row>
    <row r="861" spans="1:10" x14ac:dyDescent="0.2">
      <c r="A861" t="e">
        <f>LEFT(#REF!,10)</f>
        <v>#REF!</v>
      </c>
      <c r="B861" s="4" t="e">
        <f>(#REF!-#REF!)/#REF!</f>
        <v>#REF!</v>
      </c>
      <c r="C861" s="4" t="e">
        <f>(#REF!-#REF!)/#REF!</f>
        <v>#REF!</v>
      </c>
      <c r="D861" s="4" t="e">
        <f>LN(#REF!/#REF!)</f>
        <v>#REF!</v>
      </c>
      <c r="E861" s="4" t="e">
        <f t="shared" si="14"/>
        <v>#REF!</v>
      </c>
      <c r="F861" s="4" t="e" cm="1">
        <f t="array" ref="F861">AVERAGE(B861:B2368-$I$4/252)/_xlfn.STDEV.S(B861:B2368-$I$4)</f>
        <v>#REF!</v>
      </c>
      <c r="G861" s="4"/>
      <c r="H861" s="4"/>
      <c r="I861" s="4"/>
      <c r="J861" s="4"/>
    </row>
    <row r="862" spans="1:10" x14ac:dyDescent="0.2">
      <c r="A862" t="e">
        <f>LEFT(#REF!,10)</f>
        <v>#REF!</v>
      </c>
      <c r="B862" s="4" t="e">
        <f>(#REF!-#REF!)/#REF!</f>
        <v>#REF!</v>
      </c>
      <c r="C862" s="4" t="e">
        <f>(#REF!-#REF!)/#REF!</f>
        <v>#REF!</v>
      </c>
      <c r="D862" s="4" t="e">
        <f>LN(#REF!/#REF!)</f>
        <v>#REF!</v>
      </c>
      <c r="E862" s="4" t="e">
        <f t="shared" si="14"/>
        <v>#REF!</v>
      </c>
      <c r="F862" s="4" t="e" cm="1">
        <f t="array" ref="F862">AVERAGE(B862:B2369-$I$4/252)/_xlfn.STDEV.S(B862:B2369-$I$4)</f>
        <v>#REF!</v>
      </c>
      <c r="G862" s="4"/>
      <c r="H862" s="4"/>
      <c r="I862" s="4"/>
      <c r="J862" s="4"/>
    </row>
    <row r="863" spans="1:10" x14ac:dyDescent="0.2">
      <c r="A863" t="e">
        <f>LEFT(#REF!,10)</f>
        <v>#REF!</v>
      </c>
      <c r="B863" s="4" t="e">
        <f>(#REF!-#REF!)/#REF!</f>
        <v>#REF!</v>
      </c>
      <c r="C863" s="4" t="e">
        <f>(#REF!-#REF!)/#REF!</f>
        <v>#REF!</v>
      </c>
      <c r="D863" s="4" t="e">
        <f>LN(#REF!/#REF!)</f>
        <v>#REF!</v>
      </c>
      <c r="E863" s="4" t="e">
        <f t="shared" si="14"/>
        <v>#REF!</v>
      </c>
      <c r="F863" s="4" t="e" cm="1">
        <f t="array" ref="F863">AVERAGE(B863:B2370-$I$4/252)/_xlfn.STDEV.S(B863:B2370-$I$4)</f>
        <v>#REF!</v>
      </c>
      <c r="G863" s="4"/>
      <c r="H863" s="4"/>
      <c r="I863" s="4"/>
      <c r="J863" s="4"/>
    </row>
    <row r="864" spans="1:10" x14ac:dyDescent="0.2">
      <c r="A864" t="e">
        <f>LEFT(#REF!,10)</f>
        <v>#REF!</v>
      </c>
      <c r="B864" s="4" t="e">
        <f>(#REF!-#REF!)/#REF!</f>
        <v>#REF!</v>
      </c>
      <c r="C864" s="4" t="e">
        <f>(#REF!-#REF!)/#REF!</f>
        <v>#REF!</v>
      </c>
      <c r="D864" s="4" t="e">
        <f>LN(#REF!/#REF!)</f>
        <v>#REF!</v>
      </c>
      <c r="E864" s="4" t="e">
        <f t="shared" si="14"/>
        <v>#REF!</v>
      </c>
      <c r="F864" s="4" t="e" cm="1">
        <f t="array" ref="F864">AVERAGE(B864:B2371-$I$4/252)/_xlfn.STDEV.S(B864:B2371-$I$4)</f>
        <v>#REF!</v>
      </c>
      <c r="G864" s="4"/>
      <c r="H864" s="4"/>
      <c r="I864" s="4"/>
      <c r="J864" s="4"/>
    </row>
    <row r="865" spans="1:10" x14ac:dyDescent="0.2">
      <c r="A865" t="e">
        <f>LEFT(#REF!,10)</f>
        <v>#REF!</v>
      </c>
      <c r="B865" s="4" t="e">
        <f>(#REF!-#REF!)/#REF!</f>
        <v>#REF!</v>
      </c>
      <c r="C865" s="4" t="e">
        <f>(#REF!-#REF!)/#REF!</f>
        <v>#REF!</v>
      </c>
      <c r="D865" s="4" t="e">
        <f>LN(#REF!/#REF!)</f>
        <v>#REF!</v>
      </c>
      <c r="E865" s="4" t="e">
        <f t="shared" si="14"/>
        <v>#REF!</v>
      </c>
      <c r="F865" s="4" t="e" cm="1">
        <f t="array" ref="F865">AVERAGE(B865:B2372-$I$4/252)/_xlfn.STDEV.S(B865:B2372-$I$4)</f>
        <v>#REF!</v>
      </c>
      <c r="G865" s="4"/>
      <c r="H865" s="4"/>
      <c r="I865" s="4"/>
      <c r="J865" s="4"/>
    </row>
    <row r="866" spans="1:10" x14ac:dyDescent="0.2">
      <c r="A866" t="e">
        <f>LEFT(#REF!,10)</f>
        <v>#REF!</v>
      </c>
      <c r="B866" s="4" t="e">
        <f>(#REF!-#REF!)/#REF!</f>
        <v>#REF!</v>
      </c>
      <c r="C866" s="4" t="e">
        <f>(#REF!-#REF!)/#REF!</f>
        <v>#REF!</v>
      </c>
      <c r="D866" s="4" t="e">
        <f>LN(#REF!/#REF!)</f>
        <v>#REF!</v>
      </c>
      <c r="E866" s="4" t="e">
        <f t="shared" si="14"/>
        <v>#REF!</v>
      </c>
      <c r="F866" s="4" t="e" cm="1">
        <f t="array" ref="F866">AVERAGE(B866:B2373-$I$4/252)/_xlfn.STDEV.S(B866:B2373-$I$4)</f>
        <v>#REF!</v>
      </c>
      <c r="G866" s="4"/>
      <c r="H866" s="4"/>
      <c r="I866" s="4"/>
      <c r="J866" s="4"/>
    </row>
    <row r="867" spans="1:10" x14ac:dyDescent="0.2">
      <c r="A867" t="e">
        <f>LEFT(#REF!,10)</f>
        <v>#REF!</v>
      </c>
      <c r="B867" s="4" t="e">
        <f>(#REF!-#REF!)/#REF!</f>
        <v>#REF!</v>
      </c>
      <c r="C867" s="4" t="e">
        <f>(#REF!-#REF!)/#REF!</f>
        <v>#REF!</v>
      </c>
      <c r="D867" s="4" t="e">
        <f>LN(#REF!/#REF!)</f>
        <v>#REF!</v>
      </c>
      <c r="E867" s="4" t="e">
        <f t="shared" si="14"/>
        <v>#REF!</v>
      </c>
      <c r="F867" s="4" t="e" cm="1">
        <f t="array" ref="F867">AVERAGE(B867:B2374-$I$4/252)/_xlfn.STDEV.S(B867:B2374-$I$4)</f>
        <v>#REF!</v>
      </c>
      <c r="G867" s="4"/>
      <c r="H867" s="4"/>
      <c r="I867" s="4"/>
      <c r="J867" s="4"/>
    </row>
    <row r="868" spans="1:10" x14ac:dyDescent="0.2">
      <c r="A868" t="e">
        <f>LEFT(#REF!,10)</f>
        <v>#REF!</v>
      </c>
      <c r="B868" s="4" t="e">
        <f>(#REF!-#REF!)/#REF!</f>
        <v>#REF!</v>
      </c>
      <c r="C868" s="4" t="e">
        <f>(#REF!-#REF!)/#REF!</f>
        <v>#REF!</v>
      </c>
      <c r="D868" s="4" t="e">
        <f>LN(#REF!/#REF!)</f>
        <v>#REF!</v>
      </c>
      <c r="E868" s="4" t="e">
        <f t="shared" si="14"/>
        <v>#REF!</v>
      </c>
      <c r="F868" s="4" t="e" cm="1">
        <f t="array" ref="F868">AVERAGE(B868:B2375-$I$4/252)/_xlfn.STDEV.S(B868:B2375-$I$4)</f>
        <v>#REF!</v>
      </c>
      <c r="G868" s="4"/>
      <c r="H868" s="4"/>
      <c r="I868" s="4"/>
      <c r="J868" s="4"/>
    </row>
    <row r="869" spans="1:10" x14ac:dyDescent="0.2">
      <c r="A869" t="e">
        <f>LEFT(#REF!,10)</f>
        <v>#REF!</v>
      </c>
      <c r="B869" s="4" t="e">
        <f>(#REF!-#REF!)/#REF!</f>
        <v>#REF!</v>
      </c>
      <c r="C869" s="4" t="e">
        <f>(#REF!-#REF!)/#REF!</f>
        <v>#REF!</v>
      </c>
      <c r="D869" s="4" t="e">
        <f>LN(#REF!/#REF!)</f>
        <v>#REF!</v>
      </c>
      <c r="E869" s="4" t="e">
        <f t="shared" si="14"/>
        <v>#REF!</v>
      </c>
      <c r="F869" s="4" t="e" cm="1">
        <f t="array" ref="F869">AVERAGE(B869:B2376-$I$4/252)/_xlfn.STDEV.S(B869:B2376-$I$4)</f>
        <v>#REF!</v>
      </c>
      <c r="G869" s="4"/>
      <c r="H869" s="4"/>
      <c r="I869" s="4"/>
      <c r="J869" s="4"/>
    </row>
    <row r="870" spans="1:10" x14ac:dyDescent="0.2">
      <c r="A870" t="e">
        <f>LEFT(#REF!,10)</f>
        <v>#REF!</v>
      </c>
      <c r="B870" s="4" t="e">
        <f>(#REF!-#REF!)/#REF!</f>
        <v>#REF!</v>
      </c>
      <c r="C870" s="4" t="e">
        <f>(#REF!-#REF!)/#REF!</f>
        <v>#REF!</v>
      </c>
      <c r="D870" s="4" t="e">
        <f>LN(#REF!/#REF!)</f>
        <v>#REF!</v>
      </c>
      <c r="E870" s="4" t="e">
        <f t="shared" si="14"/>
        <v>#REF!</v>
      </c>
      <c r="F870" s="4" t="e" cm="1">
        <f t="array" ref="F870">AVERAGE(B870:B2377-$I$4/252)/_xlfn.STDEV.S(B870:B2377-$I$4)</f>
        <v>#REF!</v>
      </c>
      <c r="G870" s="4"/>
      <c r="H870" s="4"/>
      <c r="I870" s="4"/>
      <c r="J870" s="4"/>
    </row>
    <row r="871" spans="1:10" x14ac:dyDescent="0.2">
      <c r="A871" t="e">
        <f>LEFT(#REF!,10)</f>
        <v>#REF!</v>
      </c>
      <c r="B871" s="4" t="e">
        <f>(#REF!-#REF!)/#REF!</f>
        <v>#REF!</v>
      </c>
      <c r="C871" s="4" t="e">
        <f>(#REF!-#REF!)/#REF!</f>
        <v>#REF!</v>
      </c>
      <c r="D871" s="4" t="e">
        <f>LN(#REF!/#REF!)</f>
        <v>#REF!</v>
      </c>
      <c r="E871" s="4" t="e">
        <f t="shared" si="14"/>
        <v>#REF!</v>
      </c>
      <c r="F871" s="4" t="e" cm="1">
        <f t="array" ref="F871">AVERAGE(B871:B2378-$I$4/252)/_xlfn.STDEV.S(B871:B2378-$I$4)</f>
        <v>#REF!</v>
      </c>
      <c r="G871" s="4"/>
      <c r="H871" s="4"/>
      <c r="I871" s="4"/>
      <c r="J871" s="4"/>
    </row>
    <row r="872" spans="1:10" x14ac:dyDescent="0.2">
      <c r="A872" t="e">
        <f>LEFT(#REF!,10)</f>
        <v>#REF!</v>
      </c>
      <c r="B872" s="4" t="e">
        <f>(#REF!-#REF!)/#REF!</f>
        <v>#REF!</v>
      </c>
      <c r="C872" s="4" t="e">
        <f>(#REF!-#REF!)/#REF!</f>
        <v>#REF!</v>
      </c>
      <c r="D872" s="4" t="e">
        <f>LN(#REF!/#REF!)</f>
        <v>#REF!</v>
      </c>
      <c r="E872" s="4" t="e">
        <f t="shared" si="14"/>
        <v>#REF!</v>
      </c>
      <c r="F872" s="4" t="e" cm="1">
        <f t="array" ref="F872">AVERAGE(B872:B2379-$I$4/252)/_xlfn.STDEV.S(B872:B2379-$I$4)</f>
        <v>#REF!</v>
      </c>
      <c r="G872" s="4"/>
      <c r="H872" s="4"/>
      <c r="I872" s="4"/>
      <c r="J872" s="4"/>
    </row>
    <row r="873" spans="1:10" x14ac:dyDescent="0.2">
      <c r="A873" t="e">
        <f>LEFT(#REF!,10)</f>
        <v>#REF!</v>
      </c>
      <c r="B873" s="4" t="e">
        <f>(#REF!-#REF!)/#REF!</f>
        <v>#REF!</v>
      </c>
      <c r="C873" s="4" t="e">
        <f>(#REF!-#REF!)/#REF!</f>
        <v>#REF!</v>
      </c>
      <c r="D873" s="4" t="e">
        <f>LN(#REF!/#REF!)</f>
        <v>#REF!</v>
      </c>
      <c r="E873" s="4" t="e">
        <f t="shared" si="14"/>
        <v>#REF!</v>
      </c>
      <c r="F873" s="4" t="e" cm="1">
        <f t="array" ref="F873">AVERAGE(B873:B2380-$I$4/252)/_xlfn.STDEV.S(B873:B2380-$I$4)</f>
        <v>#REF!</v>
      </c>
      <c r="G873" s="4"/>
      <c r="H873" s="4"/>
      <c r="I873" s="4"/>
      <c r="J873" s="4"/>
    </row>
    <row r="874" spans="1:10" x14ac:dyDescent="0.2">
      <c r="A874" t="e">
        <f>LEFT(#REF!,10)</f>
        <v>#REF!</v>
      </c>
      <c r="B874" s="4" t="e">
        <f>(#REF!-#REF!)/#REF!</f>
        <v>#REF!</v>
      </c>
      <c r="C874" s="4" t="e">
        <f>(#REF!-#REF!)/#REF!</f>
        <v>#REF!</v>
      </c>
      <c r="D874" s="4" t="e">
        <f>LN(#REF!/#REF!)</f>
        <v>#REF!</v>
      </c>
      <c r="E874" s="4" t="e">
        <f t="shared" si="14"/>
        <v>#REF!</v>
      </c>
      <c r="F874" s="4" t="e" cm="1">
        <f t="array" ref="F874">AVERAGE(B874:B2381-$I$4/252)/_xlfn.STDEV.S(B874:B2381-$I$4)</f>
        <v>#REF!</v>
      </c>
      <c r="G874" s="4"/>
      <c r="H874" s="4"/>
      <c r="I874" s="4"/>
      <c r="J874" s="4"/>
    </row>
    <row r="875" spans="1:10" x14ac:dyDescent="0.2">
      <c r="A875" t="e">
        <f>LEFT(#REF!,10)</f>
        <v>#REF!</v>
      </c>
      <c r="B875" s="4" t="e">
        <f>(#REF!-#REF!)/#REF!</f>
        <v>#REF!</v>
      </c>
      <c r="C875" s="4" t="e">
        <f>(#REF!-#REF!)/#REF!</f>
        <v>#REF!</v>
      </c>
      <c r="D875" s="4" t="e">
        <f>LN(#REF!/#REF!)</f>
        <v>#REF!</v>
      </c>
      <c r="E875" s="4" t="e">
        <f t="shared" si="14"/>
        <v>#REF!</v>
      </c>
      <c r="F875" s="4" t="e" cm="1">
        <f t="array" ref="F875">AVERAGE(B875:B2382-$I$4/252)/_xlfn.STDEV.S(B875:B2382-$I$4)</f>
        <v>#REF!</v>
      </c>
      <c r="G875" s="4"/>
      <c r="H875" s="4"/>
      <c r="I875" s="4"/>
      <c r="J875" s="4"/>
    </row>
    <row r="876" spans="1:10" x14ac:dyDescent="0.2">
      <c r="A876" t="e">
        <f>LEFT(#REF!,10)</f>
        <v>#REF!</v>
      </c>
      <c r="B876" s="4" t="e">
        <f>(#REF!-#REF!)/#REF!</f>
        <v>#REF!</v>
      </c>
      <c r="C876" s="4" t="e">
        <f>(#REF!-#REF!)/#REF!</f>
        <v>#REF!</v>
      </c>
      <c r="D876" s="4" t="e">
        <f>LN(#REF!/#REF!)</f>
        <v>#REF!</v>
      </c>
      <c r="E876" s="4" t="e">
        <f t="shared" si="14"/>
        <v>#REF!</v>
      </c>
      <c r="F876" s="4" t="e" cm="1">
        <f t="array" ref="F876">AVERAGE(B876:B2383-$I$4/252)/_xlfn.STDEV.S(B876:B2383-$I$4)</f>
        <v>#REF!</v>
      </c>
      <c r="G876" s="4"/>
      <c r="H876" s="4"/>
      <c r="I876" s="4"/>
      <c r="J876" s="4"/>
    </row>
    <row r="877" spans="1:10" x14ac:dyDescent="0.2">
      <c r="A877" t="e">
        <f>LEFT(#REF!,10)</f>
        <v>#REF!</v>
      </c>
      <c r="B877" s="4" t="e">
        <f>(#REF!-#REF!)/#REF!</f>
        <v>#REF!</v>
      </c>
      <c r="C877" s="4" t="e">
        <f>(#REF!-#REF!)/#REF!</f>
        <v>#REF!</v>
      </c>
      <c r="D877" s="4" t="e">
        <f>LN(#REF!/#REF!)</f>
        <v>#REF!</v>
      </c>
      <c r="E877" s="4" t="e">
        <f t="shared" si="14"/>
        <v>#REF!</v>
      </c>
      <c r="F877" s="4" t="e" cm="1">
        <f t="array" ref="F877">AVERAGE(B877:B2384-$I$4/252)/_xlfn.STDEV.S(B877:B2384-$I$4)</f>
        <v>#REF!</v>
      </c>
      <c r="G877" s="4"/>
      <c r="H877" s="4"/>
      <c r="I877" s="4"/>
      <c r="J877" s="4"/>
    </row>
    <row r="878" spans="1:10" x14ac:dyDescent="0.2">
      <c r="A878" t="e">
        <f>LEFT(#REF!,10)</f>
        <v>#REF!</v>
      </c>
      <c r="B878" s="4" t="e">
        <f>(#REF!-#REF!)/#REF!</f>
        <v>#REF!</v>
      </c>
      <c r="C878" s="4" t="e">
        <f>(#REF!-#REF!)/#REF!</f>
        <v>#REF!</v>
      </c>
      <c r="D878" s="4" t="e">
        <f>LN(#REF!/#REF!)</f>
        <v>#REF!</v>
      </c>
      <c r="E878" s="4" t="e">
        <f t="shared" si="14"/>
        <v>#REF!</v>
      </c>
      <c r="F878" s="4" t="e" cm="1">
        <f t="array" ref="F878">AVERAGE(B878:B2385-$I$4/252)/_xlfn.STDEV.S(B878:B2385-$I$4)</f>
        <v>#REF!</v>
      </c>
      <c r="G878" s="4"/>
      <c r="H878" s="4"/>
      <c r="I878" s="4"/>
      <c r="J878" s="4"/>
    </row>
    <row r="879" spans="1:10" x14ac:dyDescent="0.2">
      <c r="A879" t="e">
        <f>LEFT(#REF!,10)</f>
        <v>#REF!</v>
      </c>
      <c r="B879" s="4" t="e">
        <f>(#REF!-#REF!)/#REF!</f>
        <v>#REF!</v>
      </c>
      <c r="C879" s="4" t="e">
        <f>(#REF!-#REF!)/#REF!</f>
        <v>#REF!</v>
      </c>
      <c r="D879" s="4" t="e">
        <f>LN(#REF!/#REF!)</f>
        <v>#REF!</v>
      </c>
      <c r="E879" s="4" t="e">
        <f t="shared" si="14"/>
        <v>#REF!</v>
      </c>
      <c r="F879" s="4" t="e" cm="1">
        <f t="array" ref="F879">AVERAGE(B879:B2386-$I$4/252)/_xlfn.STDEV.S(B879:B2386-$I$4)</f>
        <v>#REF!</v>
      </c>
      <c r="G879" s="4"/>
      <c r="H879" s="4"/>
      <c r="I879" s="4"/>
      <c r="J879" s="4"/>
    </row>
    <row r="880" spans="1:10" x14ac:dyDescent="0.2">
      <c r="A880" t="e">
        <f>LEFT(#REF!,10)</f>
        <v>#REF!</v>
      </c>
      <c r="B880" s="4" t="e">
        <f>(#REF!-#REF!)/#REF!</f>
        <v>#REF!</v>
      </c>
      <c r="C880" s="4" t="e">
        <f>(#REF!-#REF!)/#REF!</f>
        <v>#REF!</v>
      </c>
      <c r="D880" s="4" t="e">
        <f>LN(#REF!/#REF!)</f>
        <v>#REF!</v>
      </c>
      <c r="E880" s="4" t="e">
        <f t="shared" si="14"/>
        <v>#REF!</v>
      </c>
      <c r="F880" s="4" t="e" cm="1">
        <f t="array" ref="F880">AVERAGE(B880:B2387-$I$4/252)/_xlfn.STDEV.S(B880:B2387-$I$4)</f>
        <v>#REF!</v>
      </c>
      <c r="G880" s="4"/>
      <c r="H880" s="4"/>
      <c r="I880" s="4"/>
      <c r="J880" s="4"/>
    </row>
    <row r="881" spans="1:10" x14ac:dyDescent="0.2">
      <c r="A881" t="e">
        <f>LEFT(#REF!,10)</f>
        <v>#REF!</v>
      </c>
      <c r="B881" s="4" t="e">
        <f>(#REF!-#REF!)/#REF!</f>
        <v>#REF!</v>
      </c>
      <c r="C881" s="4" t="e">
        <f>(#REF!-#REF!)/#REF!</f>
        <v>#REF!</v>
      </c>
      <c r="D881" s="4" t="e">
        <f>LN(#REF!/#REF!)</f>
        <v>#REF!</v>
      </c>
      <c r="E881" s="4" t="e">
        <f t="shared" si="14"/>
        <v>#REF!</v>
      </c>
      <c r="F881" s="4" t="e" cm="1">
        <f t="array" ref="F881">AVERAGE(B881:B2388-$I$4/252)/_xlfn.STDEV.S(B881:B2388-$I$4)</f>
        <v>#REF!</v>
      </c>
      <c r="G881" s="4"/>
      <c r="H881" s="4"/>
      <c r="I881" s="4"/>
      <c r="J881" s="4"/>
    </row>
    <row r="882" spans="1:10" x14ac:dyDescent="0.2">
      <c r="A882" t="e">
        <f>LEFT(#REF!,10)</f>
        <v>#REF!</v>
      </c>
      <c r="B882" s="4" t="e">
        <f>(#REF!-#REF!)/#REF!</f>
        <v>#REF!</v>
      </c>
      <c r="C882" s="4" t="e">
        <f>(#REF!-#REF!)/#REF!</f>
        <v>#REF!</v>
      </c>
      <c r="D882" s="4" t="e">
        <f>LN(#REF!/#REF!)</f>
        <v>#REF!</v>
      </c>
      <c r="E882" s="4" t="e">
        <f t="shared" si="14"/>
        <v>#REF!</v>
      </c>
      <c r="F882" s="4" t="e" cm="1">
        <f t="array" ref="F882">AVERAGE(B882:B2389-$I$4/252)/_xlfn.STDEV.S(B882:B2389-$I$4)</f>
        <v>#REF!</v>
      </c>
      <c r="G882" s="4"/>
      <c r="H882" s="4"/>
      <c r="I882" s="4"/>
      <c r="J882" s="4"/>
    </row>
    <row r="883" spans="1:10" x14ac:dyDescent="0.2">
      <c r="A883" t="e">
        <f>LEFT(#REF!,10)</f>
        <v>#REF!</v>
      </c>
      <c r="B883" s="4" t="e">
        <f>(#REF!-#REF!)/#REF!</f>
        <v>#REF!</v>
      </c>
      <c r="C883" s="4" t="e">
        <f>(#REF!-#REF!)/#REF!</f>
        <v>#REF!</v>
      </c>
      <c r="D883" s="4" t="e">
        <f>LN(#REF!/#REF!)</f>
        <v>#REF!</v>
      </c>
      <c r="E883" s="4" t="e">
        <f t="shared" si="14"/>
        <v>#REF!</v>
      </c>
      <c r="F883" s="4" t="e" cm="1">
        <f t="array" ref="F883">AVERAGE(B883:B2390-$I$4/252)/_xlfn.STDEV.S(B883:B2390-$I$4)</f>
        <v>#REF!</v>
      </c>
      <c r="G883" s="4"/>
      <c r="H883" s="4"/>
      <c r="I883" s="4"/>
      <c r="J883" s="4"/>
    </row>
    <row r="884" spans="1:10" x14ac:dyDescent="0.2">
      <c r="A884" t="e">
        <f>LEFT(#REF!,10)</f>
        <v>#REF!</v>
      </c>
      <c r="B884" s="4" t="e">
        <f>(#REF!-#REF!)/#REF!</f>
        <v>#REF!</v>
      </c>
      <c r="C884" s="4" t="e">
        <f>(#REF!-#REF!)/#REF!</f>
        <v>#REF!</v>
      </c>
      <c r="D884" s="4" t="e">
        <f>LN(#REF!/#REF!)</f>
        <v>#REF!</v>
      </c>
      <c r="E884" s="4" t="e">
        <f t="shared" si="14"/>
        <v>#REF!</v>
      </c>
      <c r="F884" s="4" t="e" cm="1">
        <f t="array" ref="F884">AVERAGE(B884:B2391-$I$4/252)/_xlfn.STDEV.S(B884:B2391-$I$4)</f>
        <v>#REF!</v>
      </c>
      <c r="G884" s="4"/>
      <c r="H884" s="4"/>
      <c r="I884" s="4"/>
      <c r="J884" s="4"/>
    </row>
    <row r="885" spans="1:10" x14ac:dyDescent="0.2">
      <c r="A885" t="e">
        <f>LEFT(#REF!,10)</f>
        <v>#REF!</v>
      </c>
      <c r="B885" s="4" t="e">
        <f>(#REF!-#REF!)/#REF!</f>
        <v>#REF!</v>
      </c>
      <c r="C885" s="4" t="e">
        <f>(#REF!-#REF!)/#REF!</f>
        <v>#REF!</v>
      </c>
      <c r="D885" s="4" t="e">
        <f>LN(#REF!/#REF!)</f>
        <v>#REF!</v>
      </c>
      <c r="E885" s="4" t="e">
        <f t="shared" si="14"/>
        <v>#REF!</v>
      </c>
      <c r="F885" s="4" t="e" cm="1">
        <f t="array" ref="F885">AVERAGE(B885:B2392-$I$4/252)/_xlfn.STDEV.S(B885:B2392-$I$4)</f>
        <v>#REF!</v>
      </c>
      <c r="G885" s="4"/>
      <c r="H885" s="4"/>
      <c r="I885" s="4"/>
      <c r="J885" s="4"/>
    </row>
    <row r="886" spans="1:10" x14ac:dyDescent="0.2">
      <c r="A886" t="e">
        <f>LEFT(#REF!,10)</f>
        <v>#REF!</v>
      </c>
      <c r="B886" s="4" t="e">
        <f>(#REF!-#REF!)/#REF!</f>
        <v>#REF!</v>
      </c>
      <c r="C886" s="4" t="e">
        <f>(#REF!-#REF!)/#REF!</f>
        <v>#REF!</v>
      </c>
      <c r="D886" s="4" t="e">
        <f>LN(#REF!/#REF!)</f>
        <v>#REF!</v>
      </c>
      <c r="E886" s="4" t="e">
        <f t="shared" si="14"/>
        <v>#REF!</v>
      </c>
      <c r="F886" s="4" t="e" cm="1">
        <f t="array" ref="F886">AVERAGE(B886:B2393-$I$4/252)/_xlfn.STDEV.S(B886:B2393-$I$4)</f>
        <v>#REF!</v>
      </c>
      <c r="G886" s="4"/>
      <c r="H886" s="4"/>
      <c r="I886" s="4"/>
      <c r="J886" s="4"/>
    </row>
    <row r="887" spans="1:10" x14ac:dyDescent="0.2">
      <c r="A887" t="e">
        <f>LEFT(#REF!,10)</f>
        <v>#REF!</v>
      </c>
      <c r="B887" s="4" t="e">
        <f>(#REF!-#REF!)/#REF!</f>
        <v>#REF!</v>
      </c>
      <c r="C887" s="4" t="e">
        <f>(#REF!-#REF!)/#REF!</f>
        <v>#REF!</v>
      </c>
      <c r="D887" s="4" t="e">
        <f>LN(#REF!/#REF!)</f>
        <v>#REF!</v>
      </c>
      <c r="E887" s="4" t="e">
        <f t="shared" si="14"/>
        <v>#REF!</v>
      </c>
      <c r="F887" s="4" t="e" cm="1">
        <f t="array" ref="F887">AVERAGE(B887:B2394-$I$4/252)/_xlfn.STDEV.S(B887:B2394-$I$4)</f>
        <v>#REF!</v>
      </c>
      <c r="G887" s="4"/>
      <c r="H887" s="4"/>
      <c r="I887" s="4"/>
      <c r="J887" s="4"/>
    </row>
    <row r="888" spans="1:10" x14ac:dyDescent="0.2">
      <c r="A888" t="e">
        <f>LEFT(#REF!,10)</f>
        <v>#REF!</v>
      </c>
      <c r="B888" s="4" t="e">
        <f>(#REF!-#REF!)/#REF!</f>
        <v>#REF!</v>
      </c>
      <c r="C888" s="4" t="e">
        <f>(#REF!-#REF!)/#REF!</f>
        <v>#REF!</v>
      </c>
      <c r="D888" s="4" t="e">
        <f>LN(#REF!/#REF!)</f>
        <v>#REF!</v>
      </c>
      <c r="E888" s="4" t="e">
        <f t="shared" si="14"/>
        <v>#REF!</v>
      </c>
      <c r="F888" s="4" t="e" cm="1">
        <f t="array" ref="F888">AVERAGE(B888:B2395-$I$4/252)/_xlfn.STDEV.S(B888:B2395-$I$4)</f>
        <v>#REF!</v>
      </c>
      <c r="G888" s="4"/>
      <c r="H888" s="4"/>
      <c r="I888" s="4"/>
      <c r="J888" s="4"/>
    </row>
    <row r="889" spans="1:10" x14ac:dyDescent="0.2">
      <c r="A889" t="e">
        <f>LEFT(#REF!,10)</f>
        <v>#REF!</v>
      </c>
      <c r="B889" s="4" t="e">
        <f>(#REF!-#REF!)/#REF!</f>
        <v>#REF!</v>
      </c>
      <c r="C889" s="4" t="e">
        <f>(#REF!-#REF!)/#REF!</f>
        <v>#REF!</v>
      </c>
      <c r="D889" s="4" t="e">
        <f>LN(#REF!/#REF!)</f>
        <v>#REF!</v>
      </c>
      <c r="E889" s="4" t="e">
        <f t="shared" si="14"/>
        <v>#REF!</v>
      </c>
      <c r="F889" s="4" t="e" cm="1">
        <f t="array" ref="F889">AVERAGE(B889:B2396-$I$4/252)/_xlfn.STDEV.S(B889:B2396-$I$4)</f>
        <v>#REF!</v>
      </c>
      <c r="G889" s="4"/>
      <c r="H889" s="4"/>
      <c r="I889" s="4"/>
      <c r="J889" s="4"/>
    </row>
    <row r="890" spans="1:10" x14ac:dyDescent="0.2">
      <c r="A890" t="e">
        <f>LEFT(#REF!,10)</f>
        <v>#REF!</v>
      </c>
      <c r="B890" s="4" t="e">
        <f>(#REF!-#REF!)/#REF!</f>
        <v>#REF!</v>
      </c>
      <c r="C890" s="4" t="e">
        <f>(#REF!-#REF!)/#REF!</f>
        <v>#REF!</v>
      </c>
      <c r="D890" s="4" t="e">
        <f>LN(#REF!/#REF!)</f>
        <v>#REF!</v>
      </c>
      <c r="E890" s="4" t="e">
        <f t="shared" si="14"/>
        <v>#REF!</v>
      </c>
      <c r="F890" s="4" t="e" cm="1">
        <f t="array" ref="F890">AVERAGE(B890:B2397-$I$4/252)/_xlfn.STDEV.S(B890:B2397-$I$4)</f>
        <v>#REF!</v>
      </c>
      <c r="G890" s="4"/>
      <c r="H890" s="4"/>
      <c r="I890" s="4"/>
      <c r="J890" s="4"/>
    </row>
    <row r="891" spans="1:10" x14ac:dyDescent="0.2">
      <c r="A891" t="e">
        <f>LEFT(#REF!,10)</f>
        <v>#REF!</v>
      </c>
      <c r="B891" s="4" t="e">
        <f>(#REF!-#REF!)/#REF!</f>
        <v>#REF!</v>
      </c>
      <c r="C891" s="4" t="e">
        <f>(#REF!-#REF!)/#REF!</f>
        <v>#REF!</v>
      </c>
      <c r="D891" s="4" t="e">
        <f>LN(#REF!/#REF!)</f>
        <v>#REF!</v>
      </c>
      <c r="E891" s="4" t="e">
        <f t="shared" si="14"/>
        <v>#REF!</v>
      </c>
      <c r="F891" s="4" t="e" cm="1">
        <f t="array" ref="F891">AVERAGE(B891:B2398-$I$4/252)/_xlfn.STDEV.S(B891:B2398-$I$4)</f>
        <v>#REF!</v>
      </c>
      <c r="G891" s="4"/>
      <c r="H891" s="4"/>
      <c r="I891" s="4"/>
      <c r="J891" s="4"/>
    </row>
    <row r="892" spans="1:10" x14ac:dyDescent="0.2">
      <c r="A892" t="e">
        <f>LEFT(#REF!,10)</f>
        <v>#REF!</v>
      </c>
      <c r="B892" s="4" t="e">
        <f>(#REF!-#REF!)/#REF!</f>
        <v>#REF!</v>
      </c>
      <c r="C892" s="4" t="e">
        <f>(#REF!-#REF!)/#REF!</f>
        <v>#REF!</v>
      </c>
      <c r="D892" s="4" t="e">
        <f>LN(#REF!/#REF!)</f>
        <v>#REF!</v>
      </c>
      <c r="E892" s="4" t="e">
        <f t="shared" si="14"/>
        <v>#REF!</v>
      </c>
      <c r="F892" s="4" t="e" cm="1">
        <f t="array" ref="F892">AVERAGE(B892:B2399-$I$4/252)/_xlfn.STDEV.S(B892:B2399-$I$4)</f>
        <v>#REF!</v>
      </c>
      <c r="G892" s="4"/>
      <c r="H892" s="4"/>
      <c r="I892" s="4"/>
      <c r="J892" s="4"/>
    </row>
    <row r="893" spans="1:10" x14ac:dyDescent="0.2">
      <c r="A893" t="e">
        <f>LEFT(#REF!,10)</f>
        <v>#REF!</v>
      </c>
      <c r="B893" s="4" t="e">
        <f>(#REF!-#REF!)/#REF!</f>
        <v>#REF!</v>
      </c>
      <c r="C893" s="4" t="e">
        <f>(#REF!-#REF!)/#REF!</f>
        <v>#REF!</v>
      </c>
      <c r="D893" s="4" t="e">
        <f>LN(#REF!/#REF!)</f>
        <v>#REF!</v>
      </c>
      <c r="E893" s="4" t="e">
        <f t="shared" si="14"/>
        <v>#REF!</v>
      </c>
      <c r="F893" s="4" t="e" cm="1">
        <f t="array" ref="F893">AVERAGE(B893:B2400-$I$4/252)/_xlfn.STDEV.S(B893:B2400-$I$4)</f>
        <v>#REF!</v>
      </c>
      <c r="G893" s="4"/>
      <c r="H893" s="4"/>
      <c r="I893" s="4"/>
      <c r="J893" s="4"/>
    </row>
    <row r="894" spans="1:10" x14ac:dyDescent="0.2">
      <c r="A894" t="e">
        <f>LEFT(#REF!,10)</f>
        <v>#REF!</v>
      </c>
      <c r="B894" s="4" t="e">
        <f>(#REF!-#REF!)/#REF!</f>
        <v>#REF!</v>
      </c>
      <c r="C894" s="4" t="e">
        <f>(#REF!-#REF!)/#REF!</f>
        <v>#REF!</v>
      </c>
      <c r="D894" s="4" t="e">
        <f>LN(#REF!/#REF!)</f>
        <v>#REF!</v>
      </c>
      <c r="E894" s="4" t="e">
        <f t="shared" si="14"/>
        <v>#REF!</v>
      </c>
      <c r="F894" s="4" t="e" cm="1">
        <f t="array" ref="F894">AVERAGE(B894:B2401-$I$4/252)/_xlfn.STDEV.S(B894:B2401-$I$4)</f>
        <v>#REF!</v>
      </c>
      <c r="G894" s="4"/>
      <c r="H894" s="4"/>
      <c r="I894" s="4"/>
      <c r="J894" s="4"/>
    </row>
    <row r="895" spans="1:10" x14ac:dyDescent="0.2">
      <c r="A895" t="e">
        <f>LEFT(#REF!,10)</f>
        <v>#REF!</v>
      </c>
      <c r="B895" s="4" t="e">
        <f>(#REF!-#REF!)/#REF!</f>
        <v>#REF!</v>
      </c>
      <c r="C895" s="4" t="e">
        <f>(#REF!-#REF!)/#REF!</f>
        <v>#REF!</v>
      </c>
      <c r="D895" s="4" t="e">
        <f>LN(#REF!/#REF!)</f>
        <v>#REF!</v>
      </c>
      <c r="E895" s="4" t="e">
        <f t="shared" si="14"/>
        <v>#REF!</v>
      </c>
      <c r="F895" s="4" t="e" cm="1">
        <f t="array" ref="F895">AVERAGE(B895:B2402-$I$4/252)/_xlfn.STDEV.S(B895:B2402-$I$4)</f>
        <v>#REF!</v>
      </c>
      <c r="G895" s="4"/>
      <c r="H895" s="4"/>
      <c r="I895" s="4"/>
      <c r="J895" s="4"/>
    </row>
    <row r="896" spans="1:10" x14ac:dyDescent="0.2">
      <c r="A896" t="e">
        <f>LEFT(#REF!,10)</f>
        <v>#REF!</v>
      </c>
      <c r="B896" s="4" t="e">
        <f>(#REF!-#REF!)/#REF!</f>
        <v>#REF!</v>
      </c>
      <c r="C896" s="4" t="e">
        <f>(#REF!-#REF!)/#REF!</f>
        <v>#REF!</v>
      </c>
      <c r="D896" s="4" t="e">
        <f>LN(#REF!/#REF!)</f>
        <v>#REF!</v>
      </c>
      <c r="E896" s="4" t="e">
        <f t="shared" si="14"/>
        <v>#REF!</v>
      </c>
      <c r="F896" s="4" t="e" cm="1">
        <f t="array" ref="F896">AVERAGE(B896:B2403-$I$4/252)/_xlfn.STDEV.S(B896:B2403-$I$4)</f>
        <v>#REF!</v>
      </c>
      <c r="G896" s="4"/>
      <c r="H896" s="4"/>
      <c r="I896" s="4"/>
      <c r="J896" s="4"/>
    </row>
    <row r="897" spans="1:10" x14ac:dyDescent="0.2">
      <c r="A897" t="e">
        <f>LEFT(#REF!,10)</f>
        <v>#REF!</v>
      </c>
      <c r="B897" s="4" t="e">
        <f>(#REF!-#REF!)/#REF!</f>
        <v>#REF!</v>
      </c>
      <c r="C897" s="4" t="e">
        <f>(#REF!-#REF!)/#REF!</f>
        <v>#REF!</v>
      </c>
      <c r="D897" s="4" t="e">
        <f>LN(#REF!/#REF!)</f>
        <v>#REF!</v>
      </c>
      <c r="E897" s="4" t="e">
        <f t="shared" si="14"/>
        <v>#REF!</v>
      </c>
      <c r="F897" s="4" t="e" cm="1">
        <f t="array" ref="F897">AVERAGE(B897:B2404-$I$4/252)/_xlfn.STDEV.S(B897:B2404-$I$4)</f>
        <v>#REF!</v>
      </c>
      <c r="G897" s="4"/>
      <c r="H897" s="4"/>
      <c r="I897" s="4"/>
      <c r="J897" s="4"/>
    </row>
    <row r="898" spans="1:10" x14ac:dyDescent="0.2">
      <c r="A898" t="e">
        <f>LEFT(#REF!,10)</f>
        <v>#REF!</v>
      </c>
      <c r="B898" s="4" t="e">
        <f>(#REF!-#REF!)/#REF!</f>
        <v>#REF!</v>
      </c>
      <c r="C898" s="4" t="e">
        <f>(#REF!-#REF!)/#REF!</f>
        <v>#REF!</v>
      </c>
      <c r="D898" s="4" t="e">
        <f>LN(#REF!/#REF!)</f>
        <v>#REF!</v>
      </c>
      <c r="E898" s="4" t="e">
        <f t="shared" si="14"/>
        <v>#REF!</v>
      </c>
      <c r="F898" s="4" t="e" cm="1">
        <f t="array" ref="F898">AVERAGE(B898:B2405-$I$4/252)/_xlfn.STDEV.S(B898:B2405-$I$4)</f>
        <v>#REF!</v>
      </c>
      <c r="G898" s="4"/>
      <c r="H898" s="4"/>
      <c r="I898" s="4"/>
      <c r="J898" s="4"/>
    </row>
    <row r="899" spans="1:10" x14ac:dyDescent="0.2">
      <c r="A899" t="e">
        <f>LEFT(#REF!,10)</f>
        <v>#REF!</v>
      </c>
      <c r="B899" s="4" t="e">
        <f>(#REF!-#REF!)/#REF!</f>
        <v>#REF!</v>
      </c>
      <c r="C899" s="4" t="e">
        <f>(#REF!-#REF!)/#REF!</f>
        <v>#REF!</v>
      </c>
      <c r="D899" s="4" t="e">
        <f>LN(#REF!/#REF!)</f>
        <v>#REF!</v>
      </c>
      <c r="E899" s="4" t="e">
        <f t="shared" si="14"/>
        <v>#REF!</v>
      </c>
      <c r="F899" s="4" t="e" cm="1">
        <f t="array" ref="F899">AVERAGE(B899:B2406-$I$4/252)/_xlfn.STDEV.S(B899:B2406-$I$4)</f>
        <v>#REF!</v>
      </c>
      <c r="G899" s="4"/>
      <c r="H899" s="4"/>
      <c r="I899" s="4"/>
      <c r="J899" s="4"/>
    </row>
    <row r="900" spans="1:10" x14ac:dyDescent="0.2">
      <c r="A900" t="e">
        <f>LEFT(#REF!,10)</f>
        <v>#REF!</v>
      </c>
      <c r="B900" s="4" t="e">
        <f>(#REF!-#REF!)/#REF!</f>
        <v>#REF!</v>
      </c>
      <c r="C900" s="4" t="e">
        <f>(#REF!-#REF!)/#REF!</f>
        <v>#REF!</v>
      </c>
      <c r="D900" s="4" t="e">
        <f>LN(#REF!/#REF!)</f>
        <v>#REF!</v>
      </c>
      <c r="E900" s="4" t="e">
        <f t="shared" si="14"/>
        <v>#REF!</v>
      </c>
      <c r="F900" s="4" t="e" cm="1">
        <f t="array" ref="F900">AVERAGE(B900:B2407-$I$4/252)/_xlfn.STDEV.S(B900:B2407-$I$4)</f>
        <v>#REF!</v>
      </c>
      <c r="G900" s="4"/>
      <c r="H900" s="4"/>
      <c r="I900" s="4"/>
      <c r="J900" s="4"/>
    </row>
    <row r="901" spans="1:10" x14ac:dyDescent="0.2">
      <c r="A901" t="e">
        <f>LEFT(#REF!,10)</f>
        <v>#REF!</v>
      </c>
      <c r="B901" s="4" t="e">
        <f>(#REF!-#REF!)/#REF!</f>
        <v>#REF!</v>
      </c>
      <c r="C901" s="4" t="e">
        <f>(#REF!-#REF!)/#REF!</f>
        <v>#REF!</v>
      </c>
      <c r="D901" s="4" t="e">
        <f>LN(#REF!/#REF!)</f>
        <v>#REF!</v>
      </c>
      <c r="E901" s="4" t="e">
        <f t="shared" ref="E901:E964" si="15">_xlfn.STDEV.S(D901:D920)</f>
        <v>#REF!</v>
      </c>
      <c r="F901" s="4" t="e" cm="1">
        <f t="array" ref="F901">AVERAGE(B901:B2408-$I$4/252)/_xlfn.STDEV.S(B901:B2408-$I$4)</f>
        <v>#REF!</v>
      </c>
      <c r="G901" s="4"/>
      <c r="H901" s="4"/>
      <c r="I901" s="4"/>
      <c r="J901" s="4"/>
    </row>
    <row r="902" spans="1:10" x14ac:dyDescent="0.2">
      <c r="A902" t="e">
        <f>LEFT(#REF!,10)</f>
        <v>#REF!</v>
      </c>
      <c r="B902" s="4" t="e">
        <f>(#REF!-#REF!)/#REF!</f>
        <v>#REF!</v>
      </c>
      <c r="C902" s="4" t="e">
        <f>(#REF!-#REF!)/#REF!</f>
        <v>#REF!</v>
      </c>
      <c r="D902" s="4" t="e">
        <f>LN(#REF!/#REF!)</f>
        <v>#REF!</v>
      </c>
      <c r="E902" s="4" t="e">
        <f t="shared" si="15"/>
        <v>#REF!</v>
      </c>
      <c r="F902" s="4" t="e" cm="1">
        <f t="array" ref="F902">AVERAGE(B902:B2409-$I$4/252)/_xlfn.STDEV.S(B902:B2409-$I$4)</f>
        <v>#REF!</v>
      </c>
      <c r="G902" s="4"/>
      <c r="H902" s="4"/>
      <c r="I902" s="4"/>
      <c r="J902" s="4"/>
    </row>
    <row r="903" spans="1:10" x14ac:dyDescent="0.2">
      <c r="A903" t="e">
        <f>LEFT(#REF!,10)</f>
        <v>#REF!</v>
      </c>
      <c r="B903" s="4" t="e">
        <f>(#REF!-#REF!)/#REF!</f>
        <v>#REF!</v>
      </c>
      <c r="C903" s="4" t="e">
        <f>(#REF!-#REF!)/#REF!</f>
        <v>#REF!</v>
      </c>
      <c r="D903" s="4" t="e">
        <f>LN(#REF!/#REF!)</f>
        <v>#REF!</v>
      </c>
      <c r="E903" s="4" t="e">
        <f t="shared" si="15"/>
        <v>#REF!</v>
      </c>
      <c r="F903" s="4" t="e" cm="1">
        <f t="array" ref="F903">AVERAGE(B903:B2410-$I$4/252)/_xlfn.STDEV.S(B903:B2410-$I$4)</f>
        <v>#REF!</v>
      </c>
      <c r="G903" s="4"/>
      <c r="H903" s="4"/>
      <c r="I903" s="4"/>
      <c r="J903" s="4"/>
    </row>
    <row r="904" spans="1:10" x14ac:dyDescent="0.2">
      <c r="A904" t="e">
        <f>LEFT(#REF!,10)</f>
        <v>#REF!</v>
      </c>
      <c r="B904" s="4" t="e">
        <f>(#REF!-#REF!)/#REF!</f>
        <v>#REF!</v>
      </c>
      <c r="C904" s="4" t="e">
        <f>(#REF!-#REF!)/#REF!</f>
        <v>#REF!</v>
      </c>
      <c r="D904" s="4" t="e">
        <f>LN(#REF!/#REF!)</f>
        <v>#REF!</v>
      </c>
      <c r="E904" s="4" t="e">
        <f t="shared" si="15"/>
        <v>#REF!</v>
      </c>
      <c r="F904" s="4" t="e" cm="1">
        <f t="array" ref="F904">AVERAGE(B904:B2411-$I$4/252)/_xlfn.STDEV.S(B904:B2411-$I$4)</f>
        <v>#REF!</v>
      </c>
      <c r="G904" s="4"/>
      <c r="H904" s="4"/>
      <c r="I904" s="4"/>
      <c r="J904" s="4"/>
    </row>
    <row r="905" spans="1:10" x14ac:dyDescent="0.2">
      <c r="A905" t="e">
        <f>LEFT(#REF!,10)</f>
        <v>#REF!</v>
      </c>
      <c r="B905" s="4" t="e">
        <f>(#REF!-#REF!)/#REF!</f>
        <v>#REF!</v>
      </c>
      <c r="C905" s="4" t="e">
        <f>(#REF!-#REF!)/#REF!</f>
        <v>#REF!</v>
      </c>
      <c r="D905" s="4" t="e">
        <f>LN(#REF!/#REF!)</f>
        <v>#REF!</v>
      </c>
      <c r="E905" s="4" t="e">
        <f t="shared" si="15"/>
        <v>#REF!</v>
      </c>
      <c r="F905" s="4" t="e" cm="1">
        <f t="array" ref="F905">AVERAGE(B905:B2412-$I$4/252)/_xlfn.STDEV.S(B905:B2412-$I$4)</f>
        <v>#REF!</v>
      </c>
      <c r="G905" s="4"/>
      <c r="H905" s="4"/>
      <c r="I905" s="4"/>
      <c r="J905" s="4"/>
    </row>
    <row r="906" spans="1:10" x14ac:dyDescent="0.2">
      <c r="A906" t="e">
        <f>LEFT(#REF!,10)</f>
        <v>#REF!</v>
      </c>
      <c r="B906" s="4" t="e">
        <f>(#REF!-#REF!)/#REF!</f>
        <v>#REF!</v>
      </c>
      <c r="C906" s="4" t="e">
        <f>(#REF!-#REF!)/#REF!</f>
        <v>#REF!</v>
      </c>
      <c r="D906" s="4" t="e">
        <f>LN(#REF!/#REF!)</f>
        <v>#REF!</v>
      </c>
      <c r="E906" s="4" t="e">
        <f t="shared" si="15"/>
        <v>#REF!</v>
      </c>
      <c r="F906" s="4" t="e" cm="1">
        <f t="array" ref="F906">AVERAGE(B906:B2413-$I$4/252)/_xlfn.STDEV.S(B906:B2413-$I$4)</f>
        <v>#REF!</v>
      </c>
      <c r="G906" s="4"/>
      <c r="H906" s="4"/>
      <c r="I906" s="4"/>
      <c r="J906" s="4"/>
    </row>
    <row r="907" spans="1:10" x14ac:dyDescent="0.2">
      <c r="A907" t="e">
        <f>LEFT(#REF!,10)</f>
        <v>#REF!</v>
      </c>
      <c r="B907" s="4" t="e">
        <f>(#REF!-#REF!)/#REF!</f>
        <v>#REF!</v>
      </c>
      <c r="C907" s="4" t="e">
        <f>(#REF!-#REF!)/#REF!</f>
        <v>#REF!</v>
      </c>
      <c r="D907" s="4" t="e">
        <f>LN(#REF!/#REF!)</f>
        <v>#REF!</v>
      </c>
      <c r="E907" s="4" t="e">
        <f t="shared" si="15"/>
        <v>#REF!</v>
      </c>
      <c r="F907" s="4" t="e" cm="1">
        <f t="array" ref="F907">AVERAGE(B907:B2414-$I$4/252)/_xlfn.STDEV.S(B907:B2414-$I$4)</f>
        <v>#REF!</v>
      </c>
      <c r="G907" s="4"/>
      <c r="H907" s="4"/>
      <c r="I907" s="4"/>
      <c r="J907" s="4"/>
    </row>
    <row r="908" spans="1:10" x14ac:dyDescent="0.2">
      <c r="A908" t="e">
        <f>LEFT(#REF!,10)</f>
        <v>#REF!</v>
      </c>
      <c r="B908" s="4" t="e">
        <f>(#REF!-#REF!)/#REF!</f>
        <v>#REF!</v>
      </c>
      <c r="C908" s="4" t="e">
        <f>(#REF!-#REF!)/#REF!</f>
        <v>#REF!</v>
      </c>
      <c r="D908" s="4" t="e">
        <f>LN(#REF!/#REF!)</f>
        <v>#REF!</v>
      </c>
      <c r="E908" s="4" t="e">
        <f t="shared" si="15"/>
        <v>#REF!</v>
      </c>
      <c r="F908" s="4" t="e" cm="1">
        <f t="array" ref="F908">AVERAGE(B908:B2415-$I$4/252)/_xlfn.STDEV.S(B908:B2415-$I$4)</f>
        <v>#REF!</v>
      </c>
      <c r="G908" s="4"/>
      <c r="H908" s="4"/>
      <c r="I908" s="4"/>
      <c r="J908" s="4"/>
    </row>
    <row r="909" spans="1:10" x14ac:dyDescent="0.2">
      <c r="A909" t="e">
        <f>LEFT(#REF!,10)</f>
        <v>#REF!</v>
      </c>
      <c r="B909" s="4" t="e">
        <f>(#REF!-#REF!)/#REF!</f>
        <v>#REF!</v>
      </c>
      <c r="C909" s="4" t="e">
        <f>(#REF!-#REF!)/#REF!</f>
        <v>#REF!</v>
      </c>
      <c r="D909" s="4" t="e">
        <f>LN(#REF!/#REF!)</f>
        <v>#REF!</v>
      </c>
      <c r="E909" s="4" t="e">
        <f t="shared" si="15"/>
        <v>#REF!</v>
      </c>
      <c r="F909" s="4" t="e" cm="1">
        <f t="array" ref="F909">AVERAGE(B909:B2416-$I$4/252)/_xlfn.STDEV.S(B909:B2416-$I$4)</f>
        <v>#REF!</v>
      </c>
      <c r="G909" s="4"/>
      <c r="H909" s="4"/>
      <c r="I909" s="4"/>
      <c r="J909" s="4"/>
    </row>
    <row r="910" spans="1:10" x14ac:dyDescent="0.2">
      <c r="A910" t="e">
        <f>LEFT(#REF!,10)</f>
        <v>#REF!</v>
      </c>
      <c r="B910" s="4" t="e">
        <f>(#REF!-#REF!)/#REF!</f>
        <v>#REF!</v>
      </c>
      <c r="C910" s="4" t="e">
        <f>(#REF!-#REF!)/#REF!</f>
        <v>#REF!</v>
      </c>
      <c r="D910" s="4" t="e">
        <f>LN(#REF!/#REF!)</f>
        <v>#REF!</v>
      </c>
      <c r="E910" s="4" t="e">
        <f t="shared" si="15"/>
        <v>#REF!</v>
      </c>
      <c r="F910" s="4" t="e" cm="1">
        <f t="array" ref="F910">AVERAGE(B910:B2417-$I$4/252)/_xlfn.STDEV.S(B910:B2417-$I$4)</f>
        <v>#REF!</v>
      </c>
      <c r="G910" s="4"/>
      <c r="H910" s="4"/>
      <c r="I910" s="4"/>
      <c r="J910" s="4"/>
    </row>
    <row r="911" spans="1:10" x14ac:dyDescent="0.2">
      <c r="A911" t="e">
        <f>LEFT(#REF!,10)</f>
        <v>#REF!</v>
      </c>
      <c r="B911" s="4" t="e">
        <f>(#REF!-#REF!)/#REF!</f>
        <v>#REF!</v>
      </c>
      <c r="C911" s="4" t="e">
        <f>(#REF!-#REF!)/#REF!</f>
        <v>#REF!</v>
      </c>
      <c r="D911" s="4" t="e">
        <f>LN(#REF!/#REF!)</f>
        <v>#REF!</v>
      </c>
      <c r="E911" s="4" t="e">
        <f t="shared" si="15"/>
        <v>#REF!</v>
      </c>
      <c r="F911" s="4" t="e" cm="1">
        <f t="array" ref="F911">AVERAGE(B911:B2418-$I$4/252)/_xlfn.STDEV.S(B911:B2418-$I$4)</f>
        <v>#REF!</v>
      </c>
      <c r="G911" s="4"/>
      <c r="H911" s="4"/>
      <c r="I911" s="4"/>
      <c r="J911" s="4"/>
    </row>
    <row r="912" spans="1:10" x14ac:dyDescent="0.2">
      <c r="A912" t="e">
        <f>LEFT(#REF!,10)</f>
        <v>#REF!</v>
      </c>
      <c r="B912" s="4" t="e">
        <f>(#REF!-#REF!)/#REF!</f>
        <v>#REF!</v>
      </c>
      <c r="C912" s="4" t="e">
        <f>(#REF!-#REF!)/#REF!</f>
        <v>#REF!</v>
      </c>
      <c r="D912" s="4" t="e">
        <f>LN(#REF!/#REF!)</f>
        <v>#REF!</v>
      </c>
      <c r="E912" s="4" t="e">
        <f t="shared" si="15"/>
        <v>#REF!</v>
      </c>
      <c r="F912" s="4" t="e" cm="1">
        <f t="array" ref="F912">AVERAGE(B912:B2419-$I$4/252)/_xlfn.STDEV.S(B912:B2419-$I$4)</f>
        <v>#REF!</v>
      </c>
      <c r="G912" s="4"/>
      <c r="H912" s="4"/>
      <c r="I912" s="4"/>
      <c r="J912" s="4"/>
    </row>
    <row r="913" spans="1:10" x14ac:dyDescent="0.2">
      <c r="A913" t="e">
        <f>LEFT(#REF!,10)</f>
        <v>#REF!</v>
      </c>
      <c r="B913" s="4" t="e">
        <f>(#REF!-#REF!)/#REF!</f>
        <v>#REF!</v>
      </c>
      <c r="C913" s="4" t="e">
        <f>(#REF!-#REF!)/#REF!</f>
        <v>#REF!</v>
      </c>
      <c r="D913" s="4" t="e">
        <f>LN(#REF!/#REF!)</f>
        <v>#REF!</v>
      </c>
      <c r="E913" s="4" t="e">
        <f t="shared" si="15"/>
        <v>#REF!</v>
      </c>
      <c r="F913" s="4" t="e" cm="1">
        <f t="array" ref="F913">AVERAGE(B913:B2420-$I$4/252)/_xlfn.STDEV.S(B913:B2420-$I$4)</f>
        <v>#REF!</v>
      </c>
      <c r="G913" s="4"/>
      <c r="H913" s="4"/>
      <c r="I913" s="4"/>
      <c r="J913" s="4"/>
    </row>
    <row r="914" spans="1:10" x14ac:dyDescent="0.2">
      <c r="A914" t="e">
        <f>LEFT(#REF!,10)</f>
        <v>#REF!</v>
      </c>
      <c r="B914" s="4" t="e">
        <f>(#REF!-#REF!)/#REF!</f>
        <v>#REF!</v>
      </c>
      <c r="C914" s="4" t="e">
        <f>(#REF!-#REF!)/#REF!</f>
        <v>#REF!</v>
      </c>
      <c r="D914" s="4" t="e">
        <f>LN(#REF!/#REF!)</f>
        <v>#REF!</v>
      </c>
      <c r="E914" s="4" t="e">
        <f t="shared" si="15"/>
        <v>#REF!</v>
      </c>
      <c r="F914" s="4" t="e" cm="1">
        <f t="array" ref="F914">AVERAGE(B914:B2421-$I$4/252)/_xlfn.STDEV.S(B914:B2421-$I$4)</f>
        <v>#REF!</v>
      </c>
      <c r="G914" s="4"/>
      <c r="H914" s="4"/>
      <c r="I914" s="4"/>
      <c r="J914" s="4"/>
    </row>
    <row r="915" spans="1:10" x14ac:dyDescent="0.2">
      <c r="A915" t="e">
        <f>LEFT(#REF!,10)</f>
        <v>#REF!</v>
      </c>
      <c r="B915" s="4" t="e">
        <f>(#REF!-#REF!)/#REF!</f>
        <v>#REF!</v>
      </c>
      <c r="C915" s="4" t="e">
        <f>(#REF!-#REF!)/#REF!</f>
        <v>#REF!</v>
      </c>
      <c r="D915" s="4" t="e">
        <f>LN(#REF!/#REF!)</f>
        <v>#REF!</v>
      </c>
      <c r="E915" s="4" t="e">
        <f t="shared" si="15"/>
        <v>#REF!</v>
      </c>
      <c r="F915" s="4" t="e" cm="1">
        <f t="array" ref="F915">AVERAGE(B915:B2422-$I$4/252)/_xlfn.STDEV.S(B915:B2422-$I$4)</f>
        <v>#REF!</v>
      </c>
      <c r="G915" s="4"/>
      <c r="H915" s="4"/>
      <c r="I915" s="4"/>
      <c r="J915" s="4"/>
    </row>
    <row r="916" spans="1:10" x14ac:dyDescent="0.2">
      <c r="A916" t="e">
        <f>LEFT(#REF!,10)</f>
        <v>#REF!</v>
      </c>
      <c r="B916" s="4" t="e">
        <f>(#REF!-#REF!)/#REF!</f>
        <v>#REF!</v>
      </c>
      <c r="C916" s="4" t="e">
        <f>(#REF!-#REF!)/#REF!</f>
        <v>#REF!</v>
      </c>
      <c r="D916" s="4" t="e">
        <f>LN(#REF!/#REF!)</f>
        <v>#REF!</v>
      </c>
      <c r="E916" s="4" t="e">
        <f t="shared" si="15"/>
        <v>#REF!</v>
      </c>
      <c r="F916" s="4" t="e" cm="1">
        <f t="array" ref="F916">AVERAGE(B916:B2423-$I$4/252)/_xlfn.STDEV.S(B916:B2423-$I$4)</f>
        <v>#REF!</v>
      </c>
      <c r="G916" s="4"/>
      <c r="H916" s="4"/>
      <c r="I916" s="4"/>
      <c r="J916" s="4"/>
    </row>
    <row r="917" spans="1:10" x14ac:dyDescent="0.2">
      <c r="A917" t="e">
        <f>LEFT(#REF!,10)</f>
        <v>#REF!</v>
      </c>
      <c r="B917" s="4" t="e">
        <f>(#REF!-#REF!)/#REF!</f>
        <v>#REF!</v>
      </c>
      <c r="C917" s="4" t="e">
        <f>(#REF!-#REF!)/#REF!</f>
        <v>#REF!</v>
      </c>
      <c r="D917" s="4" t="e">
        <f>LN(#REF!/#REF!)</f>
        <v>#REF!</v>
      </c>
      <c r="E917" s="4" t="e">
        <f t="shared" si="15"/>
        <v>#REF!</v>
      </c>
      <c r="F917" s="4" t="e" cm="1">
        <f t="array" ref="F917">AVERAGE(B917:B2424-$I$4/252)/_xlfn.STDEV.S(B917:B2424-$I$4)</f>
        <v>#REF!</v>
      </c>
      <c r="G917" s="4"/>
      <c r="H917" s="4"/>
      <c r="I917" s="4"/>
      <c r="J917" s="4"/>
    </row>
    <row r="918" spans="1:10" x14ac:dyDescent="0.2">
      <c r="A918" t="e">
        <f>LEFT(#REF!,10)</f>
        <v>#REF!</v>
      </c>
      <c r="B918" s="4" t="e">
        <f>(#REF!-#REF!)/#REF!</f>
        <v>#REF!</v>
      </c>
      <c r="C918" s="4" t="e">
        <f>(#REF!-#REF!)/#REF!</f>
        <v>#REF!</v>
      </c>
      <c r="D918" s="4" t="e">
        <f>LN(#REF!/#REF!)</f>
        <v>#REF!</v>
      </c>
      <c r="E918" s="4" t="e">
        <f t="shared" si="15"/>
        <v>#REF!</v>
      </c>
      <c r="F918" s="4" t="e" cm="1">
        <f t="array" ref="F918">AVERAGE(B918:B2425-$I$4/252)/_xlfn.STDEV.S(B918:B2425-$I$4)</f>
        <v>#REF!</v>
      </c>
      <c r="G918" s="4"/>
      <c r="H918" s="4"/>
      <c r="I918" s="4"/>
      <c r="J918" s="4"/>
    </row>
    <row r="919" spans="1:10" x14ac:dyDescent="0.2">
      <c r="A919" t="e">
        <f>LEFT(#REF!,10)</f>
        <v>#REF!</v>
      </c>
      <c r="B919" s="4" t="e">
        <f>(#REF!-#REF!)/#REF!</f>
        <v>#REF!</v>
      </c>
      <c r="C919" s="4" t="e">
        <f>(#REF!-#REF!)/#REF!</f>
        <v>#REF!</v>
      </c>
      <c r="D919" s="4" t="e">
        <f>LN(#REF!/#REF!)</f>
        <v>#REF!</v>
      </c>
      <c r="E919" s="4" t="e">
        <f t="shared" si="15"/>
        <v>#REF!</v>
      </c>
      <c r="F919" s="4" t="e" cm="1">
        <f t="array" ref="F919">AVERAGE(B919:B2426-$I$4/252)/_xlfn.STDEV.S(B919:B2426-$I$4)</f>
        <v>#REF!</v>
      </c>
      <c r="G919" s="4"/>
      <c r="H919" s="4"/>
      <c r="I919" s="4"/>
      <c r="J919" s="4"/>
    </row>
    <row r="920" spans="1:10" x14ac:dyDescent="0.2">
      <c r="A920" t="e">
        <f>LEFT(#REF!,10)</f>
        <v>#REF!</v>
      </c>
      <c r="B920" s="4" t="e">
        <f>(#REF!-#REF!)/#REF!</f>
        <v>#REF!</v>
      </c>
      <c r="C920" s="4" t="e">
        <f>(#REF!-#REF!)/#REF!</f>
        <v>#REF!</v>
      </c>
      <c r="D920" s="4" t="e">
        <f>LN(#REF!/#REF!)</f>
        <v>#REF!</v>
      </c>
      <c r="E920" s="4" t="e">
        <f t="shared" si="15"/>
        <v>#REF!</v>
      </c>
      <c r="F920" s="4" t="e" cm="1">
        <f t="array" ref="F920">AVERAGE(B920:B2427-$I$4/252)/_xlfn.STDEV.S(B920:B2427-$I$4)</f>
        <v>#REF!</v>
      </c>
      <c r="G920" s="4"/>
      <c r="H920" s="4"/>
      <c r="I920" s="4"/>
      <c r="J920" s="4"/>
    </row>
    <row r="921" spans="1:10" x14ac:dyDescent="0.2">
      <c r="A921" t="e">
        <f>LEFT(#REF!,10)</f>
        <v>#REF!</v>
      </c>
      <c r="B921" s="4" t="e">
        <f>(#REF!-#REF!)/#REF!</f>
        <v>#REF!</v>
      </c>
      <c r="C921" s="4" t="e">
        <f>(#REF!-#REF!)/#REF!</f>
        <v>#REF!</v>
      </c>
      <c r="D921" s="4" t="e">
        <f>LN(#REF!/#REF!)</f>
        <v>#REF!</v>
      </c>
      <c r="E921" s="4" t="e">
        <f t="shared" si="15"/>
        <v>#REF!</v>
      </c>
      <c r="F921" s="4" t="e" cm="1">
        <f t="array" ref="F921">AVERAGE(B921:B2428-$I$4/252)/_xlfn.STDEV.S(B921:B2428-$I$4)</f>
        <v>#REF!</v>
      </c>
      <c r="G921" s="4"/>
      <c r="H921" s="4"/>
      <c r="I921" s="4"/>
      <c r="J921" s="4"/>
    </row>
    <row r="922" spans="1:10" x14ac:dyDescent="0.2">
      <c r="A922" t="e">
        <f>LEFT(#REF!,10)</f>
        <v>#REF!</v>
      </c>
      <c r="B922" s="4" t="e">
        <f>(#REF!-#REF!)/#REF!</f>
        <v>#REF!</v>
      </c>
      <c r="C922" s="4" t="e">
        <f>(#REF!-#REF!)/#REF!</f>
        <v>#REF!</v>
      </c>
      <c r="D922" s="4" t="e">
        <f>LN(#REF!/#REF!)</f>
        <v>#REF!</v>
      </c>
      <c r="E922" s="4" t="e">
        <f t="shared" si="15"/>
        <v>#REF!</v>
      </c>
      <c r="F922" s="4" t="e" cm="1">
        <f t="array" ref="F922">AVERAGE(B922:B2429-$I$4/252)/_xlfn.STDEV.S(B922:B2429-$I$4)</f>
        <v>#REF!</v>
      </c>
      <c r="G922" s="4"/>
      <c r="H922" s="4"/>
      <c r="I922" s="4"/>
      <c r="J922" s="4"/>
    </row>
    <row r="923" spans="1:10" x14ac:dyDescent="0.2">
      <c r="A923" t="e">
        <f>LEFT(#REF!,10)</f>
        <v>#REF!</v>
      </c>
      <c r="B923" s="4" t="e">
        <f>(#REF!-#REF!)/#REF!</f>
        <v>#REF!</v>
      </c>
      <c r="C923" s="4" t="e">
        <f>(#REF!-#REF!)/#REF!</f>
        <v>#REF!</v>
      </c>
      <c r="D923" s="4" t="e">
        <f>LN(#REF!/#REF!)</f>
        <v>#REF!</v>
      </c>
      <c r="E923" s="4" t="e">
        <f t="shared" si="15"/>
        <v>#REF!</v>
      </c>
      <c r="F923" s="4" t="e" cm="1">
        <f t="array" ref="F923">AVERAGE(B923:B2430-$I$4/252)/_xlfn.STDEV.S(B923:B2430-$I$4)</f>
        <v>#REF!</v>
      </c>
      <c r="G923" s="4"/>
      <c r="H923" s="4"/>
      <c r="I923" s="4"/>
      <c r="J923" s="4"/>
    </row>
    <row r="924" spans="1:10" x14ac:dyDescent="0.2">
      <c r="A924" t="e">
        <f>LEFT(#REF!,10)</f>
        <v>#REF!</v>
      </c>
      <c r="B924" s="4" t="e">
        <f>(#REF!-#REF!)/#REF!</f>
        <v>#REF!</v>
      </c>
      <c r="C924" s="4" t="e">
        <f>(#REF!-#REF!)/#REF!</f>
        <v>#REF!</v>
      </c>
      <c r="D924" s="4" t="e">
        <f>LN(#REF!/#REF!)</f>
        <v>#REF!</v>
      </c>
      <c r="E924" s="4" t="e">
        <f t="shared" si="15"/>
        <v>#REF!</v>
      </c>
      <c r="F924" s="4" t="e" cm="1">
        <f t="array" ref="F924">AVERAGE(B924:B2431-$I$4/252)/_xlfn.STDEV.S(B924:B2431-$I$4)</f>
        <v>#REF!</v>
      </c>
      <c r="G924" s="4"/>
      <c r="H924" s="4"/>
      <c r="I924" s="4"/>
      <c r="J924" s="4"/>
    </row>
    <row r="925" spans="1:10" x14ac:dyDescent="0.2">
      <c r="A925" t="e">
        <f>LEFT(#REF!,10)</f>
        <v>#REF!</v>
      </c>
      <c r="B925" s="4" t="e">
        <f>(#REF!-#REF!)/#REF!</f>
        <v>#REF!</v>
      </c>
      <c r="C925" s="4" t="e">
        <f>(#REF!-#REF!)/#REF!</f>
        <v>#REF!</v>
      </c>
      <c r="D925" s="4" t="e">
        <f>LN(#REF!/#REF!)</f>
        <v>#REF!</v>
      </c>
      <c r="E925" s="4" t="e">
        <f t="shared" si="15"/>
        <v>#REF!</v>
      </c>
      <c r="F925" s="4" t="e" cm="1">
        <f t="array" ref="F925">AVERAGE(B925:B2432-$I$4/252)/_xlfn.STDEV.S(B925:B2432-$I$4)</f>
        <v>#REF!</v>
      </c>
      <c r="G925" s="4"/>
      <c r="H925" s="4"/>
      <c r="I925" s="4"/>
      <c r="J925" s="4"/>
    </row>
    <row r="926" spans="1:10" x14ac:dyDescent="0.2">
      <c r="A926" t="e">
        <f>LEFT(#REF!,10)</f>
        <v>#REF!</v>
      </c>
      <c r="B926" s="4" t="e">
        <f>(#REF!-#REF!)/#REF!</f>
        <v>#REF!</v>
      </c>
      <c r="C926" s="4" t="e">
        <f>(#REF!-#REF!)/#REF!</f>
        <v>#REF!</v>
      </c>
      <c r="D926" s="4" t="e">
        <f>LN(#REF!/#REF!)</f>
        <v>#REF!</v>
      </c>
      <c r="E926" s="4" t="e">
        <f t="shared" si="15"/>
        <v>#REF!</v>
      </c>
      <c r="F926" s="4" t="e" cm="1">
        <f t="array" ref="F926">AVERAGE(B926:B2433-$I$4/252)/_xlfn.STDEV.S(B926:B2433-$I$4)</f>
        <v>#REF!</v>
      </c>
      <c r="G926" s="4"/>
      <c r="H926" s="4"/>
      <c r="I926" s="4"/>
      <c r="J926" s="4"/>
    </row>
    <row r="927" spans="1:10" x14ac:dyDescent="0.2">
      <c r="A927" t="e">
        <f>LEFT(#REF!,10)</f>
        <v>#REF!</v>
      </c>
      <c r="B927" s="4" t="e">
        <f>(#REF!-#REF!)/#REF!</f>
        <v>#REF!</v>
      </c>
      <c r="C927" s="4" t="e">
        <f>(#REF!-#REF!)/#REF!</f>
        <v>#REF!</v>
      </c>
      <c r="D927" s="4" t="e">
        <f>LN(#REF!/#REF!)</f>
        <v>#REF!</v>
      </c>
      <c r="E927" s="4" t="e">
        <f t="shared" si="15"/>
        <v>#REF!</v>
      </c>
      <c r="F927" s="4" t="e" cm="1">
        <f t="array" ref="F927">AVERAGE(B927:B2434-$I$4/252)/_xlfn.STDEV.S(B927:B2434-$I$4)</f>
        <v>#REF!</v>
      </c>
      <c r="G927" s="4"/>
      <c r="H927" s="4"/>
      <c r="I927" s="4"/>
      <c r="J927" s="4"/>
    </row>
    <row r="928" spans="1:10" x14ac:dyDescent="0.2">
      <c r="A928" t="e">
        <f>LEFT(#REF!,10)</f>
        <v>#REF!</v>
      </c>
      <c r="B928" s="4" t="e">
        <f>(#REF!-#REF!)/#REF!</f>
        <v>#REF!</v>
      </c>
      <c r="C928" s="4" t="e">
        <f>(#REF!-#REF!)/#REF!</f>
        <v>#REF!</v>
      </c>
      <c r="D928" s="4" t="e">
        <f>LN(#REF!/#REF!)</f>
        <v>#REF!</v>
      </c>
      <c r="E928" s="4" t="e">
        <f t="shared" si="15"/>
        <v>#REF!</v>
      </c>
      <c r="F928" s="4" t="e" cm="1">
        <f t="array" ref="F928">AVERAGE(B928:B2435-$I$4/252)/_xlfn.STDEV.S(B928:B2435-$I$4)</f>
        <v>#REF!</v>
      </c>
      <c r="G928" s="4"/>
      <c r="H928" s="4"/>
      <c r="I928" s="4"/>
      <c r="J928" s="4"/>
    </row>
    <row r="929" spans="1:10" x14ac:dyDescent="0.2">
      <c r="A929" t="e">
        <f>LEFT(#REF!,10)</f>
        <v>#REF!</v>
      </c>
      <c r="B929" s="4" t="e">
        <f>(#REF!-#REF!)/#REF!</f>
        <v>#REF!</v>
      </c>
      <c r="C929" s="4" t="e">
        <f>(#REF!-#REF!)/#REF!</f>
        <v>#REF!</v>
      </c>
      <c r="D929" s="4" t="e">
        <f>LN(#REF!/#REF!)</f>
        <v>#REF!</v>
      </c>
      <c r="E929" s="4" t="e">
        <f t="shared" si="15"/>
        <v>#REF!</v>
      </c>
      <c r="F929" s="4" t="e" cm="1">
        <f t="array" ref="F929">AVERAGE(B929:B2436-$I$4/252)/_xlfn.STDEV.S(B929:B2436-$I$4)</f>
        <v>#REF!</v>
      </c>
      <c r="G929" s="4"/>
      <c r="H929" s="4"/>
      <c r="I929" s="4"/>
      <c r="J929" s="4"/>
    </row>
    <row r="930" spans="1:10" x14ac:dyDescent="0.2">
      <c r="A930" t="e">
        <f>LEFT(#REF!,10)</f>
        <v>#REF!</v>
      </c>
      <c r="B930" s="4" t="e">
        <f>(#REF!-#REF!)/#REF!</f>
        <v>#REF!</v>
      </c>
      <c r="C930" s="4" t="e">
        <f>(#REF!-#REF!)/#REF!</f>
        <v>#REF!</v>
      </c>
      <c r="D930" s="4" t="e">
        <f>LN(#REF!/#REF!)</f>
        <v>#REF!</v>
      </c>
      <c r="E930" s="4" t="e">
        <f t="shared" si="15"/>
        <v>#REF!</v>
      </c>
      <c r="F930" s="4" t="e" cm="1">
        <f t="array" ref="F930">AVERAGE(B930:B2437-$I$4/252)/_xlfn.STDEV.S(B930:B2437-$I$4)</f>
        <v>#REF!</v>
      </c>
      <c r="G930" s="4"/>
      <c r="H930" s="4"/>
      <c r="I930" s="4"/>
      <c r="J930" s="4"/>
    </row>
    <row r="931" spans="1:10" x14ac:dyDescent="0.2">
      <c r="A931" t="e">
        <f>LEFT(#REF!,10)</f>
        <v>#REF!</v>
      </c>
      <c r="B931" s="4" t="e">
        <f>(#REF!-#REF!)/#REF!</f>
        <v>#REF!</v>
      </c>
      <c r="C931" s="4" t="e">
        <f>(#REF!-#REF!)/#REF!</f>
        <v>#REF!</v>
      </c>
      <c r="D931" s="4" t="e">
        <f>LN(#REF!/#REF!)</f>
        <v>#REF!</v>
      </c>
      <c r="E931" s="4" t="e">
        <f t="shared" si="15"/>
        <v>#REF!</v>
      </c>
      <c r="F931" s="4" t="e" cm="1">
        <f t="array" ref="F931">AVERAGE(B931:B2438-$I$4/252)/_xlfn.STDEV.S(B931:B2438-$I$4)</f>
        <v>#REF!</v>
      </c>
      <c r="G931" s="4"/>
      <c r="H931" s="4"/>
      <c r="I931" s="4"/>
      <c r="J931" s="4"/>
    </row>
    <row r="932" spans="1:10" x14ac:dyDescent="0.2">
      <c r="A932" t="e">
        <f>LEFT(#REF!,10)</f>
        <v>#REF!</v>
      </c>
      <c r="B932" s="4" t="e">
        <f>(#REF!-#REF!)/#REF!</f>
        <v>#REF!</v>
      </c>
      <c r="C932" s="4" t="e">
        <f>(#REF!-#REF!)/#REF!</f>
        <v>#REF!</v>
      </c>
      <c r="D932" s="4" t="e">
        <f>LN(#REF!/#REF!)</f>
        <v>#REF!</v>
      </c>
      <c r="E932" s="4" t="e">
        <f t="shared" si="15"/>
        <v>#REF!</v>
      </c>
      <c r="F932" s="4" t="e" cm="1">
        <f t="array" ref="F932">AVERAGE(B932:B2439-$I$4/252)/_xlfn.STDEV.S(B932:B2439-$I$4)</f>
        <v>#REF!</v>
      </c>
      <c r="G932" s="4"/>
      <c r="H932" s="4"/>
      <c r="I932" s="4"/>
      <c r="J932" s="4"/>
    </row>
    <row r="933" spans="1:10" x14ac:dyDescent="0.2">
      <c r="A933" t="e">
        <f>LEFT(#REF!,10)</f>
        <v>#REF!</v>
      </c>
      <c r="B933" s="4" t="e">
        <f>(#REF!-#REF!)/#REF!</f>
        <v>#REF!</v>
      </c>
      <c r="C933" s="4" t="e">
        <f>(#REF!-#REF!)/#REF!</f>
        <v>#REF!</v>
      </c>
      <c r="D933" s="4" t="e">
        <f>LN(#REF!/#REF!)</f>
        <v>#REF!</v>
      </c>
      <c r="E933" s="4" t="e">
        <f t="shared" si="15"/>
        <v>#REF!</v>
      </c>
      <c r="F933" s="4" t="e" cm="1">
        <f t="array" ref="F933">AVERAGE(B933:B2440-$I$4/252)/_xlfn.STDEV.S(B933:B2440-$I$4)</f>
        <v>#REF!</v>
      </c>
      <c r="G933" s="4"/>
      <c r="H933" s="4"/>
      <c r="I933" s="4"/>
      <c r="J933" s="4"/>
    </row>
    <row r="934" spans="1:10" x14ac:dyDescent="0.2">
      <c r="A934" t="e">
        <f>LEFT(#REF!,10)</f>
        <v>#REF!</v>
      </c>
      <c r="B934" s="4" t="e">
        <f>(#REF!-#REF!)/#REF!</f>
        <v>#REF!</v>
      </c>
      <c r="C934" s="4" t="e">
        <f>(#REF!-#REF!)/#REF!</f>
        <v>#REF!</v>
      </c>
      <c r="D934" s="4" t="e">
        <f>LN(#REF!/#REF!)</f>
        <v>#REF!</v>
      </c>
      <c r="E934" s="4" t="e">
        <f t="shared" si="15"/>
        <v>#REF!</v>
      </c>
      <c r="F934" s="4" t="e" cm="1">
        <f t="array" ref="F934">AVERAGE(B934:B2441-$I$4/252)/_xlfn.STDEV.S(B934:B2441-$I$4)</f>
        <v>#REF!</v>
      </c>
      <c r="G934" s="4"/>
      <c r="H934" s="4"/>
      <c r="I934" s="4"/>
      <c r="J934" s="4"/>
    </row>
    <row r="935" spans="1:10" x14ac:dyDescent="0.2">
      <c r="A935" t="e">
        <f>LEFT(#REF!,10)</f>
        <v>#REF!</v>
      </c>
      <c r="B935" s="4" t="e">
        <f>(#REF!-#REF!)/#REF!</f>
        <v>#REF!</v>
      </c>
      <c r="C935" s="4" t="e">
        <f>(#REF!-#REF!)/#REF!</f>
        <v>#REF!</v>
      </c>
      <c r="D935" s="4" t="e">
        <f>LN(#REF!/#REF!)</f>
        <v>#REF!</v>
      </c>
      <c r="E935" s="4" t="e">
        <f t="shared" si="15"/>
        <v>#REF!</v>
      </c>
      <c r="F935" s="4" t="e" cm="1">
        <f t="array" ref="F935">AVERAGE(B935:B2442-$I$4/252)/_xlfn.STDEV.S(B935:B2442-$I$4)</f>
        <v>#REF!</v>
      </c>
      <c r="G935" s="4"/>
      <c r="H935" s="4"/>
      <c r="I935" s="4"/>
      <c r="J935" s="4"/>
    </row>
    <row r="936" spans="1:10" x14ac:dyDescent="0.2">
      <c r="A936" t="e">
        <f>LEFT(#REF!,10)</f>
        <v>#REF!</v>
      </c>
      <c r="B936" s="4" t="e">
        <f>(#REF!-#REF!)/#REF!</f>
        <v>#REF!</v>
      </c>
      <c r="C936" s="4" t="e">
        <f>(#REF!-#REF!)/#REF!</f>
        <v>#REF!</v>
      </c>
      <c r="D936" s="4" t="e">
        <f>LN(#REF!/#REF!)</f>
        <v>#REF!</v>
      </c>
      <c r="E936" s="4" t="e">
        <f t="shared" si="15"/>
        <v>#REF!</v>
      </c>
      <c r="F936" s="4" t="e" cm="1">
        <f t="array" ref="F936">AVERAGE(B936:B2443-$I$4/252)/_xlfn.STDEV.S(B936:B2443-$I$4)</f>
        <v>#REF!</v>
      </c>
      <c r="G936" s="4"/>
      <c r="H936" s="4"/>
      <c r="I936" s="4"/>
      <c r="J936" s="4"/>
    </row>
    <row r="937" spans="1:10" x14ac:dyDescent="0.2">
      <c r="A937" t="e">
        <f>LEFT(#REF!,10)</f>
        <v>#REF!</v>
      </c>
      <c r="B937" s="4" t="e">
        <f>(#REF!-#REF!)/#REF!</f>
        <v>#REF!</v>
      </c>
      <c r="C937" s="4" t="e">
        <f>(#REF!-#REF!)/#REF!</f>
        <v>#REF!</v>
      </c>
      <c r="D937" s="4" t="e">
        <f>LN(#REF!/#REF!)</f>
        <v>#REF!</v>
      </c>
      <c r="E937" s="4" t="e">
        <f t="shared" si="15"/>
        <v>#REF!</v>
      </c>
      <c r="F937" s="4" t="e" cm="1">
        <f t="array" ref="F937">AVERAGE(B937:B2444-$I$4/252)/_xlfn.STDEV.S(B937:B2444-$I$4)</f>
        <v>#REF!</v>
      </c>
      <c r="G937" s="4"/>
      <c r="H937" s="4"/>
      <c r="I937" s="4"/>
      <c r="J937" s="4"/>
    </row>
    <row r="938" spans="1:10" x14ac:dyDescent="0.2">
      <c r="A938" t="e">
        <f>LEFT(#REF!,10)</f>
        <v>#REF!</v>
      </c>
      <c r="B938" s="4" t="e">
        <f>(#REF!-#REF!)/#REF!</f>
        <v>#REF!</v>
      </c>
      <c r="C938" s="4" t="e">
        <f>(#REF!-#REF!)/#REF!</f>
        <v>#REF!</v>
      </c>
      <c r="D938" s="4" t="e">
        <f>LN(#REF!/#REF!)</f>
        <v>#REF!</v>
      </c>
      <c r="E938" s="4" t="e">
        <f t="shared" si="15"/>
        <v>#REF!</v>
      </c>
      <c r="F938" s="4" t="e" cm="1">
        <f t="array" ref="F938">AVERAGE(B938:B2445-$I$4/252)/_xlfn.STDEV.S(B938:B2445-$I$4)</f>
        <v>#REF!</v>
      </c>
      <c r="G938" s="4"/>
      <c r="H938" s="4"/>
      <c r="I938" s="4"/>
      <c r="J938" s="4"/>
    </row>
    <row r="939" spans="1:10" x14ac:dyDescent="0.2">
      <c r="A939" t="e">
        <f>LEFT(#REF!,10)</f>
        <v>#REF!</v>
      </c>
      <c r="B939" s="4" t="e">
        <f>(#REF!-#REF!)/#REF!</f>
        <v>#REF!</v>
      </c>
      <c r="C939" s="4" t="e">
        <f>(#REF!-#REF!)/#REF!</f>
        <v>#REF!</v>
      </c>
      <c r="D939" s="4" t="e">
        <f>LN(#REF!/#REF!)</f>
        <v>#REF!</v>
      </c>
      <c r="E939" s="4" t="e">
        <f t="shared" si="15"/>
        <v>#REF!</v>
      </c>
      <c r="F939" s="4" t="e" cm="1">
        <f t="array" ref="F939">AVERAGE(B939:B2446-$I$4/252)/_xlfn.STDEV.S(B939:B2446-$I$4)</f>
        <v>#REF!</v>
      </c>
      <c r="G939" s="4"/>
      <c r="H939" s="4"/>
      <c r="I939" s="4"/>
      <c r="J939" s="4"/>
    </row>
    <row r="940" spans="1:10" x14ac:dyDescent="0.2">
      <c r="A940" t="e">
        <f>LEFT(#REF!,10)</f>
        <v>#REF!</v>
      </c>
      <c r="B940" s="4" t="e">
        <f>(#REF!-#REF!)/#REF!</f>
        <v>#REF!</v>
      </c>
      <c r="C940" s="4" t="e">
        <f>(#REF!-#REF!)/#REF!</f>
        <v>#REF!</v>
      </c>
      <c r="D940" s="4" t="e">
        <f>LN(#REF!/#REF!)</f>
        <v>#REF!</v>
      </c>
      <c r="E940" s="4" t="e">
        <f t="shared" si="15"/>
        <v>#REF!</v>
      </c>
      <c r="F940" s="4" t="e" cm="1">
        <f t="array" ref="F940">AVERAGE(B940:B2447-$I$4/252)/_xlfn.STDEV.S(B940:B2447-$I$4)</f>
        <v>#REF!</v>
      </c>
      <c r="G940" s="4"/>
      <c r="H940" s="4"/>
      <c r="I940" s="4"/>
      <c r="J940" s="4"/>
    </row>
    <row r="941" spans="1:10" x14ac:dyDescent="0.2">
      <c r="A941" t="e">
        <f>LEFT(#REF!,10)</f>
        <v>#REF!</v>
      </c>
      <c r="B941" s="4" t="e">
        <f>(#REF!-#REF!)/#REF!</f>
        <v>#REF!</v>
      </c>
      <c r="C941" s="4" t="e">
        <f>(#REF!-#REF!)/#REF!</f>
        <v>#REF!</v>
      </c>
      <c r="D941" s="4" t="e">
        <f>LN(#REF!/#REF!)</f>
        <v>#REF!</v>
      </c>
      <c r="E941" s="4" t="e">
        <f t="shared" si="15"/>
        <v>#REF!</v>
      </c>
      <c r="F941" s="4" t="e" cm="1">
        <f t="array" ref="F941">AVERAGE(B941:B2448-$I$4/252)/_xlfn.STDEV.S(B941:B2448-$I$4)</f>
        <v>#REF!</v>
      </c>
      <c r="G941" s="4"/>
      <c r="H941" s="4"/>
      <c r="I941" s="4"/>
      <c r="J941" s="4"/>
    </row>
    <row r="942" spans="1:10" x14ac:dyDescent="0.2">
      <c r="A942" t="e">
        <f>LEFT(#REF!,10)</f>
        <v>#REF!</v>
      </c>
      <c r="B942" s="4" t="e">
        <f>(#REF!-#REF!)/#REF!</f>
        <v>#REF!</v>
      </c>
      <c r="C942" s="4" t="e">
        <f>(#REF!-#REF!)/#REF!</f>
        <v>#REF!</v>
      </c>
      <c r="D942" s="4" t="e">
        <f>LN(#REF!/#REF!)</f>
        <v>#REF!</v>
      </c>
      <c r="E942" s="4" t="e">
        <f t="shared" si="15"/>
        <v>#REF!</v>
      </c>
      <c r="F942" s="4" t="e" cm="1">
        <f t="array" ref="F942">AVERAGE(B942:B2449-$I$4/252)/_xlfn.STDEV.S(B942:B2449-$I$4)</f>
        <v>#REF!</v>
      </c>
      <c r="G942" s="4"/>
      <c r="H942" s="4"/>
      <c r="I942" s="4"/>
      <c r="J942" s="4"/>
    </row>
    <row r="943" spans="1:10" x14ac:dyDescent="0.2">
      <c r="A943" t="e">
        <f>LEFT(#REF!,10)</f>
        <v>#REF!</v>
      </c>
      <c r="B943" s="4" t="e">
        <f>(#REF!-#REF!)/#REF!</f>
        <v>#REF!</v>
      </c>
      <c r="C943" s="4" t="e">
        <f>(#REF!-#REF!)/#REF!</f>
        <v>#REF!</v>
      </c>
      <c r="D943" s="4" t="e">
        <f>LN(#REF!/#REF!)</f>
        <v>#REF!</v>
      </c>
      <c r="E943" s="4" t="e">
        <f t="shared" si="15"/>
        <v>#REF!</v>
      </c>
      <c r="F943" s="4" t="e" cm="1">
        <f t="array" ref="F943">AVERAGE(B943:B2450-$I$4/252)/_xlfn.STDEV.S(B943:B2450-$I$4)</f>
        <v>#REF!</v>
      </c>
      <c r="G943" s="4"/>
      <c r="H943" s="4"/>
      <c r="I943" s="4"/>
      <c r="J943" s="4"/>
    </row>
    <row r="944" spans="1:10" x14ac:dyDescent="0.2">
      <c r="A944" t="e">
        <f>LEFT(#REF!,10)</f>
        <v>#REF!</v>
      </c>
      <c r="B944" s="4" t="e">
        <f>(#REF!-#REF!)/#REF!</f>
        <v>#REF!</v>
      </c>
      <c r="C944" s="4" t="e">
        <f>(#REF!-#REF!)/#REF!</f>
        <v>#REF!</v>
      </c>
      <c r="D944" s="4" t="e">
        <f>LN(#REF!/#REF!)</f>
        <v>#REF!</v>
      </c>
      <c r="E944" s="4" t="e">
        <f t="shared" si="15"/>
        <v>#REF!</v>
      </c>
      <c r="F944" s="4" t="e" cm="1">
        <f t="array" ref="F944">AVERAGE(B944:B2451-$I$4/252)/_xlfn.STDEV.S(B944:B2451-$I$4)</f>
        <v>#REF!</v>
      </c>
      <c r="G944" s="4"/>
      <c r="H944" s="4"/>
      <c r="I944" s="4"/>
      <c r="J944" s="4"/>
    </row>
    <row r="945" spans="1:10" x14ac:dyDescent="0.2">
      <c r="A945" t="e">
        <f>LEFT(#REF!,10)</f>
        <v>#REF!</v>
      </c>
      <c r="B945" s="4" t="e">
        <f>(#REF!-#REF!)/#REF!</f>
        <v>#REF!</v>
      </c>
      <c r="C945" s="4" t="e">
        <f>(#REF!-#REF!)/#REF!</f>
        <v>#REF!</v>
      </c>
      <c r="D945" s="4" t="e">
        <f>LN(#REF!/#REF!)</f>
        <v>#REF!</v>
      </c>
      <c r="E945" s="4" t="e">
        <f t="shared" si="15"/>
        <v>#REF!</v>
      </c>
      <c r="F945" s="4" t="e" cm="1">
        <f t="array" ref="F945">AVERAGE(B945:B2452-$I$4/252)/_xlfn.STDEV.S(B945:B2452-$I$4)</f>
        <v>#REF!</v>
      </c>
      <c r="G945" s="4"/>
      <c r="H945" s="4"/>
      <c r="I945" s="4"/>
      <c r="J945" s="4"/>
    </row>
    <row r="946" spans="1:10" x14ac:dyDescent="0.2">
      <c r="A946" t="e">
        <f>LEFT(#REF!,10)</f>
        <v>#REF!</v>
      </c>
      <c r="B946" s="4" t="e">
        <f>(#REF!-#REF!)/#REF!</f>
        <v>#REF!</v>
      </c>
      <c r="C946" s="4" t="e">
        <f>(#REF!-#REF!)/#REF!</f>
        <v>#REF!</v>
      </c>
      <c r="D946" s="4" t="e">
        <f>LN(#REF!/#REF!)</f>
        <v>#REF!</v>
      </c>
      <c r="E946" s="4" t="e">
        <f t="shared" si="15"/>
        <v>#REF!</v>
      </c>
      <c r="F946" s="4" t="e" cm="1">
        <f t="array" ref="F946">AVERAGE(B946:B2453-$I$4/252)/_xlfn.STDEV.S(B946:B2453-$I$4)</f>
        <v>#REF!</v>
      </c>
      <c r="G946" s="4"/>
      <c r="H946" s="4"/>
      <c r="I946" s="4"/>
      <c r="J946" s="4"/>
    </row>
    <row r="947" spans="1:10" x14ac:dyDescent="0.2">
      <c r="A947" t="e">
        <f>LEFT(#REF!,10)</f>
        <v>#REF!</v>
      </c>
      <c r="B947" s="4" t="e">
        <f>(#REF!-#REF!)/#REF!</f>
        <v>#REF!</v>
      </c>
      <c r="C947" s="4" t="e">
        <f>(#REF!-#REF!)/#REF!</f>
        <v>#REF!</v>
      </c>
      <c r="D947" s="4" t="e">
        <f>LN(#REF!/#REF!)</f>
        <v>#REF!</v>
      </c>
      <c r="E947" s="4" t="e">
        <f t="shared" si="15"/>
        <v>#REF!</v>
      </c>
      <c r="F947" s="4" t="e" cm="1">
        <f t="array" ref="F947">AVERAGE(B947:B2454-$I$4/252)/_xlfn.STDEV.S(B947:B2454-$I$4)</f>
        <v>#REF!</v>
      </c>
      <c r="G947" s="4"/>
      <c r="H947" s="4"/>
      <c r="I947" s="4"/>
      <c r="J947" s="4"/>
    </row>
    <row r="948" spans="1:10" x14ac:dyDescent="0.2">
      <c r="A948" t="e">
        <f>LEFT(#REF!,10)</f>
        <v>#REF!</v>
      </c>
      <c r="B948" s="4" t="e">
        <f>(#REF!-#REF!)/#REF!</f>
        <v>#REF!</v>
      </c>
      <c r="C948" s="4" t="e">
        <f>(#REF!-#REF!)/#REF!</f>
        <v>#REF!</v>
      </c>
      <c r="D948" s="4" t="e">
        <f>LN(#REF!/#REF!)</f>
        <v>#REF!</v>
      </c>
      <c r="E948" s="4" t="e">
        <f t="shared" si="15"/>
        <v>#REF!</v>
      </c>
      <c r="F948" s="4" t="e" cm="1">
        <f t="array" ref="F948">AVERAGE(B948:B2455-$I$4/252)/_xlfn.STDEV.S(B948:B2455-$I$4)</f>
        <v>#REF!</v>
      </c>
      <c r="G948" s="4"/>
      <c r="H948" s="4"/>
      <c r="I948" s="4"/>
      <c r="J948" s="4"/>
    </row>
    <row r="949" spans="1:10" x14ac:dyDescent="0.2">
      <c r="A949" t="e">
        <f>LEFT(#REF!,10)</f>
        <v>#REF!</v>
      </c>
      <c r="B949" s="4" t="e">
        <f>(#REF!-#REF!)/#REF!</f>
        <v>#REF!</v>
      </c>
      <c r="C949" s="4" t="e">
        <f>(#REF!-#REF!)/#REF!</f>
        <v>#REF!</v>
      </c>
      <c r="D949" s="4" t="e">
        <f>LN(#REF!/#REF!)</f>
        <v>#REF!</v>
      </c>
      <c r="E949" s="4" t="e">
        <f t="shared" si="15"/>
        <v>#REF!</v>
      </c>
      <c r="F949" s="4" t="e" cm="1">
        <f t="array" ref="F949">AVERAGE(B949:B2456-$I$4/252)/_xlfn.STDEV.S(B949:B2456-$I$4)</f>
        <v>#REF!</v>
      </c>
      <c r="G949" s="4"/>
      <c r="H949" s="4"/>
      <c r="I949" s="4"/>
      <c r="J949" s="4"/>
    </row>
    <row r="950" spans="1:10" x14ac:dyDescent="0.2">
      <c r="A950" t="e">
        <f>LEFT(#REF!,10)</f>
        <v>#REF!</v>
      </c>
      <c r="B950" s="4" t="e">
        <f>(#REF!-#REF!)/#REF!</f>
        <v>#REF!</v>
      </c>
      <c r="C950" s="4" t="e">
        <f>(#REF!-#REF!)/#REF!</f>
        <v>#REF!</v>
      </c>
      <c r="D950" s="4" t="e">
        <f>LN(#REF!/#REF!)</f>
        <v>#REF!</v>
      </c>
      <c r="E950" s="4" t="e">
        <f t="shared" si="15"/>
        <v>#REF!</v>
      </c>
      <c r="F950" s="4" t="e" cm="1">
        <f t="array" ref="F950">AVERAGE(B950:B2457-$I$4/252)/_xlfn.STDEV.S(B950:B2457-$I$4)</f>
        <v>#REF!</v>
      </c>
      <c r="G950" s="4"/>
      <c r="H950" s="4"/>
      <c r="I950" s="4"/>
      <c r="J950" s="4"/>
    </row>
    <row r="951" spans="1:10" x14ac:dyDescent="0.2">
      <c r="A951" t="e">
        <f>LEFT(#REF!,10)</f>
        <v>#REF!</v>
      </c>
      <c r="B951" s="4" t="e">
        <f>(#REF!-#REF!)/#REF!</f>
        <v>#REF!</v>
      </c>
      <c r="C951" s="4" t="e">
        <f>(#REF!-#REF!)/#REF!</f>
        <v>#REF!</v>
      </c>
      <c r="D951" s="4" t="e">
        <f>LN(#REF!/#REF!)</f>
        <v>#REF!</v>
      </c>
      <c r="E951" s="4" t="e">
        <f t="shared" si="15"/>
        <v>#REF!</v>
      </c>
      <c r="F951" s="4" t="e" cm="1">
        <f t="array" ref="F951">AVERAGE(B951:B2458-$I$4/252)/_xlfn.STDEV.S(B951:B2458-$I$4)</f>
        <v>#REF!</v>
      </c>
      <c r="G951" s="4"/>
      <c r="H951" s="4"/>
      <c r="I951" s="4"/>
      <c r="J951" s="4"/>
    </row>
    <row r="952" spans="1:10" x14ac:dyDescent="0.2">
      <c r="A952" t="e">
        <f>LEFT(#REF!,10)</f>
        <v>#REF!</v>
      </c>
      <c r="B952" s="4" t="e">
        <f>(#REF!-#REF!)/#REF!</f>
        <v>#REF!</v>
      </c>
      <c r="C952" s="4" t="e">
        <f>(#REF!-#REF!)/#REF!</f>
        <v>#REF!</v>
      </c>
      <c r="D952" s="4" t="e">
        <f>LN(#REF!/#REF!)</f>
        <v>#REF!</v>
      </c>
      <c r="E952" s="4" t="e">
        <f t="shared" si="15"/>
        <v>#REF!</v>
      </c>
      <c r="F952" s="4" t="e" cm="1">
        <f t="array" ref="F952">AVERAGE(B952:B2459-$I$4/252)/_xlfn.STDEV.S(B952:B2459-$I$4)</f>
        <v>#REF!</v>
      </c>
      <c r="G952" s="4"/>
      <c r="H952" s="4"/>
      <c r="I952" s="4"/>
      <c r="J952" s="4"/>
    </row>
    <row r="953" spans="1:10" x14ac:dyDescent="0.2">
      <c r="A953" t="e">
        <f>LEFT(#REF!,10)</f>
        <v>#REF!</v>
      </c>
      <c r="B953" s="4" t="e">
        <f>(#REF!-#REF!)/#REF!</f>
        <v>#REF!</v>
      </c>
      <c r="C953" s="4" t="e">
        <f>(#REF!-#REF!)/#REF!</f>
        <v>#REF!</v>
      </c>
      <c r="D953" s="4" t="e">
        <f>LN(#REF!/#REF!)</f>
        <v>#REF!</v>
      </c>
      <c r="E953" s="4" t="e">
        <f t="shared" si="15"/>
        <v>#REF!</v>
      </c>
      <c r="F953" s="4" t="e" cm="1">
        <f t="array" ref="F953">AVERAGE(B953:B2460-$I$4/252)/_xlfn.STDEV.S(B953:B2460-$I$4)</f>
        <v>#REF!</v>
      </c>
      <c r="G953" s="4"/>
      <c r="H953" s="4"/>
      <c r="I953" s="4"/>
      <c r="J953" s="4"/>
    </row>
    <row r="954" spans="1:10" x14ac:dyDescent="0.2">
      <c r="A954" t="e">
        <f>LEFT(#REF!,10)</f>
        <v>#REF!</v>
      </c>
      <c r="B954" s="4" t="e">
        <f>(#REF!-#REF!)/#REF!</f>
        <v>#REF!</v>
      </c>
      <c r="C954" s="4" t="e">
        <f>(#REF!-#REF!)/#REF!</f>
        <v>#REF!</v>
      </c>
      <c r="D954" s="4" t="e">
        <f>LN(#REF!/#REF!)</f>
        <v>#REF!</v>
      </c>
      <c r="E954" s="4" t="e">
        <f t="shared" si="15"/>
        <v>#REF!</v>
      </c>
      <c r="F954" s="4" t="e" cm="1">
        <f t="array" ref="F954">AVERAGE(B954:B2461-$I$4/252)/_xlfn.STDEV.S(B954:B2461-$I$4)</f>
        <v>#REF!</v>
      </c>
      <c r="G954" s="4"/>
      <c r="H954" s="4"/>
      <c r="I954" s="4"/>
      <c r="J954" s="4"/>
    </row>
    <row r="955" spans="1:10" x14ac:dyDescent="0.2">
      <c r="A955" t="e">
        <f>LEFT(#REF!,10)</f>
        <v>#REF!</v>
      </c>
      <c r="B955" s="4" t="e">
        <f>(#REF!-#REF!)/#REF!</f>
        <v>#REF!</v>
      </c>
      <c r="C955" s="4" t="e">
        <f>(#REF!-#REF!)/#REF!</f>
        <v>#REF!</v>
      </c>
      <c r="D955" s="4" t="e">
        <f>LN(#REF!/#REF!)</f>
        <v>#REF!</v>
      </c>
      <c r="E955" s="4" t="e">
        <f t="shared" si="15"/>
        <v>#REF!</v>
      </c>
      <c r="F955" s="4" t="e" cm="1">
        <f t="array" ref="F955">AVERAGE(B955:B2462-$I$4/252)/_xlfn.STDEV.S(B955:B2462-$I$4)</f>
        <v>#REF!</v>
      </c>
      <c r="G955" s="4"/>
      <c r="H955" s="4"/>
      <c r="I955" s="4"/>
      <c r="J955" s="4"/>
    </row>
    <row r="956" spans="1:10" x14ac:dyDescent="0.2">
      <c r="A956" t="e">
        <f>LEFT(#REF!,10)</f>
        <v>#REF!</v>
      </c>
      <c r="B956" s="4" t="e">
        <f>(#REF!-#REF!)/#REF!</f>
        <v>#REF!</v>
      </c>
      <c r="C956" s="4" t="e">
        <f>(#REF!-#REF!)/#REF!</f>
        <v>#REF!</v>
      </c>
      <c r="D956" s="4" t="e">
        <f>LN(#REF!/#REF!)</f>
        <v>#REF!</v>
      </c>
      <c r="E956" s="4" t="e">
        <f t="shared" si="15"/>
        <v>#REF!</v>
      </c>
      <c r="F956" s="4" t="e" cm="1">
        <f t="array" ref="F956">AVERAGE(B956:B2463-$I$4/252)/_xlfn.STDEV.S(B956:B2463-$I$4)</f>
        <v>#REF!</v>
      </c>
      <c r="G956" s="4"/>
      <c r="H956" s="4"/>
      <c r="I956" s="4"/>
      <c r="J956" s="4"/>
    </row>
    <row r="957" spans="1:10" x14ac:dyDescent="0.2">
      <c r="A957" t="e">
        <f>LEFT(#REF!,10)</f>
        <v>#REF!</v>
      </c>
      <c r="B957" s="4" t="e">
        <f>(#REF!-#REF!)/#REF!</f>
        <v>#REF!</v>
      </c>
      <c r="C957" s="4" t="e">
        <f>(#REF!-#REF!)/#REF!</f>
        <v>#REF!</v>
      </c>
      <c r="D957" s="4" t="e">
        <f>LN(#REF!/#REF!)</f>
        <v>#REF!</v>
      </c>
      <c r="E957" s="4" t="e">
        <f t="shared" si="15"/>
        <v>#REF!</v>
      </c>
      <c r="F957" s="4" t="e" cm="1">
        <f t="array" ref="F957">AVERAGE(B957:B2464-$I$4/252)/_xlfn.STDEV.S(B957:B2464-$I$4)</f>
        <v>#REF!</v>
      </c>
      <c r="G957" s="4"/>
      <c r="H957" s="4"/>
      <c r="I957" s="4"/>
      <c r="J957" s="4"/>
    </row>
    <row r="958" spans="1:10" x14ac:dyDescent="0.2">
      <c r="A958" t="e">
        <f>LEFT(#REF!,10)</f>
        <v>#REF!</v>
      </c>
      <c r="B958" s="4" t="e">
        <f>(#REF!-#REF!)/#REF!</f>
        <v>#REF!</v>
      </c>
      <c r="C958" s="4" t="e">
        <f>(#REF!-#REF!)/#REF!</f>
        <v>#REF!</v>
      </c>
      <c r="D958" s="4" t="e">
        <f>LN(#REF!/#REF!)</f>
        <v>#REF!</v>
      </c>
      <c r="E958" s="4" t="e">
        <f t="shared" si="15"/>
        <v>#REF!</v>
      </c>
      <c r="F958" s="4" t="e" cm="1">
        <f t="array" ref="F958">AVERAGE(B958:B2465-$I$4/252)/_xlfn.STDEV.S(B958:B2465-$I$4)</f>
        <v>#REF!</v>
      </c>
      <c r="G958" s="4"/>
      <c r="H958" s="4"/>
      <c r="I958" s="4"/>
      <c r="J958" s="4"/>
    </row>
    <row r="959" spans="1:10" x14ac:dyDescent="0.2">
      <c r="A959" t="e">
        <f>LEFT(#REF!,10)</f>
        <v>#REF!</v>
      </c>
      <c r="B959" s="4" t="e">
        <f>(#REF!-#REF!)/#REF!</f>
        <v>#REF!</v>
      </c>
      <c r="C959" s="4" t="e">
        <f>(#REF!-#REF!)/#REF!</f>
        <v>#REF!</v>
      </c>
      <c r="D959" s="4" t="e">
        <f>LN(#REF!/#REF!)</f>
        <v>#REF!</v>
      </c>
      <c r="E959" s="4" t="e">
        <f t="shared" si="15"/>
        <v>#REF!</v>
      </c>
      <c r="F959" s="4" t="e" cm="1">
        <f t="array" ref="F959">AVERAGE(B959:B2466-$I$4/252)/_xlfn.STDEV.S(B959:B2466-$I$4)</f>
        <v>#REF!</v>
      </c>
      <c r="G959" s="4"/>
      <c r="H959" s="4"/>
      <c r="I959" s="4"/>
      <c r="J959" s="4"/>
    </row>
    <row r="960" spans="1:10" x14ac:dyDescent="0.2">
      <c r="A960" t="e">
        <f>LEFT(#REF!,10)</f>
        <v>#REF!</v>
      </c>
      <c r="B960" s="4" t="e">
        <f>(#REF!-#REF!)/#REF!</f>
        <v>#REF!</v>
      </c>
      <c r="C960" s="4" t="e">
        <f>(#REF!-#REF!)/#REF!</f>
        <v>#REF!</v>
      </c>
      <c r="D960" s="4" t="e">
        <f>LN(#REF!/#REF!)</f>
        <v>#REF!</v>
      </c>
      <c r="E960" s="4" t="e">
        <f t="shared" si="15"/>
        <v>#REF!</v>
      </c>
      <c r="F960" s="4" t="e" cm="1">
        <f t="array" ref="F960">AVERAGE(B960:B2467-$I$4/252)/_xlfn.STDEV.S(B960:B2467-$I$4)</f>
        <v>#REF!</v>
      </c>
      <c r="G960" s="4"/>
      <c r="H960" s="4"/>
      <c r="I960" s="4"/>
      <c r="J960" s="4"/>
    </row>
    <row r="961" spans="1:10" x14ac:dyDescent="0.2">
      <c r="A961" t="e">
        <f>LEFT(#REF!,10)</f>
        <v>#REF!</v>
      </c>
      <c r="B961" s="4" t="e">
        <f>(#REF!-#REF!)/#REF!</f>
        <v>#REF!</v>
      </c>
      <c r="C961" s="4" t="e">
        <f>(#REF!-#REF!)/#REF!</f>
        <v>#REF!</v>
      </c>
      <c r="D961" s="4" t="e">
        <f>LN(#REF!/#REF!)</f>
        <v>#REF!</v>
      </c>
      <c r="E961" s="4" t="e">
        <f t="shared" si="15"/>
        <v>#REF!</v>
      </c>
      <c r="F961" s="4" t="e" cm="1">
        <f t="array" ref="F961">AVERAGE(B961:B2468-$I$4/252)/_xlfn.STDEV.S(B961:B2468-$I$4)</f>
        <v>#REF!</v>
      </c>
      <c r="G961" s="4"/>
      <c r="H961" s="4"/>
      <c r="I961" s="4"/>
      <c r="J961" s="4"/>
    </row>
    <row r="962" spans="1:10" x14ac:dyDescent="0.2">
      <c r="A962" t="e">
        <f>LEFT(#REF!,10)</f>
        <v>#REF!</v>
      </c>
      <c r="B962" s="4" t="e">
        <f>(#REF!-#REF!)/#REF!</f>
        <v>#REF!</v>
      </c>
      <c r="C962" s="4" t="e">
        <f>(#REF!-#REF!)/#REF!</f>
        <v>#REF!</v>
      </c>
      <c r="D962" s="4" t="e">
        <f>LN(#REF!/#REF!)</f>
        <v>#REF!</v>
      </c>
      <c r="E962" s="4" t="e">
        <f t="shared" si="15"/>
        <v>#REF!</v>
      </c>
      <c r="F962" s="4" t="e" cm="1">
        <f t="array" ref="F962">AVERAGE(B962:B2469-$I$4/252)/_xlfn.STDEV.S(B962:B2469-$I$4)</f>
        <v>#REF!</v>
      </c>
      <c r="G962" s="4"/>
      <c r="H962" s="4"/>
      <c r="I962" s="4"/>
      <c r="J962" s="4"/>
    </row>
    <row r="963" spans="1:10" x14ac:dyDescent="0.2">
      <c r="A963" t="e">
        <f>LEFT(#REF!,10)</f>
        <v>#REF!</v>
      </c>
      <c r="B963" s="4" t="e">
        <f>(#REF!-#REF!)/#REF!</f>
        <v>#REF!</v>
      </c>
      <c r="C963" s="4" t="e">
        <f>(#REF!-#REF!)/#REF!</f>
        <v>#REF!</v>
      </c>
      <c r="D963" s="4" t="e">
        <f>LN(#REF!/#REF!)</f>
        <v>#REF!</v>
      </c>
      <c r="E963" s="4" t="e">
        <f t="shared" si="15"/>
        <v>#REF!</v>
      </c>
      <c r="F963" s="4" t="e" cm="1">
        <f t="array" ref="F963">AVERAGE(B963:B2470-$I$4/252)/_xlfn.STDEV.S(B963:B2470-$I$4)</f>
        <v>#REF!</v>
      </c>
      <c r="G963" s="4"/>
      <c r="H963" s="4"/>
      <c r="I963" s="4"/>
      <c r="J963" s="4"/>
    </row>
    <row r="964" spans="1:10" x14ac:dyDescent="0.2">
      <c r="A964" t="e">
        <f>LEFT(#REF!,10)</f>
        <v>#REF!</v>
      </c>
      <c r="B964" s="4" t="e">
        <f>(#REF!-#REF!)/#REF!</f>
        <v>#REF!</v>
      </c>
      <c r="C964" s="4" t="e">
        <f>(#REF!-#REF!)/#REF!</f>
        <v>#REF!</v>
      </c>
      <c r="D964" s="4" t="e">
        <f>LN(#REF!/#REF!)</f>
        <v>#REF!</v>
      </c>
      <c r="E964" s="4" t="e">
        <f t="shared" si="15"/>
        <v>#REF!</v>
      </c>
      <c r="F964" s="4" t="e" cm="1">
        <f t="array" ref="F964">AVERAGE(B964:B2471-$I$4/252)/_xlfn.STDEV.S(B964:B2471-$I$4)</f>
        <v>#REF!</v>
      </c>
      <c r="G964" s="4"/>
      <c r="H964" s="4"/>
      <c r="I964" s="4"/>
      <c r="J964" s="4"/>
    </row>
    <row r="965" spans="1:10" x14ac:dyDescent="0.2">
      <c r="A965" t="e">
        <f>LEFT(#REF!,10)</f>
        <v>#REF!</v>
      </c>
      <c r="B965" s="4" t="e">
        <f>(#REF!-#REF!)/#REF!</f>
        <v>#REF!</v>
      </c>
      <c r="C965" s="4" t="e">
        <f>(#REF!-#REF!)/#REF!</f>
        <v>#REF!</v>
      </c>
      <c r="D965" s="4" t="e">
        <f>LN(#REF!/#REF!)</f>
        <v>#REF!</v>
      </c>
      <c r="E965" s="4" t="e">
        <f t="shared" ref="E965:E1028" si="16">_xlfn.STDEV.S(D965:D984)</f>
        <v>#REF!</v>
      </c>
      <c r="F965" s="4" t="e" cm="1">
        <f t="array" ref="F965">AVERAGE(B965:B2472-$I$4/252)/_xlfn.STDEV.S(B965:B2472-$I$4)</f>
        <v>#REF!</v>
      </c>
      <c r="G965" s="4"/>
      <c r="H965" s="4"/>
      <c r="I965" s="4"/>
      <c r="J965" s="4"/>
    </row>
    <row r="966" spans="1:10" x14ac:dyDescent="0.2">
      <c r="A966" t="e">
        <f>LEFT(#REF!,10)</f>
        <v>#REF!</v>
      </c>
      <c r="B966" s="4" t="e">
        <f>(#REF!-#REF!)/#REF!</f>
        <v>#REF!</v>
      </c>
      <c r="C966" s="4" t="e">
        <f>(#REF!-#REF!)/#REF!</f>
        <v>#REF!</v>
      </c>
      <c r="D966" s="4" t="e">
        <f>LN(#REF!/#REF!)</f>
        <v>#REF!</v>
      </c>
      <c r="E966" s="4" t="e">
        <f t="shared" si="16"/>
        <v>#REF!</v>
      </c>
      <c r="F966" s="4" t="e" cm="1">
        <f t="array" ref="F966">AVERAGE(B966:B2473-$I$4/252)/_xlfn.STDEV.S(B966:B2473-$I$4)</f>
        <v>#REF!</v>
      </c>
      <c r="G966" s="4"/>
      <c r="H966" s="4"/>
      <c r="I966" s="4"/>
      <c r="J966" s="4"/>
    </row>
    <row r="967" spans="1:10" x14ac:dyDescent="0.2">
      <c r="A967" t="e">
        <f>LEFT(#REF!,10)</f>
        <v>#REF!</v>
      </c>
      <c r="B967" s="4" t="e">
        <f>(#REF!-#REF!)/#REF!</f>
        <v>#REF!</v>
      </c>
      <c r="C967" s="4" t="e">
        <f>(#REF!-#REF!)/#REF!</f>
        <v>#REF!</v>
      </c>
      <c r="D967" s="4" t="e">
        <f>LN(#REF!/#REF!)</f>
        <v>#REF!</v>
      </c>
      <c r="E967" s="4" t="e">
        <f t="shared" si="16"/>
        <v>#REF!</v>
      </c>
      <c r="F967" s="4" t="e" cm="1">
        <f t="array" ref="F967">AVERAGE(B967:B2474-$I$4/252)/_xlfn.STDEV.S(B967:B2474-$I$4)</f>
        <v>#REF!</v>
      </c>
      <c r="G967" s="4"/>
      <c r="H967" s="4"/>
      <c r="I967" s="4"/>
      <c r="J967" s="4"/>
    </row>
    <row r="968" spans="1:10" x14ac:dyDescent="0.2">
      <c r="A968" t="e">
        <f>LEFT(#REF!,10)</f>
        <v>#REF!</v>
      </c>
      <c r="B968" s="4" t="e">
        <f>(#REF!-#REF!)/#REF!</f>
        <v>#REF!</v>
      </c>
      <c r="C968" s="4" t="e">
        <f>(#REF!-#REF!)/#REF!</f>
        <v>#REF!</v>
      </c>
      <c r="D968" s="4" t="e">
        <f>LN(#REF!/#REF!)</f>
        <v>#REF!</v>
      </c>
      <c r="E968" s="4" t="e">
        <f t="shared" si="16"/>
        <v>#REF!</v>
      </c>
      <c r="F968" s="4" t="e" cm="1">
        <f t="array" ref="F968">AVERAGE(B968:B2475-$I$4/252)/_xlfn.STDEV.S(B968:B2475-$I$4)</f>
        <v>#REF!</v>
      </c>
      <c r="G968" s="4"/>
      <c r="H968" s="4"/>
      <c r="I968" s="4"/>
      <c r="J968" s="4"/>
    </row>
    <row r="969" spans="1:10" x14ac:dyDescent="0.2">
      <c r="A969" t="e">
        <f>LEFT(#REF!,10)</f>
        <v>#REF!</v>
      </c>
      <c r="B969" s="4" t="e">
        <f>(#REF!-#REF!)/#REF!</f>
        <v>#REF!</v>
      </c>
      <c r="C969" s="4" t="e">
        <f>(#REF!-#REF!)/#REF!</f>
        <v>#REF!</v>
      </c>
      <c r="D969" s="4" t="e">
        <f>LN(#REF!/#REF!)</f>
        <v>#REF!</v>
      </c>
      <c r="E969" s="4" t="e">
        <f t="shared" si="16"/>
        <v>#REF!</v>
      </c>
      <c r="F969" s="4" t="e" cm="1">
        <f t="array" ref="F969">AVERAGE(B969:B2476-$I$4/252)/_xlfn.STDEV.S(B969:B2476-$I$4)</f>
        <v>#REF!</v>
      </c>
      <c r="G969" s="4"/>
      <c r="H969" s="4"/>
      <c r="I969" s="4"/>
      <c r="J969" s="4"/>
    </row>
    <row r="970" spans="1:10" x14ac:dyDescent="0.2">
      <c r="A970" t="e">
        <f>LEFT(#REF!,10)</f>
        <v>#REF!</v>
      </c>
      <c r="B970" s="4" t="e">
        <f>(#REF!-#REF!)/#REF!</f>
        <v>#REF!</v>
      </c>
      <c r="C970" s="4" t="e">
        <f>(#REF!-#REF!)/#REF!</f>
        <v>#REF!</v>
      </c>
      <c r="D970" s="4" t="e">
        <f>LN(#REF!/#REF!)</f>
        <v>#REF!</v>
      </c>
      <c r="E970" s="4" t="e">
        <f t="shared" si="16"/>
        <v>#REF!</v>
      </c>
      <c r="F970" s="4" t="e" cm="1">
        <f t="array" ref="F970">AVERAGE(B970:B2477-$I$4/252)/_xlfn.STDEV.S(B970:B2477-$I$4)</f>
        <v>#REF!</v>
      </c>
      <c r="G970" s="4"/>
      <c r="H970" s="4"/>
      <c r="I970" s="4"/>
      <c r="J970" s="4"/>
    </row>
    <row r="971" spans="1:10" x14ac:dyDescent="0.2">
      <c r="A971" t="e">
        <f>LEFT(#REF!,10)</f>
        <v>#REF!</v>
      </c>
      <c r="B971" s="4" t="e">
        <f>(#REF!-#REF!)/#REF!</f>
        <v>#REF!</v>
      </c>
      <c r="C971" s="4" t="e">
        <f>(#REF!-#REF!)/#REF!</f>
        <v>#REF!</v>
      </c>
      <c r="D971" s="4" t="e">
        <f>LN(#REF!/#REF!)</f>
        <v>#REF!</v>
      </c>
      <c r="E971" s="4" t="e">
        <f t="shared" si="16"/>
        <v>#REF!</v>
      </c>
      <c r="F971" s="4" t="e" cm="1">
        <f t="array" ref="F971">AVERAGE(B971:B2478-$I$4/252)/_xlfn.STDEV.S(B971:B2478-$I$4)</f>
        <v>#REF!</v>
      </c>
      <c r="G971" s="4"/>
      <c r="H971" s="4"/>
      <c r="I971" s="4"/>
      <c r="J971" s="4"/>
    </row>
    <row r="972" spans="1:10" x14ac:dyDescent="0.2">
      <c r="A972" t="e">
        <f>LEFT(#REF!,10)</f>
        <v>#REF!</v>
      </c>
      <c r="B972" s="4" t="e">
        <f>(#REF!-#REF!)/#REF!</f>
        <v>#REF!</v>
      </c>
      <c r="C972" s="4" t="e">
        <f>(#REF!-#REF!)/#REF!</f>
        <v>#REF!</v>
      </c>
      <c r="D972" s="4" t="e">
        <f>LN(#REF!/#REF!)</f>
        <v>#REF!</v>
      </c>
      <c r="E972" s="4" t="e">
        <f t="shared" si="16"/>
        <v>#REF!</v>
      </c>
      <c r="F972" s="4" t="e" cm="1">
        <f t="array" ref="F972">AVERAGE(B972:B2479-$I$4/252)/_xlfn.STDEV.S(B972:B2479-$I$4)</f>
        <v>#REF!</v>
      </c>
      <c r="G972" s="4"/>
      <c r="H972" s="4"/>
      <c r="I972" s="4"/>
      <c r="J972" s="4"/>
    </row>
    <row r="973" spans="1:10" x14ac:dyDescent="0.2">
      <c r="A973" t="e">
        <f>LEFT(#REF!,10)</f>
        <v>#REF!</v>
      </c>
      <c r="B973" s="4" t="e">
        <f>(#REF!-#REF!)/#REF!</f>
        <v>#REF!</v>
      </c>
      <c r="C973" s="4" t="e">
        <f>(#REF!-#REF!)/#REF!</f>
        <v>#REF!</v>
      </c>
      <c r="D973" s="4" t="e">
        <f>LN(#REF!/#REF!)</f>
        <v>#REF!</v>
      </c>
      <c r="E973" s="4" t="e">
        <f t="shared" si="16"/>
        <v>#REF!</v>
      </c>
      <c r="F973" s="4" t="e" cm="1">
        <f t="array" ref="F973">AVERAGE(B973:B2480-$I$4/252)/_xlfn.STDEV.S(B973:B2480-$I$4)</f>
        <v>#REF!</v>
      </c>
      <c r="G973" s="4"/>
      <c r="H973" s="4"/>
      <c r="I973" s="4"/>
      <c r="J973" s="4"/>
    </row>
    <row r="974" spans="1:10" x14ac:dyDescent="0.2">
      <c r="A974" t="e">
        <f>LEFT(#REF!,10)</f>
        <v>#REF!</v>
      </c>
      <c r="B974" s="4" t="e">
        <f>(#REF!-#REF!)/#REF!</f>
        <v>#REF!</v>
      </c>
      <c r="C974" s="4" t="e">
        <f>(#REF!-#REF!)/#REF!</f>
        <v>#REF!</v>
      </c>
      <c r="D974" s="4" t="e">
        <f>LN(#REF!/#REF!)</f>
        <v>#REF!</v>
      </c>
      <c r="E974" s="4" t="e">
        <f t="shared" si="16"/>
        <v>#REF!</v>
      </c>
      <c r="F974" s="4" t="e" cm="1">
        <f t="array" ref="F974">AVERAGE(B974:B2481-$I$4/252)/_xlfn.STDEV.S(B974:B2481-$I$4)</f>
        <v>#REF!</v>
      </c>
      <c r="G974" s="4"/>
      <c r="H974" s="4"/>
      <c r="I974" s="4"/>
      <c r="J974" s="4"/>
    </row>
    <row r="975" spans="1:10" x14ac:dyDescent="0.2">
      <c r="A975" t="e">
        <f>LEFT(#REF!,10)</f>
        <v>#REF!</v>
      </c>
      <c r="B975" s="4" t="e">
        <f>(#REF!-#REF!)/#REF!</f>
        <v>#REF!</v>
      </c>
      <c r="C975" s="4" t="e">
        <f>(#REF!-#REF!)/#REF!</f>
        <v>#REF!</v>
      </c>
      <c r="D975" s="4" t="e">
        <f>LN(#REF!/#REF!)</f>
        <v>#REF!</v>
      </c>
      <c r="E975" s="4" t="e">
        <f t="shared" si="16"/>
        <v>#REF!</v>
      </c>
      <c r="F975" s="4" t="e" cm="1">
        <f t="array" ref="F975">AVERAGE(B975:B2482-$I$4/252)/_xlfn.STDEV.S(B975:B2482-$I$4)</f>
        <v>#REF!</v>
      </c>
      <c r="G975" s="4"/>
      <c r="H975" s="4"/>
      <c r="I975" s="4"/>
      <c r="J975" s="4"/>
    </row>
    <row r="976" spans="1:10" x14ac:dyDescent="0.2">
      <c r="A976" t="e">
        <f>LEFT(#REF!,10)</f>
        <v>#REF!</v>
      </c>
      <c r="B976" s="4" t="e">
        <f>(#REF!-#REF!)/#REF!</f>
        <v>#REF!</v>
      </c>
      <c r="C976" s="4" t="e">
        <f>(#REF!-#REF!)/#REF!</f>
        <v>#REF!</v>
      </c>
      <c r="D976" s="4" t="e">
        <f>LN(#REF!/#REF!)</f>
        <v>#REF!</v>
      </c>
      <c r="E976" s="4" t="e">
        <f t="shared" si="16"/>
        <v>#REF!</v>
      </c>
      <c r="F976" s="4" t="e" cm="1">
        <f t="array" ref="F976">AVERAGE(B976:B2483-$I$4/252)/_xlfn.STDEV.S(B976:B2483-$I$4)</f>
        <v>#REF!</v>
      </c>
      <c r="G976" s="4"/>
      <c r="H976" s="4"/>
      <c r="I976" s="4"/>
      <c r="J976" s="4"/>
    </row>
    <row r="977" spans="1:10" x14ac:dyDescent="0.2">
      <c r="A977" t="e">
        <f>LEFT(#REF!,10)</f>
        <v>#REF!</v>
      </c>
      <c r="B977" s="4" t="e">
        <f>(#REF!-#REF!)/#REF!</f>
        <v>#REF!</v>
      </c>
      <c r="C977" s="4" t="e">
        <f>(#REF!-#REF!)/#REF!</f>
        <v>#REF!</v>
      </c>
      <c r="D977" s="4" t="e">
        <f>LN(#REF!/#REF!)</f>
        <v>#REF!</v>
      </c>
      <c r="E977" s="4" t="e">
        <f t="shared" si="16"/>
        <v>#REF!</v>
      </c>
      <c r="F977" s="4" t="e" cm="1">
        <f t="array" ref="F977">AVERAGE(B977:B2484-$I$4/252)/_xlfn.STDEV.S(B977:B2484-$I$4)</f>
        <v>#REF!</v>
      </c>
      <c r="G977" s="4"/>
      <c r="H977" s="4"/>
      <c r="I977" s="4"/>
      <c r="J977" s="4"/>
    </row>
    <row r="978" spans="1:10" x14ac:dyDescent="0.2">
      <c r="A978" t="e">
        <f>LEFT(#REF!,10)</f>
        <v>#REF!</v>
      </c>
      <c r="B978" s="4" t="e">
        <f>(#REF!-#REF!)/#REF!</f>
        <v>#REF!</v>
      </c>
      <c r="C978" s="4" t="e">
        <f>(#REF!-#REF!)/#REF!</f>
        <v>#REF!</v>
      </c>
      <c r="D978" s="4" t="e">
        <f>LN(#REF!/#REF!)</f>
        <v>#REF!</v>
      </c>
      <c r="E978" s="4" t="e">
        <f t="shared" si="16"/>
        <v>#REF!</v>
      </c>
      <c r="F978" s="4" t="e" cm="1">
        <f t="array" ref="F978">AVERAGE(B978:B2485-$I$4/252)/_xlfn.STDEV.S(B978:B2485-$I$4)</f>
        <v>#REF!</v>
      </c>
      <c r="G978" s="4"/>
      <c r="H978" s="4"/>
      <c r="I978" s="4"/>
      <c r="J978" s="4"/>
    </row>
    <row r="979" spans="1:10" x14ac:dyDescent="0.2">
      <c r="A979" t="e">
        <f>LEFT(#REF!,10)</f>
        <v>#REF!</v>
      </c>
      <c r="B979" s="4" t="e">
        <f>(#REF!-#REF!)/#REF!</f>
        <v>#REF!</v>
      </c>
      <c r="C979" s="4" t="e">
        <f>(#REF!-#REF!)/#REF!</f>
        <v>#REF!</v>
      </c>
      <c r="D979" s="4" t="e">
        <f>LN(#REF!/#REF!)</f>
        <v>#REF!</v>
      </c>
      <c r="E979" s="4" t="e">
        <f t="shared" si="16"/>
        <v>#REF!</v>
      </c>
      <c r="F979" s="4" t="e" cm="1">
        <f t="array" ref="F979">AVERAGE(B979:B2486-$I$4/252)/_xlfn.STDEV.S(B979:B2486-$I$4)</f>
        <v>#REF!</v>
      </c>
      <c r="G979" s="4"/>
      <c r="H979" s="4"/>
      <c r="I979" s="4"/>
      <c r="J979" s="4"/>
    </row>
    <row r="980" spans="1:10" x14ac:dyDescent="0.2">
      <c r="A980" t="e">
        <f>LEFT(#REF!,10)</f>
        <v>#REF!</v>
      </c>
      <c r="B980" s="4" t="e">
        <f>(#REF!-#REF!)/#REF!</f>
        <v>#REF!</v>
      </c>
      <c r="C980" s="4" t="e">
        <f>(#REF!-#REF!)/#REF!</f>
        <v>#REF!</v>
      </c>
      <c r="D980" s="4" t="e">
        <f>LN(#REF!/#REF!)</f>
        <v>#REF!</v>
      </c>
      <c r="E980" s="4" t="e">
        <f t="shared" si="16"/>
        <v>#REF!</v>
      </c>
      <c r="F980" s="4" t="e" cm="1">
        <f t="array" ref="F980">AVERAGE(B980:B2487-$I$4/252)/_xlfn.STDEV.S(B980:B2487-$I$4)</f>
        <v>#REF!</v>
      </c>
      <c r="G980" s="4"/>
      <c r="H980" s="4"/>
      <c r="I980" s="4"/>
      <c r="J980" s="4"/>
    </row>
    <row r="981" spans="1:10" x14ac:dyDescent="0.2">
      <c r="A981" t="e">
        <f>LEFT(#REF!,10)</f>
        <v>#REF!</v>
      </c>
      <c r="B981" s="4" t="e">
        <f>(#REF!-#REF!)/#REF!</f>
        <v>#REF!</v>
      </c>
      <c r="C981" s="4" t="e">
        <f>(#REF!-#REF!)/#REF!</f>
        <v>#REF!</v>
      </c>
      <c r="D981" s="4" t="e">
        <f>LN(#REF!/#REF!)</f>
        <v>#REF!</v>
      </c>
      <c r="E981" s="4" t="e">
        <f t="shared" si="16"/>
        <v>#REF!</v>
      </c>
      <c r="F981" s="4" t="e" cm="1">
        <f t="array" ref="F981">AVERAGE(B981:B2488-$I$4/252)/_xlfn.STDEV.S(B981:B2488-$I$4)</f>
        <v>#REF!</v>
      </c>
      <c r="G981" s="4"/>
      <c r="H981" s="4"/>
      <c r="I981" s="4"/>
      <c r="J981" s="4"/>
    </row>
    <row r="982" spans="1:10" x14ac:dyDescent="0.2">
      <c r="A982" t="e">
        <f>LEFT(#REF!,10)</f>
        <v>#REF!</v>
      </c>
      <c r="B982" s="4" t="e">
        <f>(#REF!-#REF!)/#REF!</f>
        <v>#REF!</v>
      </c>
      <c r="C982" s="4" t="e">
        <f>(#REF!-#REF!)/#REF!</f>
        <v>#REF!</v>
      </c>
      <c r="D982" s="4" t="e">
        <f>LN(#REF!/#REF!)</f>
        <v>#REF!</v>
      </c>
      <c r="E982" s="4" t="e">
        <f t="shared" si="16"/>
        <v>#REF!</v>
      </c>
      <c r="F982" s="4" t="e" cm="1">
        <f t="array" ref="F982">AVERAGE(B982:B2489-$I$4/252)/_xlfn.STDEV.S(B982:B2489-$I$4)</f>
        <v>#REF!</v>
      </c>
      <c r="G982" s="4"/>
      <c r="H982" s="4"/>
      <c r="I982" s="4"/>
      <c r="J982" s="4"/>
    </row>
    <row r="983" spans="1:10" x14ac:dyDescent="0.2">
      <c r="A983" t="e">
        <f>LEFT(#REF!,10)</f>
        <v>#REF!</v>
      </c>
      <c r="B983" s="4" t="e">
        <f>(#REF!-#REF!)/#REF!</f>
        <v>#REF!</v>
      </c>
      <c r="C983" s="4" t="e">
        <f>(#REF!-#REF!)/#REF!</f>
        <v>#REF!</v>
      </c>
      <c r="D983" s="4" t="e">
        <f>LN(#REF!/#REF!)</f>
        <v>#REF!</v>
      </c>
      <c r="E983" s="4" t="e">
        <f t="shared" si="16"/>
        <v>#REF!</v>
      </c>
      <c r="F983" s="4" t="e" cm="1">
        <f t="array" ref="F983">AVERAGE(B983:B2490-$I$4/252)/_xlfn.STDEV.S(B983:B2490-$I$4)</f>
        <v>#REF!</v>
      </c>
      <c r="G983" s="4"/>
      <c r="H983" s="4"/>
      <c r="I983" s="4"/>
      <c r="J983" s="4"/>
    </row>
    <row r="984" spans="1:10" x14ac:dyDescent="0.2">
      <c r="A984" t="e">
        <f>LEFT(#REF!,10)</f>
        <v>#REF!</v>
      </c>
      <c r="B984" s="4" t="e">
        <f>(#REF!-#REF!)/#REF!</f>
        <v>#REF!</v>
      </c>
      <c r="C984" s="4" t="e">
        <f>(#REF!-#REF!)/#REF!</f>
        <v>#REF!</v>
      </c>
      <c r="D984" s="4" t="e">
        <f>LN(#REF!/#REF!)</f>
        <v>#REF!</v>
      </c>
      <c r="E984" s="4" t="e">
        <f t="shared" si="16"/>
        <v>#REF!</v>
      </c>
      <c r="F984" s="4" t="e" cm="1">
        <f t="array" ref="F984">AVERAGE(B984:B2491-$I$4/252)/_xlfn.STDEV.S(B984:B2491-$I$4)</f>
        <v>#REF!</v>
      </c>
      <c r="G984" s="4"/>
      <c r="H984" s="4"/>
      <c r="I984" s="4"/>
      <c r="J984" s="4"/>
    </row>
    <row r="985" spans="1:10" x14ac:dyDescent="0.2">
      <c r="A985" t="e">
        <f>LEFT(#REF!,10)</f>
        <v>#REF!</v>
      </c>
      <c r="B985" s="4" t="e">
        <f>(#REF!-#REF!)/#REF!</f>
        <v>#REF!</v>
      </c>
      <c r="C985" s="4" t="e">
        <f>(#REF!-#REF!)/#REF!</f>
        <v>#REF!</v>
      </c>
      <c r="D985" s="4" t="e">
        <f>LN(#REF!/#REF!)</f>
        <v>#REF!</v>
      </c>
      <c r="E985" s="4" t="e">
        <f t="shared" si="16"/>
        <v>#REF!</v>
      </c>
      <c r="F985" s="4" t="e" cm="1">
        <f t="array" ref="F985">AVERAGE(B985:B2492-$I$4/252)/_xlfn.STDEV.S(B985:B2492-$I$4)</f>
        <v>#REF!</v>
      </c>
      <c r="G985" s="4"/>
      <c r="H985" s="4"/>
      <c r="I985" s="4"/>
      <c r="J985" s="4"/>
    </row>
    <row r="986" spans="1:10" x14ac:dyDescent="0.2">
      <c r="A986" t="e">
        <f>LEFT(#REF!,10)</f>
        <v>#REF!</v>
      </c>
      <c r="B986" s="4" t="e">
        <f>(#REF!-#REF!)/#REF!</f>
        <v>#REF!</v>
      </c>
      <c r="C986" s="4" t="e">
        <f>(#REF!-#REF!)/#REF!</f>
        <v>#REF!</v>
      </c>
      <c r="D986" s="4" t="e">
        <f>LN(#REF!/#REF!)</f>
        <v>#REF!</v>
      </c>
      <c r="E986" s="4" t="e">
        <f t="shared" si="16"/>
        <v>#REF!</v>
      </c>
      <c r="F986" s="4" t="e" cm="1">
        <f t="array" ref="F986">AVERAGE(B986:B2493-$I$4/252)/_xlfn.STDEV.S(B986:B2493-$I$4)</f>
        <v>#REF!</v>
      </c>
      <c r="G986" s="4"/>
      <c r="H986" s="4"/>
      <c r="I986" s="4"/>
      <c r="J986" s="4"/>
    </row>
    <row r="987" spans="1:10" x14ac:dyDescent="0.2">
      <c r="A987" t="e">
        <f>LEFT(#REF!,10)</f>
        <v>#REF!</v>
      </c>
      <c r="B987" s="4" t="e">
        <f>(#REF!-#REF!)/#REF!</f>
        <v>#REF!</v>
      </c>
      <c r="C987" s="4" t="e">
        <f>(#REF!-#REF!)/#REF!</f>
        <v>#REF!</v>
      </c>
      <c r="D987" s="4" t="e">
        <f>LN(#REF!/#REF!)</f>
        <v>#REF!</v>
      </c>
      <c r="E987" s="4" t="e">
        <f t="shared" si="16"/>
        <v>#REF!</v>
      </c>
      <c r="F987" s="4" t="e" cm="1">
        <f t="array" ref="F987">AVERAGE(B987:B2494-$I$4/252)/_xlfn.STDEV.S(B987:B2494-$I$4)</f>
        <v>#REF!</v>
      </c>
      <c r="G987" s="4"/>
      <c r="H987" s="4"/>
      <c r="I987" s="4"/>
      <c r="J987" s="4"/>
    </row>
    <row r="988" spans="1:10" x14ac:dyDescent="0.2">
      <c r="A988" t="e">
        <f>LEFT(#REF!,10)</f>
        <v>#REF!</v>
      </c>
      <c r="B988" s="4" t="e">
        <f>(#REF!-#REF!)/#REF!</f>
        <v>#REF!</v>
      </c>
      <c r="C988" s="4" t="e">
        <f>(#REF!-#REF!)/#REF!</f>
        <v>#REF!</v>
      </c>
      <c r="D988" s="4" t="e">
        <f>LN(#REF!/#REF!)</f>
        <v>#REF!</v>
      </c>
      <c r="E988" s="4" t="e">
        <f t="shared" si="16"/>
        <v>#REF!</v>
      </c>
      <c r="F988" s="4" t="e" cm="1">
        <f t="array" ref="F988">AVERAGE(B988:B2495-$I$4/252)/_xlfn.STDEV.S(B988:B2495-$I$4)</f>
        <v>#REF!</v>
      </c>
      <c r="G988" s="4"/>
      <c r="H988" s="4"/>
      <c r="I988" s="4"/>
      <c r="J988" s="4"/>
    </row>
    <row r="989" spans="1:10" x14ac:dyDescent="0.2">
      <c r="A989" t="e">
        <f>LEFT(#REF!,10)</f>
        <v>#REF!</v>
      </c>
      <c r="B989" s="4" t="e">
        <f>(#REF!-#REF!)/#REF!</f>
        <v>#REF!</v>
      </c>
      <c r="C989" s="4" t="e">
        <f>(#REF!-#REF!)/#REF!</f>
        <v>#REF!</v>
      </c>
      <c r="D989" s="4" t="e">
        <f>LN(#REF!/#REF!)</f>
        <v>#REF!</v>
      </c>
      <c r="E989" s="4" t="e">
        <f t="shared" si="16"/>
        <v>#REF!</v>
      </c>
      <c r="F989" s="4" t="e" cm="1">
        <f t="array" ref="F989">AVERAGE(B989:B2496-$I$4/252)/_xlfn.STDEV.S(B989:B2496-$I$4)</f>
        <v>#REF!</v>
      </c>
      <c r="G989" s="4"/>
      <c r="H989" s="4"/>
      <c r="I989" s="4"/>
      <c r="J989" s="4"/>
    </row>
    <row r="990" spans="1:10" x14ac:dyDescent="0.2">
      <c r="A990" t="e">
        <f>LEFT(#REF!,10)</f>
        <v>#REF!</v>
      </c>
      <c r="B990" s="4" t="e">
        <f>(#REF!-#REF!)/#REF!</f>
        <v>#REF!</v>
      </c>
      <c r="C990" s="4" t="e">
        <f>(#REF!-#REF!)/#REF!</f>
        <v>#REF!</v>
      </c>
      <c r="D990" s="4" t="e">
        <f>LN(#REF!/#REF!)</f>
        <v>#REF!</v>
      </c>
      <c r="E990" s="4" t="e">
        <f t="shared" si="16"/>
        <v>#REF!</v>
      </c>
      <c r="F990" s="4" t="e" cm="1">
        <f t="array" ref="F990">AVERAGE(B990:B2497-$I$4/252)/_xlfn.STDEV.S(B990:B2497-$I$4)</f>
        <v>#REF!</v>
      </c>
      <c r="G990" s="4"/>
      <c r="H990" s="4"/>
      <c r="I990" s="4"/>
      <c r="J990" s="4"/>
    </row>
    <row r="991" spans="1:10" x14ac:dyDescent="0.2">
      <c r="A991" t="e">
        <f>LEFT(#REF!,10)</f>
        <v>#REF!</v>
      </c>
      <c r="B991" s="4" t="e">
        <f>(#REF!-#REF!)/#REF!</f>
        <v>#REF!</v>
      </c>
      <c r="C991" s="4" t="e">
        <f>(#REF!-#REF!)/#REF!</f>
        <v>#REF!</v>
      </c>
      <c r="D991" s="4" t="e">
        <f>LN(#REF!/#REF!)</f>
        <v>#REF!</v>
      </c>
      <c r="E991" s="4" t="e">
        <f t="shared" si="16"/>
        <v>#REF!</v>
      </c>
      <c r="F991" s="4" t="e" cm="1">
        <f t="array" ref="F991">AVERAGE(B991:B2498-$I$4/252)/_xlfn.STDEV.S(B991:B2498-$I$4)</f>
        <v>#REF!</v>
      </c>
      <c r="G991" s="4"/>
      <c r="H991" s="4"/>
      <c r="I991" s="4"/>
      <c r="J991" s="4"/>
    </row>
    <row r="992" spans="1:10" x14ac:dyDescent="0.2">
      <c r="A992" t="e">
        <f>LEFT(#REF!,10)</f>
        <v>#REF!</v>
      </c>
      <c r="B992" s="4" t="e">
        <f>(#REF!-#REF!)/#REF!</f>
        <v>#REF!</v>
      </c>
      <c r="C992" s="4" t="e">
        <f>(#REF!-#REF!)/#REF!</f>
        <v>#REF!</v>
      </c>
      <c r="D992" s="4" t="e">
        <f>LN(#REF!/#REF!)</f>
        <v>#REF!</v>
      </c>
      <c r="E992" s="4" t="e">
        <f t="shared" si="16"/>
        <v>#REF!</v>
      </c>
      <c r="F992" s="4" t="e" cm="1">
        <f t="array" ref="F992">AVERAGE(B992:B2499-$I$4/252)/_xlfn.STDEV.S(B992:B2499-$I$4)</f>
        <v>#REF!</v>
      </c>
      <c r="G992" s="4"/>
      <c r="H992" s="4"/>
      <c r="I992" s="4"/>
      <c r="J992" s="4"/>
    </row>
    <row r="993" spans="1:10" x14ac:dyDescent="0.2">
      <c r="A993" t="e">
        <f>LEFT(#REF!,10)</f>
        <v>#REF!</v>
      </c>
      <c r="B993" s="4" t="e">
        <f>(#REF!-#REF!)/#REF!</f>
        <v>#REF!</v>
      </c>
      <c r="C993" s="4" t="e">
        <f>(#REF!-#REF!)/#REF!</f>
        <v>#REF!</v>
      </c>
      <c r="D993" s="4" t="e">
        <f>LN(#REF!/#REF!)</f>
        <v>#REF!</v>
      </c>
      <c r="E993" s="4" t="e">
        <f t="shared" si="16"/>
        <v>#REF!</v>
      </c>
      <c r="F993" s="4" t="e" cm="1">
        <f t="array" ref="F993">AVERAGE(B993:B2500-$I$4/252)/_xlfn.STDEV.S(B993:B2500-$I$4)</f>
        <v>#REF!</v>
      </c>
      <c r="G993" s="4"/>
      <c r="H993" s="4"/>
      <c r="I993" s="4"/>
      <c r="J993" s="4"/>
    </row>
    <row r="994" spans="1:10" x14ac:dyDescent="0.2">
      <c r="A994" t="e">
        <f>LEFT(#REF!,10)</f>
        <v>#REF!</v>
      </c>
      <c r="B994" s="4" t="e">
        <f>(#REF!-#REF!)/#REF!</f>
        <v>#REF!</v>
      </c>
      <c r="C994" s="4" t="e">
        <f>(#REF!-#REF!)/#REF!</f>
        <v>#REF!</v>
      </c>
      <c r="D994" s="4" t="e">
        <f>LN(#REF!/#REF!)</f>
        <v>#REF!</v>
      </c>
      <c r="E994" s="4" t="e">
        <f t="shared" si="16"/>
        <v>#REF!</v>
      </c>
      <c r="F994" s="4" t="e" cm="1">
        <f t="array" ref="F994">AVERAGE(B994:B2501-$I$4/252)/_xlfn.STDEV.S(B994:B2501-$I$4)</f>
        <v>#REF!</v>
      </c>
      <c r="G994" s="4"/>
      <c r="H994" s="4"/>
      <c r="I994" s="4"/>
      <c r="J994" s="4"/>
    </row>
    <row r="995" spans="1:10" x14ac:dyDescent="0.2">
      <c r="A995" t="e">
        <f>LEFT(#REF!,10)</f>
        <v>#REF!</v>
      </c>
      <c r="B995" s="4" t="e">
        <f>(#REF!-#REF!)/#REF!</f>
        <v>#REF!</v>
      </c>
      <c r="C995" s="4" t="e">
        <f>(#REF!-#REF!)/#REF!</f>
        <v>#REF!</v>
      </c>
      <c r="D995" s="4" t="e">
        <f>LN(#REF!/#REF!)</f>
        <v>#REF!</v>
      </c>
      <c r="E995" s="4" t="e">
        <f t="shared" si="16"/>
        <v>#REF!</v>
      </c>
      <c r="F995" s="4" t="e" cm="1">
        <f t="array" ref="F995">AVERAGE(B995:B2502-$I$4/252)/_xlfn.STDEV.S(B995:B2502-$I$4)</f>
        <v>#REF!</v>
      </c>
      <c r="G995" s="4"/>
      <c r="H995" s="4"/>
      <c r="I995" s="4"/>
      <c r="J995" s="4"/>
    </row>
    <row r="996" spans="1:10" x14ac:dyDescent="0.2">
      <c r="A996" t="e">
        <f>LEFT(#REF!,10)</f>
        <v>#REF!</v>
      </c>
      <c r="B996" s="4" t="e">
        <f>(#REF!-#REF!)/#REF!</f>
        <v>#REF!</v>
      </c>
      <c r="C996" s="4" t="e">
        <f>(#REF!-#REF!)/#REF!</f>
        <v>#REF!</v>
      </c>
      <c r="D996" s="4" t="e">
        <f>LN(#REF!/#REF!)</f>
        <v>#REF!</v>
      </c>
      <c r="E996" s="4" t="e">
        <f t="shared" si="16"/>
        <v>#REF!</v>
      </c>
      <c r="F996" s="4" t="e" cm="1">
        <f t="array" ref="F996">AVERAGE(B996:B2503-$I$4/252)/_xlfn.STDEV.S(B996:B2503-$I$4)</f>
        <v>#REF!</v>
      </c>
      <c r="G996" s="4"/>
      <c r="H996" s="4"/>
      <c r="I996" s="4"/>
      <c r="J996" s="4"/>
    </row>
    <row r="997" spans="1:10" x14ac:dyDescent="0.2">
      <c r="A997" t="e">
        <f>LEFT(#REF!,10)</f>
        <v>#REF!</v>
      </c>
      <c r="B997" s="4" t="e">
        <f>(#REF!-#REF!)/#REF!</f>
        <v>#REF!</v>
      </c>
      <c r="C997" s="4" t="e">
        <f>(#REF!-#REF!)/#REF!</f>
        <v>#REF!</v>
      </c>
      <c r="D997" s="4" t="e">
        <f>LN(#REF!/#REF!)</f>
        <v>#REF!</v>
      </c>
      <c r="E997" s="4" t="e">
        <f t="shared" si="16"/>
        <v>#REF!</v>
      </c>
      <c r="F997" s="4" t="e" cm="1">
        <f t="array" ref="F997">AVERAGE(B997:B2504-$I$4/252)/_xlfn.STDEV.S(B997:B2504-$I$4)</f>
        <v>#REF!</v>
      </c>
      <c r="G997" s="4"/>
      <c r="H997" s="4"/>
      <c r="I997" s="4"/>
      <c r="J997" s="4"/>
    </row>
    <row r="998" spans="1:10" x14ac:dyDescent="0.2">
      <c r="A998" t="e">
        <f>LEFT(#REF!,10)</f>
        <v>#REF!</v>
      </c>
      <c r="B998" s="4" t="e">
        <f>(#REF!-#REF!)/#REF!</f>
        <v>#REF!</v>
      </c>
      <c r="C998" s="4" t="e">
        <f>(#REF!-#REF!)/#REF!</f>
        <v>#REF!</v>
      </c>
      <c r="D998" s="4" t="e">
        <f>LN(#REF!/#REF!)</f>
        <v>#REF!</v>
      </c>
      <c r="E998" s="4" t="e">
        <f t="shared" si="16"/>
        <v>#REF!</v>
      </c>
      <c r="F998" s="4" t="e" cm="1">
        <f t="array" ref="F998">AVERAGE(B998:B2505-$I$4/252)/_xlfn.STDEV.S(B998:B2505-$I$4)</f>
        <v>#REF!</v>
      </c>
      <c r="G998" s="4"/>
      <c r="H998" s="4"/>
      <c r="I998" s="4"/>
      <c r="J998" s="4"/>
    </row>
    <row r="999" spans="1:10" x14ac:dyDescent="0.2">
      <c r="A999" t="e">
        <f>LEFT(#REF!,10)</f>
        <v>#REF!</v>
      </c>
      <c r="B999" s="4" t="e">
        <f>(#REF!-#REF!)/#REF!</f>
        <v>#REF!</v>
      </c>
      <c r="C999" s="4" t="e">
        <f>(#REF!-#REF!)/#REF!</f>
        <v>#REF!</v>
      </c>
      <c r="D999" s="4" t="e">
        <f>LN(#REF!/#REF!)</f>
        <v>#REF!</v>
      </c>
      <c r="E999" s="4" t="e">
        <f t="shared" si="16"/>
        <v>#REF!</v>
      </c>
      <c r="F999" s="4" t="e" cm="1">
        <f t="array" ref="F999">AVERAGE(B999:B2506-$I$4/252)/_xlfn.STDEV.S(B999:B2506-$I$4)</f>
        <v>#REF!</v>
      </c>
      <c r="G999" s="4"/>
      <c r="H999" s="4"/>
      <c r="I999" s="4"/>
      <c r="J999" s="4"/>
    </row>
    <row r="1000" spans="1:10" x14ac:dyDescent="0.2">
      <c r="A1000" t="e">
        <f>LEFT(#REF!,10)</f>
        <v>#REF!</v>
      </c>
      <c r="B1000" s="4" t="e">
        <f>(#REF!-#REF!)/#REF!</f>
        <v>#REF!</v>
      </c>
      <c r="C1000" s="4" t="e">
        <f>(#REF!-#REF!)/#REF!</f>
        <v>#REF!</v>
      </c>
      <c r="D1000" s="4" t="e">
        <f>LN(#REF!/#REF!)</f>
        <v>#REF!</v>
      </c>
      <c r="E1000" s="4" t="e">
        <f t="shared" si="16"/>
        <v>#REF!</v>
      </c>
      <c r="F1000" s="4" t="e" cm="1">
        <f t="array" ref="F1000">AVERAGE(B1000:B2507-$I$4/252)/_xlfn.STDEV.S(B1000:B2507-$I$4)</f>
        <v>#REF!</v>
      </c>
      <c r="G1000" s="4"/>
      <c r="H1000" s="4"/>
      <c r="I1000" s="4"/>
      <c r="J1000" s="4"/>
    </row>
    <row r="1001" spans="1:10" x14ac:dyDescent="0.2">
      <c r="A1001" t="e">
        <f>LEFT(#REF!,10)</f>
        <v>#REF!</v>
      </c>
      <c r="B1001" s="4" t="e">
        <f>(#REF!-#REF!)/#REF!</f>
        <v>#REF!</v>
      </c>
      <c r="C1001" s="4" t="e">
        <f>(#REF!-#REF!)/#REF!</f>
        <v>#REF!</v>
      </c>
      <c r="D1001" s="4" t="e">
        <f>LN(#REF!/#REF!)</f>
        <v>#REF!</v>
      </c>
      <c r="E1001" s="4" t="e">
        <f t="shared" si="16"/>
        <v>#REF!</v>
      </c>
      <c r="F1001" s="4" t="e" cm="1">
        <f t="array" ref="F1001">AVERAGE(B1001:B2508-$I$4/252)/_xlfn.STDEV.S(B1001:B2508-$I$4)</f>
        <v>#REF!</v>
      </c>
      <c r="G1001" s="4"/>
      <c r="H1001" s="4"/>
      <c r="I1001" s="4"/>
      <c r="J1001" s="4"/>
    </row>
    <row r="1002" spans="1:10" x14ac:dyDescent="0.2">
      <c r="A1002" t="e">
        <f>LEFT(#REF!,10)</f>
        <v>#REF!</v>
      </c>
      <c r="B1002" s="4" t="e">
        <f>(#REF!-#REF!)/#REF!</f>
        <v>#REF!</v>
      </c>
      <c r="C1002" s="4" t="e">
        <f>(#REF!-#REF!)/#REF!</f>
        <v>#REF!</v>
      </c>
      <c r="D1002" s="4" t="e">
        <f>LN(#REF!/#REF!)</f>
        <v>#REF!</v>
      </c>
      <c r="E1002" s="4" t="e">
        <f t="shared" si="16"/>
        <v>#REF!</v>
      </c>
      <c r="F1002" s="4" t="e" cm="1">
        <f t="array" ref="F1002">AVERAGE(B1002:B2509-$I$4/252)/_xlfn.STDEV.S(B1002:B2509-$I$4)</f>
        <v>#REF!</v>
      </c>
      <c r="G1002" s="4"/>
      <c r="H1002" s="4"/>
      <c r="I1002" s="4"/>
      <c r="J1002" s="4"/>
    </row>
    <row r="1003" spans="1:10" x14ac:dyDescent="0.2">
      <c r="A1003" t="e">
        <f>LEFT(#REF!,10)</f>
        <v>#REF!</v>
      </c>
      <c r="B1003" s="4" t="e">
        <f>(#REF!-#REF!)/#REF!</f>
        <v>#REF!</v>
      </c>
      <c r="C1003" s="4" t="e">
        <f>(#REF!-#REF!)/#REF!</f>
        <v>#REF!</v>
      </c>
      <c r="D1003" s="4" t="e">
        <f>LN(#REF!/#REF!)</f>
        <v>#REF!</v>
      </c>
      <c r="E1003" s="4" t="e">
        <f t="shared" si="16"/>
        <v>#REF!</v>
      </c>
      <c r="F1003" s="4" t="e" cm="1">
        <f t="array" ref="F1003">AVERAGE(B1003:B2510-$I$4/252)/_xlfn.STDEV.S(B1003:B2510-$I$4)</f>
        <v>#REF!</v>
      </c>
      <c r="G1003" s="4"/>
      <c r="H1003" s="4"/>
      <c r="I1003" s="4"/>
      <c r="J1003" s="4"/>
    </row>
    <row r="1004" spans="1:10" x14ac:dyDescent="0.2">
      <c r="A1004" t="e">
        <f>LEFT(#REF!,10)</f>
        <v>#REF!</v>
      </c>
      <c r="B1004" s="4" t="e">
        <f>(#REF!-#REF!)/#REF!</f>
        <v>#REF!</v>
      </c>
      <c r="C1004" s="4" t="e">
        <f>(#REF!-#REF!)/#REF!</f>
        <v>#REF!</v>
      </c>
      <c r="D1004" s="4" t="e">
        <f>LN(#REF!/#REF!)</f>
        <v>#REF!</v>
      </c>
      <c r="E1004" s="4" t="e">
        <f t="shared" si="16"/>
        <v>#REF!</v>
      </c>
      <c r="F1004" s="4" t="e" cm="1">
        <f t="array" ref="F1004">AVERAGE(B1004:B2511-$I$4/252)/_xlfn.STDEV.S(B1004:B2511-$I$4)</f>
        <v>#REF!</v>
      </c>
      <c r="G1004" s="4"/>
      <c r="H1004" s="4"/>
      <c r="I1004" s="4"/>
      <c r="J1004" s="4"/>
    </row>
    <row r="1005" spans="1:10" x14ac:dyDescent="0.2">
      <c r="A1005" t="e">
        <f>LEFT(#REF!,10)</f>
        <v>#REF!</v>
      </c>
      <c r="B1005" s="4" t="e">
        <f>(#REF!-#REF!)/#REF!</f>
        <v>#REF!</v>
      </c>
      <c r="C1005" s="4" t="e">
        <f>(#REF!-#REF!)/#REF!</f>
        <v>#REF!</v>
      </c>
      <c r="D1005" s="4" t="e">
        <f>LN(#REF!/#REF!)</f>
        <v>#REF!</v>
      </c>
      <c r="E1005" s="4" t="e">
        <f t="shared" si="16"/>
        <v>#REF!</v>
      </c>
      <c r="F1005" s="4" t="e" cm="1">
        <f t="array" ref="F1005">AVERAGE(B1005:B2512-$I$4/252)/_xlfn.STDEV.S(B1005:B2512-$I$4)</f>
        <v>#REF!</v>
      </c>
      <c r="G1005" s="4"/>
      <c r="H1005" s="4"/>
      <c r="I1005" s="4"/>
      <c r="J1005" s="4"/>
    </row>
    <row r="1006" spans="1:10" x14ac:dyDescent="0.2">
      <c r="A1006" t="e">
        <f>LEFT(#REF!,10)</f>
        <v>#REF!</v>
      </c>
      <c r="B1006" s="4" t="e">
        <f>(#REF!-#REF!)/#REF!</f>
        <v>#REF!</v>
      </c>
      <c r="C1006" s="4" t="e">
        <f>(#REF!-#REF!)/#REF!</f>
        <v>#REF!</v>
      </c>
      <c r="D1006" s="4" t="e">
        <f>LN(#REF!/#REF!)</f>
        <v>#REF!</v>
      </c>
      <c r="E1006" s="4" t="e">
        <f t="shared" si="16"/>
        <v>#REF!</v>
      </c>
      <c r="F1006" s="4" t="e" cm="1">
        <f t="array" ref="F1006">AVERAGE(B1006:B2513-$I$4/252)/_xlfn.STDEV.S(B1006:B2513-$I$4)</f>
        <v>#REF!</v>
      </c>
      <c r="G1006" s="4"/>
      <c r="H1006" s="4"/>
      <c r="I1006" s="4"/>
      <c r="J1006" s="4"/>
    </row>
    <row r="1007" spans="1:10" x14ac:dyDescent="0.2">
      <c r="A1007" t="e">
        <f>LEFT(#REF!,10)</f>
        <v>#REF!</v>
      </c>
      <c r="B1007" s="4" t="e">
        <f>(#REF!-#REF!)/#REF!</f>
        <v>#REF!</v>
      </c>
      <c r="C1007" s="4" t="e">
        <f>(#REF!-#REF!)/#REF!</f>
        <v>#REF!</v>
      </c>
      <c r="D1007" s="4" t="e">
        <f>LN(#REF!/#REF!)</f>
        <v>#REF!</v>
      </c>
      <c r="E1007" s="4" t="e">
        <f t="shared" si="16"/>
        <v>#REF!</v>
      </c>
      <c r="F1007" s="4" t="e" cm="1">
        <f t="array" ref="F1007">AVERAGE(B1007:B2514-$I$4/252)/_xlfn.STDEV.S(B1007:B2514-$I$4)</f>
        <v>#REF!</v>
      </c>
      <c r="G1007" s="4"/>
      <c r="H1007" s="4"/>
      <c r="I1007" s="4"/>
      <c r="J1007" s="4"/>
    </row>
    <row r="1008" spans="1:10" x14ac:dyDescent="0.2">
      <c r="A1008" t="e">
        <f>LEFT(#REF!,10)</f>
        <v>#REF!</v>
      </c>
      <c r="B1008" s="4" t="e">
        <f>(#REF!-#REF!)/#REF!</f>
        <v>#REF!</v>
      </c>
      <c r="C1008" s="4" t="e">
        <f>(#REF!-#REF!)/#REF!</f>
        <v>#REF!</v>
      </c>
      <c r="D1008" s="4" t="e">
        <f>LN(#REF!/#REF!)</f>
        <v>#REF!</v>
      </c>
      <c r="E1008" s="4" t="e">
        <f t="shared" si="16"/>
        <v>#REF!</v>
      </c>
      <c r="F1008" s="4" t="e" cm="1">
        <f t="array" ref="F1008">AVERAGE(B1008:B2515-$I$4/252)/_xlfn.STDEV.S(B1008:B2515-$I$4)</f>
        <v>#REF!</v>
      </c>
      <c r="G1008" s="4"/>
      <c r="H1008" s="4"/>
      <c r="I1008" s="4"/>
      <c r="J1008" s="4"/>
    </row>
    <row r="1009" spans="1:10" x14ac:dyDescent="0.2">
      <c r="A1009" t="e">
        <f>LEFT(#REF!,10)</f>
        <v>#REF!</v>
      </c>
      <c r="B1009" s="4" t="e">
        <f>(#REF!-#REF!)/#REF!</f>
        <v>#REF!</v>
      </c>
      <c r="C1009" s="4" t="e">
        <f>(#REF!-#REF!)/#REF!</f>
        <v>#REF!</v>
      </c>
      <c r="D1009" s="4" t="e">
        <f>LN(#REF!/#REF!)</f>
        <v>#REF!</v>
      </c>
      <c r="E1009" s="4" t="e">
        <f t="shared" si="16"/>
        <v>#REF!</v>
      </c>
      <c r="F1009" s="4" t="e" cm="1">
        <f t="array" ref="F1009">AVERAGE(B1009:B2516-$I$4/252)/_xlfn.STDEV.S(B1009:B2516-$I$4)</f>
        <v>#REF!</v>
      </c>
      <c r="G1009" s="4"/>
      <c r="H1009" s="4"/>
      <c r="I1009" s="4"/>
      <c r="J1009" s="4"/>
    </row>
    <row r="1010" spans="1:10" x14ac:dyDescent="0.2">
      <c r="A1010" t="e">
        <f>LEFT(#REF!,10)</f>
        <v>#REF!</v>
      </c>
      <c r="B1010" s="4" t="e">
        <f>(#REF!-#REF!)/#REF!</f>
        <v>#REF!</v>
      </c>
      <c r="C1010" s="4" t="e">
        <f>(#REF!-#REF!)/#REF!</f>
        <v>#REF!</v>
      </c>
      <c r="D1010" s="4" t="e">
        <f>LN(#REF!/#REF!)</f>
        <v>#REF!</v>
      </c>
      <c r="E1010" s="4" t="e">
        <f t="shared" si="16"/>
        <v>#REF!</v>
      </c>
      <c r="F1010" s="4" t="e" cm="1">
        <f t="array" ref="F1010">AVERAGE(B1010:B2517-$I$4/252)/_xlfn.STDEV.S(B1010:B2517-$I$4)</f>
        <v>#REF!</v>
      </c>
      <c r="G1010" s="4"/>
      <c r="H1010" s="4"/>
      <c r="I1010" s="4"/>
      <c r="J1010" s="4"/>
    </row>
    <row r="1011" spans="1:10" x14ac:dyDescent="0.2">
      <c r="A1011" t="e">
        <f>LEFT(#REF!,10)</f>
        <v>#REF!</v>
      </c>
      <c r="B1011" s="4" t="e">
        <f>(#REF!-#REF!)/#REF!</f>
        <v>#REF!</v>
      </c>
      <c r="C1011" s="4" t="e">
        <f>(#REF!-#REF!)/#REF!</f>
        <v>#REF!</v>
      </c>
      <c r="D1011" s="4" t="e">
        <f>LN(#REF!/#REF!)</f>
        <v>#REF!</v>
      </c>
      <c r="E1011" s="4" t="e">
        <f t="shared" si="16"/>
        <v>#REF!</v>
      </c>
      <c r="F1011" s="4" t="e" cm="1">
        <f t="array" ref="F1011">AVERAGE(B1011:B2518-$I$4/252)/_xlfn.STDEV.S(B1011:B2518-$I$4)</f>
        <v>#REF!</v>
      </c>
      <c r="G1011" s="6" t="e">
        <f>M19-($I$4+M11*(N19-$I$4))</f>
        <v>#REF!</v>
      </c>
      <c r="H1011" s="6" t="e">
        <f>_xlfn.COVARIANCE.S(B1011:B1260,C1011:C1260)/_xlfn.VAR.S(C1011:C1260)</f>
        <v>#REF!</v>
      </c>
      <c r="I1011" s="4"/>
      <c r="J1011" s="6" t="e">
        <f>(M19-$I$4)/M11</f>
        <v>#REF!</v>
      </c>
    </row>
    <row r="1012" spans="1:10" x14ac:dyDescent="0.2">
      <c r="A1012" t="e">
        <f>LEFT(#REF!,10)</f>
        <v>#REF!</v>
      </c>
      <c r="B1012" s="4" t="e">
        <f>(#REF!-#REF!)/#REF!</f>
        <v>#REF!</v>
      </c>
      <c r="C1012" s="4" t="e">
        <f>(#REF!-#REF!)/#REF!</f>
        <v>#REF!</v>
      </c>
      <c r="D1012" s="4" t="e">
        <f>LN(#REF!/#REF!)</f>
        <v>#REF!</v>
      </c>
      <c r="E1012" s="4" t="e">
        <f t="shared" si="16"/>
        <v>#REF!</v>
      </c>
      <c r="F1012" s="4" t="e" cm="1">
        <f t="array" ref="F1012">AVERAGE(B1012:B2519-$I$4/252)/_xlfn.STDEV.S(B1012:B2519-$I$4)</f>
        <v>#REF!</v>
      </c>
      <c r="G1012" s="4"/>
      <c r="H1012" s="4"/>
      <c r="I1012" s="4"/>
      <c r="J1012" s="4"/>
    </row>
    <row r="1013" spans="1:10" x14ac:dyDescent="0.2">
      <c r="A1013" t="e">
        <f>LEFT(#REF!,10)</f>
        <v>#REF!</v>
      </c>
      <c r="B1013" s="4" t="e">
        <f>(#REF!-#REF!)/#REF!</f>
        <v>#REF!</v>
      </c>
      <c r="C1013" s="4" t="e">
        <f>(#REF!-#REF!)/#REF!</f>
        <v>#REF!</v>
      </c>
      <c r="D1013" s="4" t="e">
        <f>LN(#REF!/#REF!)</f>
        <v>#REF!</v>
      </c>
      <c r="E1013" s="4" t="e">
        <f t="shared" si="16"/>
        <v>#REF!</v>
      </c>
      <c r="F1013" s="4" t="e" cm="1">
        <f t="array" ref="F1013">AVERAGE(B1013:B2520-$I$4/252)/_xlfn.STDEV.S(B1013:B2520-$I$4)</f>
        <v>#REF!</v>
      </c>
      <c r="G1013" s="4"/>
      <c r="H1013" s="4"/>
      <c r="I1013" s="4"/>
      <c r="J1013" s="4"/>
    </row>
    <row r="1014" spans="1:10" x14ac:dyDescent="0.2">
      <c r="A1014" t="e">
        <f>LEFT(#REF!,10)</f>
        <v>#REF!</v>
      </c>
      <c r="B1014" s="4" t="e">
        <f>(#REF!-#REF!)/#REF!</f>
        <v>#REF!</v>
      </c>
      <c r="C1014" s="4" t="e">
        <f>(#REF!-#REF!)/#REF!</f>
        <v>#REF!</v>
      </c>
      <c r="D1014" s="4" t="e">
        <f>LN(#REF!/#REF!)</f>
        <v>#REF!</v>
      </c>
      <c r="E1014" s="4" t="e">
        <f t="shared" si="16"/>
        <v>#REF!</v>
      </c>
      <c r="F1014" s="4" t="e" cm="1">
        <f t="array" ref="F1014">AVERAGE(B1014:B2521-$I$4/252)/_xlfn.STDEV.S(B1014:B2521-$I$4)</f>
        <v>#REF!</v>
      </c>
      <c r="G1014" s="4"/>
      <c r="H1014" s="4"/>
      <c r="I1014" s="4"/>
      <c r="J1014" s="4"/>
    </row>
    <row r="1015" spans="1:10" x14ac:dyDescent="0.2">
      <c r="A1015" t="e">
        <f>LEFT(#REF!,10)</f>
        <v>#REF!</v>
      </c>
      <c r="B1015" s="4" t="e">
        <f>(#REF!-#REF!)/#REF!</f>
        <v>#REF!</v>
      </c>
      <c r="C1015" s="4" t="e">
        <f>(#REF!-#REF!)/#REF!</f>
        <v>#REF!</v>
      </c>
      <c r="D1015" s="4" t="e">
        <f>LN(#REF!/#REF!)</f>
        <v>#REF!</v>
      </c>
      <c r="E1015" s="4" t="e">
        <f t="shared" si="16"/>
        <v>#REF!</v>
      </c>
      <c r="F1015" s="4" t="e" cm="1">
        <f t="array" ref="F1015">AVERAGE(B1015:B2522-$I$4/252)/_xlfn.STDEV.S(B1015:B2522-$I$4)</f>
        <v>#REF!</v>
      </c>
      <c r="G1015" s="4"/>
      <c r="H1015" s="4"/>
      <c r="I1015" s="4"/>
      <c r="J1015" s="4"/>
    </row>
    <row r="1016" spans="1:10" x14ac:dyDescent="0.2">
      <c r="A1016" t="e">
        <f>LEFT(#REF!,10)</f>
        <v>#REF!</v>
      </c>
      <c r="B1016" s="4" t="e">
        <f>(#REF!-#REF!)/#REF!</f>
        <v>#REF!</v>
      </c>
      <c r="C1016" s="4" t="e">
        <f>(#REF!-#REF!)/#REF!</f>
        <v>#REF!</v>
      </c>
      <c r="D1016" s="4" t="e">
        <f>LN(#REF!/#REF!)</f>
        <v>#REF!</v>
      </c>
      <c r="E1016" s="4" t="e">
        <f t="shared" si="16"/>
        <v>#REF!</v>
      </c>
      <c r="F1016" s="4" t="e" cm="1">
        <f t="array" ref="F1016">AVERAGE(B1016:B2523-$I$4/252)/_xlfn.STDEV.S(B1016:B2523-$I$4)</f>
        <v>#REF!</v>
      </c>
      <c r="G1016" s="4"/>
      <c r="H1016" s="4"/>
      <c r="I1016" s="4"/>
      <c r="J1016" s="4"/>
    </row>
    <row r="1017" spans="1:10" x14ac:dyDescent="0.2">
      <c r="A1017" t="e">
        <f>LEFT(#REF!,10)</f>
        <v>#REF!</v>
      </c>
      <c r="B1017" s="4" t="e">
        <f>(#REF!-#REF!)/#REF!</f>
        <v>#REF!</v>
      </c>
      <c r="C1017" s="4" t="e">
        <f>(#REF!-#REF!)/#REF!</f>
        <v>#REF!</v>
      </c>
      <c r="D1017" s="4" t="e">
        <f>LN(#REF!/#REF!)</f>
        <v>#REF!</v>
      </c>
      <c r="E1017" s="4" t="e">
        <f t="shared" si="16"/>
        <v>#REF!</v>
      </c>
      <c r="F1017" s="4" t="e" cm="1">
        <f t="array" ref="F1017">AVERAGE(B1017:B2524-$I$4/252)/_xlfn.STDEV.S(B1017:B2524-$I$4)</f>
        <v>#REF!</v>
      </c>
      <c r="G1017" s="4"/>
      <c r="H1017" s="4"/>
      <c r="I1017" s="4"/>
      <c r="J1017" s="4"/>
    </row>
    <row r="1018" spans="1:10" x14ac:dyDescent="0.2">
      <c r="A1018" t="e">
        <f>LEFT(#REF!,10)</f>
        <v>#REF!</v>
      </c>
      <c r="B1018" s="4" t="e">
        <f>(#REF!-#REF!)/#REF!</f>
        <v>#REF!</v>
      </c>
      <c r="C1018" s="4" t="e">
        <f>(#REF!-#REF!)/#REF!</f>
        <v>#REF!</v>
      </c>
      <c r="D1018" s="4" t="e">
        <f>LN(#REF!/#REF!)</f>
        <v>#REF!</v>
      </c>
      <c r="E1018" s="4" t="e">
        <f t="shared" si="16"/>
        <v>#REF!</v>
      </c>
      <c r="F1018" s="4" t="e" cm="1">
        <f t="array" ref="F1018">AVERAGE(B1018:B2525-$I$4/252)/_xlfn.STDEV.S(B1018:B2525-$I$4)</f>
        <v>#REF!</v>
      </c>
      <c r="G1018" s="4"/>
      <c r="H1018" s="4"/>
      <c r="I1018" s="4"/>
      <c r="J1018" s="4"/>
    </row>
    <row r="1019" spans="1:10" x14ac:dyDescent="0.2">
      <c r="A1019" t="e">
        <f>LEFT(#REF!,10)</f>
        <v>#REF!</v>
      </c>
      <c r="B1019" s="4" t="e">
        <f>(#REF!-#REF!)/#REF!</f>
        <v>#REF!</v>
      </c>
      <c r="C1019" s="4" t="e">
        <f>(#REF!-#REF!)/#REF!</f>
        <v>#REF!</v>
      </c>
      <c r="D1019" s="4" t="e">
        <f>LN(#REF!/#REF!)</f>
        <v>#REF!</v>
      </c>
      <c r="E1019" s="4" t="e">
        <f t="shared" si="16"/>
        <v>#REF!</v>
      </c>
      <c r="F1019" s="4" t="e" cm="1">
        <f t="array" ref="F1019">AVERAGE(B1019:B2526-$I$4/252)/_xlfn.STDEV.S(B1019:B2526-$I$4)</f>
        <v>#REF!</v>
      </c>
      <c r="G1019" s="4"/>
      <c r="H1019" s="4"/>
      <c r="I1019" s="4"/>
      <c r="J1019" s="4"/>
    </row>
    <row r="1020" spans="1:10" x14ac:dyDescent="0.2">
      <c r="A1020" t="e">
        <f>LEFT(#REF!,10)</f>
        <v>#REF!</v>
      </c>
      <c r="B1020" s="4" t="e">
        <f>(#REF!-#REF!)/#REF!</f>
        <v>#REF!</v>
      </c>
      <c r="C1020" s="4" t="e">
        <f>(#REF!-#REF!)/#REF!</f>
        <v>#REF!</v>
      </c>
      <c r="D1020" s="4" t="e">
        <f>LN(#REF!/#REF!)</f>
        <v>#REF!</v>
      </c>
      <c r="E1020" s="4" t="e">
        <f t="shared" si="16"/>
        <v>#REF!</v>
      </c>
      <c r="F1020" s="4" t="e" cm="1">
        <f t="array" ref="F1020">AVERAGE(B1020:B2527-$I$4/252)/_xlfn.STDEV.S(B1020:B2527-$I$4)</f>
        <v>#REF!</v>
      </c>
      <c r="G1020" s="4"/>
      <c r="H1020" s="4"/>
      <c r="I1020" s="4"/>
      <c r="J1020" s="4"/>
    </row>
    <row r="1021" spans="1:10" x14ac:dyDescent="0.2">
      <c r="A1021" t="e">
        <f>LEFT(#REF!,10)</f>
        <v>#REF!</v>
      </c>
      <c r="B1021" s="4" t="e">
        <f>(#REF!-#REF!)/#REF!</f>
        <v>#REF!</v>
      </c>
      <c r="C1021" s="4" t="e">
        <f>(#REF!-#REF!)/#REF!</f>
        <v>#REF!</v>
      </c>
      <c r="D1021" s="4" t="e">
        <f>LN(#REF!/#REF!)</f>
        <v>#REF!</v>
      </c>
      <c r="E1021" s="4" t="e">
        <f t="shared" si="16"/>
        <v>#REF!</v>
      </c>
      <c r="F1021" s="4" t="e" cm="1">
        <f t="array" ref="F1021">AVERAGE(B1021:B2528-$I$4/252)/_xlfn.STDEV.S(B1021:B2528-$I$4)</f>
        <v>#REF!</v>
      </c>
      <c r="G1021" s="4"/>
      <c r="H1021" s="4"/>
      <c r="I1021" s="4"/>
      <c r="J1021" s="4"/>
    </row>
    <row r="1022" spans="1:10" x14ac:dyDescent="0.2">
      <c r="A1022" t="e">
        <f>LEFT(#REF!,10)</f>
        <v>#REF!</v>
      </c>
      <c r="B1022" s="4" t="e">
        <f>(#REF!-#REF!)/#REF!</f>
        <v>#REF!</v>
      </c>
      <c r="C1022" s="4" t="e">
        <f>(#REF!-#REF!)/#REF!</f>
        <v>#REF!</v>
      </c>
      <c r="D1022" s="4" t="e">
        <f>LN(#REF!/#REF!)</f>
        <v>#REF!</v>
      </c>
      <c r="E1022" s="4" t="e">
        <f t="shared" si="16"/>
        <v>#REF!</v>
      </c>
      <c r="F1022" s="4" t="e" cm="1">
        <f t="array" ref="F1022">AVERAGE(B1022:B2529-$I$4/252)/_xlfn.STDEV.S(B1022:B2529-$I$4)</f>
        <v>#REF!</v>
      </c>
      <c r="G1022" s="4"/>
      <c r="H1022" s="4"/>
      <c r="I1022" s="4"/>
      <c r="J1022" s="4"/>
    </row>
    <row r="1023" spans="1:10" x14ac:dyDescent="0.2">
      <c r="A1023" t="e">
        <f>LEFT(#REF!,10)</f>
        <v>#REF!</v>
      </c>
      <c r="B1023" s="4" t="e">
        <f>(#REF!-#REF!)/#REF!</f>
        <v>#REF!</v>
      </c>
      <c r="C1023" s="4" t="e">
        <f>(#REF!-#REF!)/#REF!</f>
        <v>#REF!</v>
      </c>
      <c r="D1023" s="4" t="e">
        <f>LN(#REF!/#REF!)</f>
        <v>#REF!</v>
      </c>
      <c r="E1023" s="4" t="e">
        <f t="shared" si="16"/>
        <v>#REF!</v>
      </c>
      <c r="F1023" s="4" t="e" cm="1">
        <f t="array" ref="F1023">AVERAGE(B1023:B2530-$I$4/252)/_xlfn.STDEV.S(B1023:B2530-$I$4)</f>
        <v>#REF!</v>
      </c>
      <c r="G1023" s="4"/>
      <c r="H1023" s="4"/>
      <c r="I1023" s="4"/>
      <c r="J1023" s="4"/>
    </row>
    <row r="1024" spans="1:10" x14ac:dyDescent="0.2">
      <c r="A1024" t="e">
        <f>LEFT(#REF!,10)</f>
        <v>#REF!</v>
      </c>
      <c r="B1024" s="4" t="e">
        <f>(#REF!-#REF!)/#REF!</f>
        <v>#REF!</v>
      </c>
      <c r="C1024" s="4" t="e">
        <f>(#REF!-#REF!)/#REF!</f>
        <v>#REF!</v>
      </c>
      <c r="D1024" s="4" t="e">
        <f>LN(#REF!/#REF!)</f>
        <v>#REF!</v>
      </c>
      <c r="E1024" s="4" t="e">
        <f t="shared" si="16"/>
        <v>#REF!</v>
      </c>
      <c r="F1024" s="4" t="e" cm="1">
        <f t="array" ref="F1024">AVERAGE(B1024:B2531-$I$4/252)/_xlfn.STDEV.S(B1024:B2531-$I$4)</f>
        <v>#REF!</v>
      </c>
      <c r="G1024" s="4"/>
      <c r="H1024" s="4"/>
      <c r="I1024" s="4"/>
      <c r="J1024" s="4"/>
    </row>
    <row r="1025" spans="1:10" x14ac:dyDescent="0.2">
      <c r="A1025" t="e">
        <f>LEFT(#REF!,10)</f>
        <v>#REF!</v>
      </c>
      <c r="B1025" s="4" t="e">
        <f>(#REF!-#REF!)/#REF!</f>
        <v>#REF!</v>
      </c>
      <c r="C1025" s="4" t="e">
        <f>(#REF!-#REF!)/#REF!</f>
        <v>#REF!</v>
      </c>
      <c r="D1025" s="4" t="e">
        <f>LN(#REF!/#REF!)</f>
        <v>#REF!</v>
      </c>
      <c r="E1025" s="4" t="e">
        <f t="shared" si="16"/>
        <v>#REF!</v>
      </c>
      <c r="F1025" s="4" t="e" cm="1">
        <f t="array" ref="F1025">AVERAGE(B1025:B2532-$I$4/252)/_xlfn.STDEV.S(B1025:B2532-$I$4)</f>
        <v>#REF!</v>
      </c>
      <c r="G1025" s="4"/>
      <c r="H1025" s="4"/>
      <c r="I1025" s="4"/>
      <c r="J1025" s="4"/>
    </row>
    <row r="1026" spans="1:10" x14ac:dyDescent="0.2">
      <c r="A1026" t="e">
        <f>LEFT(#REF!,10)</f>
        <v>#REF!</v>
      </c>
      <c r="B1026" s="4" t="e">
        <f>(#REF!-#REF!)/#REF!</f>
        <v>#REF!</v>
      </c>
      <c r="C1026" s="4" t="e">
        <f>(#REF!-#REF!)/#REF!</f>
        <v>#REF!</v>
      </c>
      <c r="D1026" s="4" t="e">
        <f>LN(#REF!/#REF!)</f>
        <v>#REF!</v>
      </c>
      <c r="E1026" s="4" t="e">
        <f t="shared" si="16"/>
        <v>#REF!</v>
      </c>
      <c r="F1026" s="4" t="e" cm="1">
        <f t="array" ref="F1026">AVERAGE(B1026:B2533-$I$4/252)/_xlfn.STDEV.S(B1026:B2533-$I$4)</f>
        <v>#REF!</v>
      </c>
      <c r="G1026" s="4"/>
      <c r="H1026" s="4"/>
      <c r="I1026" s="4"/>
      <c r="J1026" s="4"/>
    </row>
    <row r="1027" spans="1:10" x14ac:dyDescent="0.2">
      <c r="A1027" t="e">
        <f>LEFT(#REF!,10)</f>
        <v>#REF!</v>
      </c>
      <c r="B1027" s="4" t="e">
        <f>(#REF!-#REF!)/#REF!</f>
        <v>#REF!</v>
      </c>
      <c r="C1027" s="4" t="e">
        <f>(#REF!-#REF!)/#REF!</f>
        <v>#REF!</v>
      </c>
      <c r="D1027" s="4" t="e">
        <f>LN(#REF!/#REF!)</f>
        <v>#REF!</v>
      </c>
      <c r="E1027" s="4" t="e">
        <f t="shared" si="16"/>
        <v>#REF!</v>
      </c>
      <c r="F1027" s="4" t="e" cm="1">
        <f t="array" ref="F1027">AVERAGE(B1027:B2534-$I$4/252)/_xlfn.STDEV.S(B1027:B2534-$I$4)</f>
        <v>#REF!</v>
      </c>
      <c r="G1027" s="4"/>
      <c r="H1027" s="4"/>
      <c r="I1027" s="4"/>
      <c r="J1027" s="4"/>
    </row>
    <row r="1028" spans="1:10" x14ac:dyDescent="0.2">
      <c r="A1028" t="e">
        <f>LEFT(#REF!,10)</f>
        <v>#REF!</v>
      </c>
      <c r="B1028" s="4" t="e">
        <f>(#REF!-#REF!)/#REF!</f>
        <v>#REF!</v>
      </c>
      <c r="C1028" s="4" t="e">
        <f>(#REF!-#REF!)/#REF!</f>
        <v>#REF!</v>
      </c>
      <c r="D1028" s="4" t="e">
        <f>LN(#REF!/#REF!)</f>
        <v>#REF!</v>
      </c>
      <c r="E1028" s="4" t="e">
        <f t="shared" si="16"/>
        <v>#REF!</v>
      </c>
      <c r="F1028" s="4" t="e" cm="1">
        <f t="array" ref="F1028">AVERAGE(B1028:B2535-$I$4/252)/_xlfn.STDEV.S(B1028:B2535-$I$4)</f>
        <v>#REF!</v>
      </c>
      <c r="G1028" s="4"/>
      <c r="H1028" s="4"/>
      <c r="I1028" s="4"/>
      <c r="J1028" s="4"/>
    </row>
    <row r="1029" spans="1:10" x14ac:dyDescent="0.2">
      <c r="A1029" t="e">
        <f>LEFT(#REF!,10)</f>
        <v>#REF!</v>
      </c>
      <c r="B1029" s="4" t="e">
        <f>(#REF!-#REF!)/#REF!</f>
        <v>#REF!</v>
      </c>
      <c r="C1029" s="4" t="e">
        <f>(#REF!-#REF!)/#REF!</f>
        <v>#REF!</v>
      </c>
      <c r="D1029" s="4" t="e">
        <f>LN(#REF!/#REF!)</f>
        <v>#REF!</v>
      </c>
      <c r="E1029" s="4" t="e">
        <f t="shared" ref="E1029:E1092" si="17">_xlfn.STDEV.S(D1029:D1048)</f>
        <v>#REF!</v>
      </c>
      <c r="F1029" s="4" t="e" cm="1">
        <f t="array" ref="F1029">AVERAGE(B1029:B2536-$I$4/252)/_xlfn.STDEV.S(B1029:B2536-$I$4)</f>
        <v>#REF!</v>
      </c>
      <c r="G1029" s="4"/>
      <c r="H1029" s="4"/>
      <c r="I1029" s="4"/>
      <c r="J1029" s="4"/>
    </row>
    <row r="1030" spans="1:10" x14ac:dyDescent="0.2">
      <c r="A1030" t="e">
        <f>LEFT(#REF!,10)</f>
        <v>#REF!</v>
      </c>
      <c r="B1030" s="4" t="e">
        <f>(#REF!-#REF!)/#REF!</f>
        <v>#REF!</v>
      </c>
      <c r="C1030" s="4" t="e">
        <f>(#REF!-#REF!)/#REF!</f>
        <v>#REF!</v>
      </c>
      <c r="D1030" s="4" t="e">
        <f>LN(#REF!/#REF!)</f>
        <v>#REF!</v>
      </c>
      <c r="E1030" s="4" t="e">
        <f t="shared" si="17"/>
        <v>#REF!</v>
      </c>
      <c r="F1030" s="4" t="e" cm="1">
        <f t="array" ref="F1030">AVERAGE(B1030:B2537-$I$4/252)/_xlfn.STDEV.S(B1030:B2537-$I$4)</f>
        <v>#REF!</v>
      </c>
      <c r="G1030" s="4"/>
      <c r="H1030" s="4"/>
      <c r="I1030" s="4"/>
      <c r="J1030" s="4"/>
    </row>
    <row r="1031" spans="1:10" x14ac:dyDescent="0.2">
      <c r="A1031" t="e">
        <f>LEFT(#REF!,10)</f>
        <v>#REF!</v>
      </c>
      <c r="B1031" s="4" t="e">
        <f>(#REF!-#REF!)/#REF!</f>
        <v>#REF!</v>
      </c>
      <c r="C1031" s="4" t="e">
        <f>(#REF!-#REF!)/#REF!</f>
        <v>#REF!</v>
      </c>
      <c r="D1031" s="4" t="e">
        <f>LN(#REF!/#REF!)</f>
        <v>#REF!</v>
      </c>
      <c r="E1031" s="4" t="e">
        <f t="shared" si="17"/>
        <v>#REF!</v>
      </c>
      <c r="F1031" s="4" t="e" cm="1">
        <f t="array" ref="F1031">AVERAGE(B1031:B2538-$I$4/252)/_xlfn.STDEV.S(B1031:B2538-$I$4)</f>
        <v>#REF!</v>
      </c>
      <c r="G1031" s="4"/>
      <c r="H1031" s="4"/>
      <c r="I1031" s="4"/>
      <c r="J1031" s="4"/>
    </row>
    <row r="1032" spans="1:10" x14ac:dyDescent="0.2">
      <c r="A1032" t="e">
        <f>LEFT(#REF!,10)</f>
        <v>#REF!</v>
      </c>
      <c r="B1032" s="4" t="e">
        <f>(#REF!-#REF!)/#REF!</f>
        <v>#REF!</v>
      </c>
      <c r="C1032" s="4" t="e">
        <f>(#REF!-#REF!)/#REF!</f>
        <v>#REF!</v>
      </c>
      <c r="D1032" s="4" t="e">
        <f>LN(#REF!/#REF!)</f>
        <v>#REF!</v>
      </c>
      <c r="E1032" s="4" t="e">
        <f t="shared" si="17"/>
        <v>#REF!</v>
      </c>
      <c r="F1032" s="4" t="e" cm="1">
        <f t="array" ref="F1032">AVERAGE(B1032:B2539-$I$4/252)/_xlfn.STDEV.S(B1032:B2539-$I$4)</f>
        <v>#REF!</v>
      </c>
      <c r="G1032" s="4"/>
      <c r="H1032" s="4"/>
      <c r="I1032" s="4"/>
      <c r="J1032" s="4"/>
    </row>
    <row r="1033" spans="1:10" x14ac:dyDescent="0.2">
      <c r="A1033" t="e">
        <f>LEFT(#REF!,10)</f>
        <v>#REF!</v>
      </c>
      <c r="B1033" s="4" t="e">
        <f>(#REF!-#REF!)/#REF!</f>
        <v>#REF!</v>
      </c>
      <c r="C1033" s="4" t="e">
        <f>(#REF!-#REF!)/#REF!</f>
        <v>#REF!</v>
      </c>
      <c r="D1033" s="4" t="e">
        <f>LN(#REF!/#REF!)</f>
        <v>#REF!</v>
      </c>
      <c r="E1033" s="4" t="e">
        <f t="shared" si="17"/>
        <v>#REF!</v>
      </c>
      <c r="F1033" s="4" t="e" cm="1">
        <f t="array" ref="F1033">AVERAGE(B1033:B2540-$I$4/252)/_xlfn.STDEV.S(B1033:B2540-$I$4)</f>
        <v>#REF!</v>
      </c>
      <c r="G1033" s="4"/>
      <c r="H1033" s="4"/>
      <c r="I1033" s="4"/>
      <c r="J1033" s="4"/>
    </row>
    <row r="1034" spans="1:10" x14ac:dyDescent="0.2">
      <c r="A1034" t="e">
        <f>LEFT(#REF!,10)</f>
        <v>#REF!</v>
      </c>
      <c r="B1034" s="4" t="e">
        <f>(#REF!-#REF!)/#REF!</f>
        <v>#REF!</v>
      </c>
      <c r="C1034" s="4" t="e">
        <f>(#REF!-#REF!)/#REF!</f>
        <v>#REF!</v>
      </c>
      <c r="D1034" s="4" t="e">
        <f>LN(#REF!/#REF!)</f>
        <v>#REF!</v>
      </c>
      <c r="E1034" s="4" t="e">
        <f t="shared" si="17"/>
        <v>#REF!</v>
      </c>
      <c r="F1034" s="4" t="e" cm="1">
        <f t="array" ref="F1034">AVERAGE(B1034:B2541-$I$4/252)/_xlfn.STDEV.S(B1034:B2541-$I$4)</f>
        <v>#REF!</v>
      </c>
      <c r="G1034" s="4"/>
      <c r="H1034" s="4"/>
      <c r="I1034" s="4"/>
      <c r="J1034" s="4"/>
    </row>
    <row r="1035" spans="1:10" x14ac:dyDescent="0.2">
      <c r="A1035" t="e">
        <f>LEFT(#REF!,10)</f>
        <v>#REF!</v>
      </c>
      <c r="B1035" s="4" t="e">
        <f>(#REF!-#REF!)/#REF!</f>
        <v>#REF!</v>
      </c>
      <c r="C1035" s="4" t="e">
        <f>(#REF!-#REF!)/#REF!</f>
        <v>#REF!</v>
      </c>
      <c r="D1035" s="4" t="e">
        <f>LN(#REF!/#REF!)</f>
        <v>#REF!</v>
      </c>
      <c r="E1035" s="4" t="e">
        <f t="shared" si="17"/>
        <v>#REF!</v>
      </c>
      <c r="F1035" s="4" t="e" cm="1">
        <f t="array" ref="F1035">AVERAGE(B1035:B2542-$I$4/252)/_xlfn.STDEV.S(B1035:B2542-$I$4)</f>
        <v>#REF!</v>
      </c>
      <c r="G1035" s="4"/>
      <c r="H1035" s="4"/>
      <c r="I1035" s="4"/>
      <c r="J1035" s="4"/>
    </row>
    <row r="1036" spans="1:10" x14ac:dyDescent="0.2">
      <c r="A1036" t="e">
        <f>LEFT(#REF!,10)</f>
        <v>#REF!</v>
      </c>
      <c r="B1036" s="4" t="e">
        <f>(#REF!-#REF!)/#REF!</f>
        <v>#REF!</v>
      </c>
      <c r="C1036" s="4" t="e">
        <f>(#REF!-#REF!)/#REF!</f>
        <v>#REF!</v>
      </c>
      <c r="D1036" s="4" t="e">
        <f>LN(#REF!/#REF!)</f>
        <v>#REF!</v>
      </c>
      <c r="E1036" s="4" t="e">
        <f t="shared" si="17"/>
        <v>#REF!</v>
      </c>
      <c r="F1036" s="4" t="e" cm="1">
        <f t="array" ref="F1036">AVERAGE(B1036:B2543-$I$4/252)/_xlfn.STDEV.S(B1036:B2543-$I$4)</f>
        <v>#REF!</v>
      </c>
      <c r="G1036" s="4"/>
      <c r="H1036" s="4"/>
      <c r="I1036" s="4"/>
      <c r="J1036" s="4"/>
    </row>
    <row r="1037" spans="1:10" x14ac:dyDescent="0.2">
      <c r="A1037" t="e">
        <f>LEFT(#REF!,10)</f>
        <v>#REF!</v>
      </c>
      <c r="B1037" s="4" t="e">
        <f>(#REF!-#REF!)/#REF!</f>
        <v>#REF!</v>
      </c>
      <c r="C1037" s="4" t="e">
        <f>(#REF!-#REF!)/#REF!</f>
        <v>#REF!</v>
      </c>
      <c r="D1037" s="4" t="e">
        <f>LN(#REF!/#REF!)</f>
        <v>#REF!</v>
      </c>
      <c r="E1037" s="4" t="e">
        <f t="shared" si="17"/>
        <v>#REF!</v>
      </c>
      <c r="F1037" s="4" t="e" cm="1">
        <f t="array" ref="F1037">AVERAGE(B1037:B2544-$I$4/252)/_xlfn.STDEV.S(B1037:B2544-$I$4)</f>
        <v>#REF!</v>
      </c>
      <c r="G1037" s="4"/>
      <c r="H1037" s="4"/>
      <c r="I1037" s="4"/>
      <c r="J1037" s="4"/>
    </row>
    <row r="1038" spans="1:10" x14ac:dyDescent="0.2">
      <c r="A1038" t="e">
        <f>LEFT(#REF!,10)</f>
        <v>#REF!</v>
      </c>
      <c r="B1038" s="4" t="e">
        <f>(#REF!-#REF!)/#REF!</f>
        <v>#REF!</v>
      </c>
      <c r="C1038" s="4" t="e">
        <f>(#REF!-#REF!)/#REF!</f>
        <v>#REF!</v>
      </c>
      <c r="D1038" s="4" t="e">
        <f>LN(#REF!/#REF!)</f>
        <v>#REF!</v>
      </c>
      <c r="E1038" s="4" t="e">
        <f t="shared" si="17"/>
        <v>#REF!</v>
      </c>
      <c r="F1038" s="4" t="e" cm="1">
        <f t="array" ref="F1038">AVERAGE(B1038:B2545-$I$4/252)/_xlfn.STDEV.S(B1038:B2545-$I$4)</f>
        <v>#REF!</v>
      </c>
      <c r="G1038" s="4"/>
      <c r="H1038" s="4"/>
      <c r="I1038" s="4"/>
      <c r="J1038" s="4"/>
    </row>
    <row r="1039" spans="1:10" x14ac:dyDescent="0.2">
      <c r="A1039" t="e">
        <f>LEFT(#REF!,10)</f>
        <v>#REF!</v>
      </c>
      <c r="B1039" s="4" t="e">
        <f>(#REF!-#REF!)/#REF!</f>
        <v>#REF!</v>
      </c>
      <c r="C1039" s="4" t="e">
        <f>(#REF!-#REF!)/#REF!</f>
        <v>#REF!</v>
      </c>
      <c r="D1039" s="4" t="e">
        <f>LN(#REF!/#REF!)</f>
        <v>#REF!</v>
      </c>
      <c r="E1039" s="4" t="e">
        <f t="shared" si="17"/>
        <v>#REF!</v>
      </c>
      <c r="F1039" s="4" t="e" cm="1">
        <f t="array" ref="F1039">AVERAGE(B1039:B2546-$I$4/252)/_xlfn.STDEV.S(B1039:B2546-$I$4)</f>
        <v>#REF!</v>
      </c>
      <c r="G1039" s="4"/>
      <c r="H1039" s="4"/>
      <c r="I1039" s="4"/>
      <c r="J1039" s="4"/>
    </row>
    <row r="1040" spans="1:10" x14ac:dyDescent="0.2">
      <c r="A1040" t="e">
        <f>LEFT(#REF!,10)</f>
        <v>#REF!</v>
      </c>
      <c r="B1040" s="4" t="e">
        <f>(#REF!-#REF!)/#REF!</f>
        <v>#REF!</v>
      </c>
      <c r="C1040" s="4" t="e">
        <f>(#REF!-#REF!)/#REF!</f>
        <v>#REF!</v>
      </c>
      <c r="D1040" s="4" t="e">
        <f>LN(#REF!/#REF!)</f>
        <v>#REF!</v>
      </c>
      <c r="E1040" s="4" t="e">
        <f t="shared" si="17"/>
        <v>#REF!</v>
      </c>
      <c r="F1040" s="4" t="e" cm="1">
        <f t="array" ref="F1040">AVERAGE(B1040:B2547-$I$4/252)/_xlfn.STDEV.S(B1040:B2547-$I$4)</f>
        <v>#REF!</v>
      </c>
      <c r="G1040" s="4"/>
      <c r="H1040" s="4"/>
      <c r="I1040" s="4"/>
      <c r="J1040" s="4"/>
    </row>
    <row r="1041" spans="1:10" x14ac:dyDescent="0.2">
      <c r="A1041" t="e">
        <f>LEFT(#REF!,10)</f>
        <v>#REF!</v>
      </c>
      <c r="B1041" s="4" t="e">
        <f>(#REF!-#REF!)/#REF!</f>
        <v>#REF!</v>
      </c>
      <c r="C1041" s="4" t="e">
        <f>(#REF!-#REF!)/#REF!</f>
        <v>#REF!</v>
      </c>
      <c r="D1041" s="4" t="e">
        <f>LN(#REF!/#REF!)</f>
        <v>#REF!</v>
      </c>
      <c r="E1041" s="4" t="e">
        <f t="shared" si="17"/>
        <v>#REF!</v>
      </c>
      <c r="F1041" s="4" t="e" cm="1">
        <f t="array" ref="F1041">AVERAGE(B1041:B2548-$I$4/252)/_xlfn.STDEV.S(B1041:B2548-$I$4)</f>
        <v>#REF!</v>
      </c>
      <c r="G1041" s="4"/>
      <c r="H1041" s="4"/>
      <c r="I1041" s="4"/>
      <c r="J1041" s="4"/>
    </row>
    <row r="1042" spans="1:10" x14ac:dyDescent="0.2">
      <c r="A1042" t="e">
        <f>LEFT(#REF!,10)</f>
        <v>#REF!</v>
      </c>
      <c r="B1042" s="4" t="e">
        <f>(#REF!-#REF!)/#REF!</f>
        <v>#REF!</v>
      </c>
      <c r="C1042" s="4" t="e">
        <f>(#REF!-#REF!)/#REF!</f>
        <v>#REF!</v>
      </c>
      <c r="D1042" s="4" t="e">
        <f>LN(#REF!/#REF!)</f>
        <v>#REF!</v>
      </c>
      <c r="E1042" s="4" t="e">
        <f t="shared" si="17"/>
        <v>#REF!</v>
      </c>
      <c r="F1042" s="4" t="e" cm="1">
        <f t="array" ref="F1042">AVERAGE(B1042:B2549-$I$4/252)/_xlfn.STDEV.S(B1042:B2549-$I$4)</f>
        <v>#REF!</v>
      </c>
      <c r="G1042" s="4"/>
      <c r="H1042" s="4"/>
      <c r="I1042" s="4"/>
      <c r="J1042" s="4"/>
    </row>
    <row r="1043" spans="1:10" x14ac:dyDescent="0.2">
      <c r="A1043" t="e">
        <f>LEFT(#REF!,10)</f>
        <v>#REF!</v>
      </c>
      <c r="B1043" s="4" t="e">
        <f>(#REF!-#REF!)/#REF!</f>
        <v>#REF!</v>
      </c>
      <c r="C1043" s="4" t="e">
        <f>(#REF!-#REF!)/#REF!</f>
        <v>#REF!</v>
      </c>
      <c r="D1043" s="4" t="e">
        <f>LN(#REF!/#REF!)</f>
        <v>#REF!</v>
      </c>
      <c r="E1043" s="4" t="e">
        <f t="shared" si="17"/>
        <v>#REF!</v>
      </c>
      <c r="F1043" s="4" t="e" cm="1">
        <f t="array" ref="F1043">AVERAGE(B1043:B2550-$I$4/252)/_xlfn.STDEV.S(B1043:B2550-$I$4)</f>
        <v>#REF!</v>
      </c>
      <c r="G1043" s="4"/>
      <c r="H1043" s="4"/>
      <c r="I1043" s="4"/>
      <c r="J1043" s="4"/>
    </row>
    <row r="1044" spans="1:10" x14ac:dyDescent="0.2">
      <c r="A1044" t="e">
        <f>LEFT(#REF!,10)</f>
        <v>#REF!</v>
      </c>
      <c r="B1044" s="4" t="e">
        <f>(#REF!-#REF!)/#REF!</f>
        <v>#REF!</v>
      </c>
      <c r="C1044" s="4" t="e">
        <f>(#REF!-#REF!)/#REF!</f>
        <v>#REF!</v>
      </c>
      <c r="D1044" s="4" t="e">
        <f>LN(#REF!/#REF!)</f>
        <v>#REF!</v>
      </c>
      <c r="E1044" s="4" t="e">
        <f t="shared" si="17"/>
        <v>#REF!</v>
      </c>
      <c r="F1044" s="4" t="e" cm="1">
        <f t="array" ref="F1044">AVERAGE(B1044:B2551-$I$4/252)/_xlfn.STDEV.S(B1044:B2551-$I$4)</f>
        <v>#REF!</v>
      </c>
      <c r="G1044" s="4"/>
      <c r="H1044" s="4"/>
      <c r="I1044" s="4"/>
      <c r="J1044" s="4"/>
    </row>
    <row r="1045" spans="1:10" x14ac:dyDescent="0.2">
      <c r="A1045" t="e">
        <f>LEFT(#REF!,10)</f>
        <v>#REF!</v>
      </c>
      <c r="B1045" s="4" t="e">
        <f>(#REF!-#REF!)/#REF!</f>
        <v>#REF!</v>
      </c>
      <c r="C1045" s="4" t="e">
        <f>(#REF!-#REF!)/#REF!</f>
        <v>#REF!</v>
      </c>
      <c r="D1045" s="4" t="e">
        <f>LN(#REF!/#REF!)</f>
        <v>#REF!</v>
      </c>
      <c r="E1045" s="4" t="e">
        <f t="shared" si="17"/>
        <v>#REF!</v>
      </c>
      <c r="F1045" s="4" t="e" cm="1">
        <f t="array" ref="F1045">AVERAGE(B1045:B2552-$I$4/252)/_xlfn.STDEV.S(B1045:B2552-$I$4)</f>
        <v>#REF!</v>
      </c>
      <c r="G1045" s="4"/>
      <c r="H1045" s="4"/>
      <c r="I1045" s="4"/>
      <c r="J1045" s="4"/>
    </row>
    <row r="1046" spans="1:10" x14ac:dyDescent="0.2">
      <c r="A1046" t="e">
        <f>LEFT(#REF!,10)</f>
        <v>#REF!</v>
      </c>
      <c r="B1046" s="4" t="e">
        <f>(#REF!-#REF!)/#REF!</f>
        <v>#REF!</v>
      </c>
      <c r="C1046" s="4" t="e">
        <f>(#REF!-#REF!)/#REF!</f>
        <v>#REF!</v>
      </c>
      <c r="D1046" s="4" t="e">
        <f>LN(#REF!/#REF!)</f>
        <v>#REF!</v>
      </c>
      <c r="E1046" s="4" t="e">
        <f t="shared" si="17"/>
        <v>#REF!</v>
      </c>
      <c r="F1046" s="4" t="e" cm="1">
        <f t="array" ref="F1046">AVERAGE(B1046:B2553-$I$4/252)/_xlfn.STDEV.S(B1046:B2553-$I$4)</f>
        <v>#REF!</v>
      </c>
      <c r="G1046" s="4"/>
      <c r="H1046" s="4"/>
      <c r="I1046" s="4"/>
      <c r="J1046" s="4"/>
    </row>
    <row r="1047" spans="1:10" x14ac:dyDescent="0.2">
      <c r="A1047" t="e">
        <f>LEFT(#REF!,10)</f>
        <v>#REF!</v>
      </c>
      <c r="B1047" s="4" t="e">
        <f>(#REF!-#REF!)/#REF!</f>
        <v>#REF!</v>
      </c>
      <c r="C1047" s="4" t="e">
        <f>(#REF!-#REF!)/#REF!</f>
        <v>#REF!</v>
      </c>
      <c r="D1047" s="4" t="e">
        <f>LN(#REF!/#REF!)</f>
        <v>#REF!</v>
      </c>
      <c r="E1047" s="4" t="e">
        <f t="shared" si="17"/>
        <v>#REF!</v>
      </c>
      <c r="F1047" s="4" t="e" cm="1">
        <f t="array" ref="F1047">AVERAGE(B1047:B2554-$I$4/252)/_xlfn.STDEV.S(B1047:B2554-$I$4)</f>
        <v>#REF!</v>
      </c>
      <c r="G1047" s="4"/>
      <c r="H1047" s="4"/>
      <c r="I1047" s="4"/>
      <c r="J1047" s="4"/>
    </row>
    <row r="1048" spans="1:10" x14ac:dyDescent="0.2">
      <c r="A1048" t="e">
        <f>LEFT(#REF!,10)</f>
        <v>#REF!</v>
      </c>
      <c r="B1048" s="4" t="e">
        <f>(#REF!-#REF!)/#REF!</f>
        <v>#REF!</v>
      </c>
      <c r="C1048" s="4" t="e">
        <f>(#REF!-#REF!)/#REF!</f>
        <v>#REF!</v>
      </c>
      <c r="D1048" s="4" t="e">
        <f>LN(#REF!/#REF!)</f>
        <v>#REF!</v>
      </c>
      <c r="E1048" s="4" t="e">
        <f t="shared" si="17"/>
        <v>#REF!</v>
      </c>
      <c r="F1048" s="4" t="e" cm="1">
        <f t="array" ref="F1048">AVERAGE(B1048:B2555-$I$4/252)/_xlfn.STDEV.S(B1048:B2555-$I$4)</f>
        <v>#REF!</v>
      </c>
      <c r="G1048" s="4"/>
      <c r="H1048" s="4"/>
      <c r="I1048" s="4"/>
      <c r="J1048" s="4"/>
    </row>
    <row r="1049" spans="1:10" x14ac:dyDescent="0.2">
      <c r="A1049" t="e">
        <f>LEFT(#REF!,10)</f>
        <v>#REF!</v>
      </c>
      <c r="B1049" s="4" t="e">
        <f>(#REF!-#REF!)/#REF!</f>
        <v>#REF!</v>
      </c>
      <c r="C1049" s="4" t="e">
        <f>(#REF!-#REF!)/#REF!</f>
        <v>#REF!</v>
      </c>
      <c r="D1049" s="4" t="e">
        <f>LN(#REF!/#REF!)</f>
        <v>#REF!</v>
      </c>
      <c r="E1049" s="4" t="e">
        <f t="shared" si="17"/>
        <v>#REF!</v>
      </c>
      <c r="F1049" s="4" t="e" cm="1">
        <f t="array" ref="F1049">AVERAGE(B1049:B2556-$I$4/252)/_xlfn.STDEV.S(B1049:B2556-$I$4)</f>
        <v>#REF!</v>
      </c>
      <c r="G1049" s="4"/>
      <c r="H1049" s="4"/>
      <c r="I1049" s="4"/>
      <c r="J1049" s="4"/>
    </row>
    <row r="1050" spans="1:10" x14ac:dyDescent="0.2">
      <c r="A1050" t="e">
        <f>LEFT(#REF!,10)</f>
        <v>#REF!</v>
      </c>
      <c r="B1050" s="4" t="e">
        <f>(#REF!-#REF!)/#REF!</f>
        <v>#REF!</v>
      </c>
      <c r="C1050" s="4" t="e">
        <f>(#REF!-#REF!)/#REF!</f>
        <v>#REF!</v>
      </c>
      <c r="D1050" s="4" t="e">
        <f>LN(#REF!/#REF!)</f>
        <v>#REF!</v>
      </c>
      <c r="E1050" s="4" t="e">
        <f t="shared" si="17"/>
        <v>#REF!</v>
      </c>
      <c r="F1050" s="4" t="e" cm="1">
        <f t="array" ref="F1050">AVERAGE(B1050:B2557-$I$4/252)/_xlfn.STDEV.S(B1050:B2557-$I$4)</f>
        <v>#REF!</v>
      </c>
      <c r="G1050" s="4"/>
      <c r="H1050" s="4"/>
      <c r="I1050" s="4"/>
      <c r="J1050" s="4"/>
    </row>
    <row r="1051" spans="1:10" x14ac:dyDescent="0.2">
      <c r="A1051" t="e">
        <f>LEFT(#REF!,10)</f>
        <v>#REF!</v>
      </c>
      <c r="B1051" s="4" t="e">
        <f>(#REF!-#REF!)/#REF!</f>
        <v>#REF!</v>
      </c>
      <c r="C1051" s="4" t="e">
        <f>(#REF!-#REF!)/#REF!</f>
        <v>#REF!</v>
      </c>
      <c r="D1051" s="4" t="e">
        <f>LN(#REF!/#REF!)</f>
        <v>#REF!</v>
      </c>
      <c r="E1051" s="4" t="e">
        <f t="shared" si="17"/>
        <v>#REF!</v>
      </c>
      <c r="F1051" s="4" t="e" cm="1">
        <f t="array" ref="F1051">AVERAGE(B1051:B2558-$I$4/252)/_xlfn.STDEV.S(B1051:B2558-$I$4)</f>
        <v>#REF!</v>
      </c>
      <c r="G1051" s="4"/>
      <c r="H1051" s="4"/>
      <c r="I1051" s="4"/>
      <c r="J1051" s="4"/>
    </row>
    <row r="1052" spans="1:10" x14ac:dyDescent="0.2">
      <c r="A1052" t="e">
        <f>LEFT(#REF!,10)</f>
        <v>#REF!</v>
      </c>
      <c r="B1052" s="4" t="e">
        <f>(#REF!-#REF!)/#REF!</f>
        <v>#REF!</v>
      </c>
      <c r="C1052" s="4" t="e">
        <f>(#REF!-#REF!)/#REF!</f>
        <v>#REF!</v>
      </c>
      <c r="D1052" s="4" t="e">
        <f>LN(#REF!/#REF!)</f>
        <v>#REF!</v>
      </c>
      <c r="E1052" s="4" t="e">
        <f t="shared" si="17"/>
        <v>#REF!</v>
      </c>
      <c r="F1052" s="4" t="e" cm="1">
        <f t="array" ref="F1052">AVERAGE(B1052:B2559-$I$4/252)/_xlfn.STDEV.S(B1052:B2559-$I$4)</f>
        <v>#REF!</v>
      </c>
      <c r="G1052" s="4"/>
      <c r="H1052" s="4"/>
      <c r="I1052" s="4"/>
      <c r="J1052" s="4"/>
    </row>
    <row r="1053" spans="1:10" x14ac:dyDescent="0.2">
      <c r="A1053" t="e">
        <f>LEFT(#REF!,10)</f>
        <v>#REF!</v>
      </c>
      <c r="B1053" s="4" t="e">
        <f>(#REF!-#REF!)/#REF!</f>
        <v>#REF!</v>
      </c>
      <c r="C1053" s="4" t="e">
        <f>(#REF!-#REF!)/#REF!</f>
        <v>#REF!</v>
      </c>
      <c r="D1053" s="4" t="e">
        <f>LN(#REF!/#REF!)</f>
        <v>#REF!</v>
      </c>
      <c r="E1053" s="4" t="e">
        <f t="shared" si="17"/>
        <v>#REF!</v>
      </c>
      <c r="F1053" s="4" t="e" cm="1">
        <f t="array" ref="F1053">AVERAGE(B1053:B2560-$I$4/252)/_xlfn.STDEV.S(B1053:B2560-$I$4)</f>
        <v>#REF!</v>
      </c>
      <c r="G1053" s="4"/>
      <c r="H1053" s="4"/>
      <c r="I1053" s="4"/>
      <c r="J1053" s="4"/>
    </row>
    <row r="1054" spans="1:10" x14ac:dyDescent="0.2">
      <c r="A1054" t="e">
        <f>LEFT(#REF!,10)</f>
        <v>#REF!</v>
      </c>
      <c r="B1054" s="4" t="e">
        <f>(#REF!-#REF!)/#REF!</f>
        <v>#REF!</v>
      </c>
      <c r="C1054" s="4" t="e">
        <f>(#REF!-#REF!)/#REF!</f>
        <v>#REF!</v>
      </c>
      <c r="D1054" s="4" t="e">
        <f>LN(#REF!/#REF!)</f>
        <v>#REF!</v>
      </c>
      <c r="E1054" s="4" t="e">
        <f t="shared" si="17"/>
        <v>#REF!</v>
      </c>
      <c r="F1054" s="4" t="e" cm="1">
        <f t="array" ref="F1054">AVERAGE(B1054:B2561-$I$4/252)/_xlfn.STDEV.S(B1054:B2561-$I$4)</f>
        <v>#REF!</v>
      </c>
      <c r="G1054" s="4"/>
      <c r="H1054" s="4"/>
      <c r="I1054" s="4"/>
      <c r="J1054" s="4"/>
    </row>
    <row r="1055" spans="1:10" x14ac:dyDescent="0.2">
      <c r="A1055" t="e">
        <f>LEFT(#REF!,10)</f>
        <v>#REF!</v>
      </c>
      <c r="B1055" s="4" t="e">
        <f>(#REF!-#REF!)/#REF!</f>
        <v>#REF!</v>
      </c>
      <c r="C1055" s="4" t="e">
        <f>(#REF!-#REF!)/#REF!</f>
        <v>#REF!</v>
      </c>
      <c r="D1055" s="4" t="e">
        <f>LN(#REF!/#REF!)</f>
        <v>#REF!</v>
      </c>
      <c r="E1055" s="4" t="e">
        <f t="shared" si="17"/>
        <v>#REF!</v>
      </c>
      <c r="F1055" s="4" t="e" cm="1">
        <f t="array" ref="F1055">AVERAGE(B1055:B2562-$I$4/252)/_xlfn.STDEV.S(B1055:B2562-$I$4)</f>
        <v>#REF!</v>
      </c>
      <c r="G1055" s="4"/>
      <c r="H1055" s="4"/>
      <c r="I1055" s="4"/>
      <c r="J1055" s="4"/>
    </row>
    <row r="1056" spans="1:10" x14ac:dyDescent="0.2">
      <c r="A1056" t="e">
        <f>LEFT(#REF!,10)</f>
        <v>#REF!</v>
      </c>
      <c r="B1056" s="4" t="e">
        <f>(#REF!-#REF!)/#REF!</f>
        <v>#REF!</v>
      </c>
      <c r="C1056" s="4" t="e">
        <f>(#REF!-#REF!)/#REF!</f>
        <v>#REF!</v>
      </c>
      <c r="D1056" s="4" t="e">
        <f>LN(#REF!/#REF!)</f>
        <v>#REF!</v>
      </c>
      <c r="E1056" s="4" t="e">
        <f t="shared" si="17"/>
        <v>#REF!</v>
      </c>
      <c r="F1056" s="4" t="e" cm="1">
        <f t="array" ref="F1056">AVERAGE(B1056:B2563-$I$4/252)/_xlfn.STDEV.S(B1056:B2563-$I$4)</f>
        <v>#REF!</v>
      </c>
      <c r="G1056" s="4"/>
      <c r="H1056" s="4"/>
      <c r="I1056" s="4"/>
      <c r="J1056" s="4"/>
    </row>
    <row r="1057" spans="1:10" x14ac:dyDescent="0.2">
      <c r="A1057" t="e">
        <f>LEFT(#REF!,10)</f>
        <v>#REF!</v>
      </c>
      <c r="B1057" s="4" t="e">
        <f>(#REF!-#REF!)/#REF!</f>
        <v>#REF!</v>
      </c>
      <c r="C1057" s="4" t="e">
        <f>(#REF!-#REF!)/#REF!</f>
        <v>#REF!</v>
      </c>
      <c r="D1057" s="4" t="e">
        <f>LN(#REF!/#REF!)</f>
        <v>#REF!</v>
      </c>
      <c r="E1057" s="4" t="e">
        <f t="shared" si="17"/>
        <v>#REF!</v>
      </c>
      <c r="F1057" s="4" t="e" cm="1">
        <f t="array" ref="F1057">AVERAGE(B1057:B2564-$I$4/252)/_xlfn.STDEV.S(B1057:B2564-$I$4)</f>
        <v>#REF!</v>
      </c>
      <c r="G1057" s="4"/>
      <c r="H1057" s="4"/>
      <c r="I1057" s="4"/>
      <c r="J1057" s="4"/>
    </row>
    <row r="1058" spans="1:10" x14ac:dyDescent="0.2">
      <c r="A1058" t="e">
        <f>LEFT(#REF!,10)</f>
        <v>#REF!</v>
      </c>
      <c r="B1058" s="4" t="e">
        <f>(#REF!-#REF!)/#REF!</f>
        <v>#REF!</v>
      </c>
      <c r="C1058" s="4" t="e">
        <f>(#REF!-#REF!)/#REF!</f>
        <v>#REF!</v>
      </c>
      <c r="D1058" s="4" t="e">
        <f>LN(#REF!/#REF!)</f>
        <v>#REF!</v>
      </c>
      <c r="E1058" s="4" t="e">
        <f t="shared" si="17"/>
        <v>#REF!</v>
      </c>
      <c r="F1058" s="4" t="e" cm="1">
        <f t="array" ref="F1058">AVERAGE(B1058:B2565-$I$4/252)/_xlfn.STDEV.S(B1058:B2565-$I$4)</f>
        <v>#REF!</v>
      </c>
      <c r="G1058" s="4"/>
      <c r="H1058" s="4"/>
      <c r="I1058" s="4"/>
      <c r="J1058" s="4"/>
    </row>
    <row r="1059" spans="1:10" x14ac:dyDescent="0.2">
      <c r="A1059" t="e">
        <f>LEFT(#REF!,10)</f>
        <v>#REF!</v>
      </c>
      <c r="B1059" s="4" t="e">
        <f>(#REF!-#REF!)/#REF!</f>
        <v>#REF!</v>
      </c>
      <c r="C1059" s="4" t="e">
        <f>(#REF!-#REF!)/#REF!</f>
        <v>#REF!</v>
      </c>
      <c r="D1059" s="4" t="e">
        <f>LN(#REF!/#REF!)</f>
        <v>#REF!</v>
      </c>
      <c r="E1059" s="4" t="e">
        <f t="shared" si="17"/>
        <v>#REF!</v>
      </c>
      <c r="F1059" s="4" t="e" cm="1">
        <f t="array" ref="F1059">AVERAGE(B1059:B2566-$I$4/252)/_xlfn.STDEV.S(B1059:B2566-$I$4)</f>
        <v>#REF!</v>
      </c>
      <c r="G1059" s="4"/>
      <c r="H1059" s="4"/>
      <c r="I1059" s="4"/>
      <c r="J1059" s="4"/>
    </row>
    <row r="1060" spans="1:10" x14ac:dyDescent="0.2">
      <c r="A1060" t="e">
        <f>LEFT(#REF!,10)</f>
        <v>#REF!</v>
      </c>
      <c r="B1060" s="4" t="e">
        <f>(#REF!-#REF!)/#REF!</f>
        <v>#REF!</v>
      </c>
      <c r="C1060" s="4" t="e">
        <f>(#REF!-#REF!)/#REF!</f>
        <v>#REF!</v>
      </c>
      <c r="D1060" s="4" t="e">
        <f>LN(#REF!/#REF!)</f>
        <v>#REF!</v>
      </c>
      <c r="E1060" s="4" t="e">
        <f t="shared" si="17"/>
        <v>#REF!</v>
      </c>
      <c r="F1060" s="4" t="e" cm="1">
        <f t="array" ref="F1060">AVERAGE(B1060:B2567-$I$4/252)/_xlfn.STDEV.S(B1060:B2567-$I$4)</f>
        <v>#REF!</v>
      </c>
      <c r="G1060" s="4"/>
      <c r="H1060" s="4"/>
      <c r="I1060" s="4"/>
      <c r="J1060" s="4"/>
    </row>
    <row r="1061" spans="1:10" x14ac:dyDescent="0.2">
      <c r="A1061" t="e">
        <f>LEFT(#REF!,10)</f>
        <v>#REF!</v>
      </c>
      <c r="B1061" s="4" t="e">
        <f>(#REF!-#REF!)/#REF!</f>
        <v>#REF!</v>
      </c>
      <c r="C1061" s="4" t="e">
        <f>(#REF!-#REF!)/#REF!</f>
        <v>#REF!</v>
      </c>
      <c r="D1061" s="4" t="e">
        <f>LN(#REF!/#REF!)</f>
        <v>#REF!</v>
      </c>
      <c r="E1061" s="4" t="e">
        <f t="shared" si="17"/>
        <v>#REF!</v>
      </c>
      <c r="F1061" s="4" t="e" cm="1">
        <f t="array" ref="F1061">AVERAGE(B1061:B2568-$I$4/252)/_xlfn.STDEV.S(B1061:B2568-$I$4)</f>
        <v>#REF!</v>
      </c>
      <c r="G1061" s="4"/>
      <c r="H1061" s="4"/>
      <c r="I1061" s="4"/>
      <c r="J1061" s="4"/>
    </row>
    <row r="1062" spans="1:10" x14ac:dyDescent="0.2">
      <c r="A1062" t="e">
        <f>LEFT(#REF!,10)</f>
        <v>#REF!</v>
      </c>
      <c r="B1062" s="4" t="e">
        <f>(#REF!-#REF!)/#REF!</f>
        <v>#REF!</v>
      </c>
      <c r="C1062" s="4" t="e">
        <f>(#REF!-#REF!)/#REF!</f>
        <v>#REF!</v>
      </c>
      <c r="D1062" s="4" t="e">
        <f>LN(#REF!/#REF!)</f>
        <v>#REF!</v>
      </c>
      <c r="E1062" s="4" t="e">
        <f t="shared" si="17"/>
        <v>#REF!</v>
      </c>
      <c r="F1062" s="4" t="e" cm="1">
        <f t="array" ref="F1062">AVERAGE(B1062:B2569-$I$4/252)/_xlfn.STDEV.S(B1062:B2569-$I$4)</f>
        <v>#REF!</v>
      </c>
      <c r="G1062" s="4"/>
      <c r="H1062" s="4"/>
      <c r="I1062" s="4"/>
      <c r="J1062" s="4"/>
    </row>
    <row r="1063" spans="1:10" x14ac:dyDescent="0.2">
      <c r="A1063" t="e">
        <f>LEFT(#REF!,10)</f>
        <v>#REF!</v>
      </c>
      <c r="B1063" s="4" t="e">
        <f>(#REF!-#REF!)/#REF!</f>
        <v>#REF!</v>
      </c>
      <c r="C1063" s="4" t="e">
        <f>(#REF!-#REF!)/#REF!</f>
        <v>#REF!</v>
      </c>
      <c r="D1063" s="4" t="e">
        <f>LN(#REF!/#REF!)</f>
        <v>#REF!</v>
      </c>
      <c r="E1063" s="4" t="e">
        <f t="shared" si="17"/>
        <v>#REF!</v>
      </c>
      <c r="F1063" s="4" t="e" cm="1">
        <f t="array" ref="F1063">AVERAGE(B1063:B2570-$I$4/252)/_xlfn.STDEV.S(B1063:B2570-$I$4)</f>
        <v>#REF!</v>
      </c>
      <c r="G1063" s="4"/>
      <c r="H1063" s="4"/>
      <c r="I1063" s="4"/>
      <c r="J1063" s="4"/>
    </row>
    <row r="1064" spans="1:10" x14ac:dyDescent="0.2">
      <c r="A1064" t="e">
        <f>LEFT(#REF!,10)</f>
        <v>#REF!</v>
      </c>
      <c r="B1064" s="4" t="e">
        <f>(#REF!-#REF!)/#REF!</f>
        <v>#REF!</v>
      </c>
      <c r="C1064" s="4" t="e">
        <f>(#REF!-#REF!)/#REF!</f>
        <v>#REF!</v>
      </c>
      <c r="D1064" s="4" t="e">
        <f>LN(#REF!/#REF!)</f>
        <v>#REF!</v>
      </c>
      <c r="E1064" s="4" t="e">
        <f t="shared" si="17"/>
        <v>#REF!</v>
      </c>
      <c r="F1064" s="4" t="e" cm="1">
        <f t="array" ref="F1064">AVERAGE(B1064:B2571-$I$4/252)/_xlfn.STDEV.S(B1064:B2571-$I$4)</f>
        <v>#REF!</v>
      </c>
      <c r="G1064" s="4"/>
      <c r="H1064" s="4"/>
      <c r="I1064" s="4"/>
      <c r="J1064" s="4"/>
    </row>
    <row r="1065" spans="1:10" x14ac:dyDescent="0.2">
      <c r="A1065" t="e">
        <f>LEFT(#REF!,10)</f>
        <v>#REF!</v>
      </c>
      <c r="B1065" s="4" t="e">
        <f>(#REF!-#REF!)/#REF!</f>
        <v>#REF!</v>
      </c>
      <c r="C1065" s="4" t="e">
        <f>(#REF!-#REF!)/#REF!</f>
        <v>#REF!</v>
      </c>
      <c r="D1065" s="4" t="e">
        <f>LN(#REF!/#REF!)</f>
        <v>#REF!</v>
      </c>
      <c r="E1065" s="4" t="e">
        <f t="shared" si="17"/>
        <v>#REF!</v>
      </c>
      <c r="F1065" s="4" t="e" cm="1">
        <f t="array" ref="F1065">AVERAGE(B1065:B2572-$I$4/252)/_xlfn.STDEV.S(B1065:B2572-$I$4)</f>
        <v>#REF!</v>
      </c>
      <c r="G1065" s="4"/>
      <c r="H1065" s="4"/>
      <c r="I1065" s="4"/>
      <c r="J1065" s="4"/>
    </row>
    <row r="1066" spans="1:10" x14ac:dyDescent="0.2">
      <c r="A1066" t="e">
        <f>LEFT(#REF!,10)</f>
        <v>#REF!</v>
      </c>
      <c r="B1066" s="4" t="e">
        <f>(#REF!-#REF!)/#REF!</f>
        <v>#REF!</v>
      </c>
      <c r="C1066" s="4" t="e">
        <f>(#REF!-#REF!)/#REF!</f>
        <v>#REF!</v>
      </c>
      <c r="D1066" s="4" t="e">
        <f>LN(#REF!/#REF!)</f>
        <v>#REF!</v>
      </c>
      <c r="E1066" s="4" t="e">
        <f t="shared" si="17"/>
        <v>#REF!</v>
      </c>
      <c r="F1066" s="4" t="e" cm="1">
        <f t="array" ref="F1066">AVERAGE(B1066:B2573-$I$4/252)/_xlfn.STDEV.S(B1066:B2573-$I$4)</f>
        <v>#REF!</v>
      </c>
      <c r="G1066" s="4"/>
      <c r="H1066" s="4"/>
      <c r="I1066" s="4"/>
      <c r="J1066" s="4"/>
    </row>
    <row r="1067" spans="1:10" x14ac:dyDescent="0.2">
      <c r="A1067" t="e">
        <f>LEFT(#REF!,10)</f>
        <v>#REF!</v>
      </c>
      <c r="B1067" s="4" t="e">
        <f>(#REF!-#REF!)/#REF!</f>
        <v>#REF!</v>
      </c>
      <c r="C1067" s="4" t="e">
        <f>(#REF!-#REF!)/#REF!</f>
        <v>#REF!</v>
      </c>
      <c r="D1067" s="4" t="e">
        <f>LN(#REF!/#REF!)</f>
        <v>#REF!</v>
      </c>
      <c r="E1067" s="4" t="e">
        <f t="shared" si="17"/>
        <v>#REF!</v>
      </c>
      <c r="F1067" s="4" t="e" cm="1">
        <f t="array" ref="F1067">AVERAGE(B1067:B2574-$I$4/252)/_xlfn.STDEV.S(B1067:B2574-$I$4)</f>
        <v>#REF!</v>
      </c>
      <c r="G1067" s="4"/>
      <c r="H1067" s="4"/>
      <c r="I1067" s="4"/>
      <c r="J1067" s="4"/>
    </row>
    <row r="1068" spans="1:10" x14ac:dyDescent="0.2">
      <c r="A1068" t="e">
        <f>LEFT(#REF!,10)</f>
        <v>#REF!</v>
      </c>
      <c r="B1068" s="4" t="e">
        <f>(#REF!-#REF!)/#REF!</f>
        <v>#REF!</v>
      </c>
      <c r="C1068" s="4" t="e">
        <f>(#REF!-#REF!)/#REF!</f>
        <v>#REF!</v>
      </c>
      <c r="D1068" s="4" t="e">
        <f>LN(#REF!/#REF!)</f>
        <v>#REF!</v>
      </c>
      <c r="E1068" s="4" t="e">
        <f t="shared" si="17"/>
        <v>#REF!</v>
      </c>
      <c r="F1068" s="4" t="e" cm="1">
        <f t="array" ref="F1068">AVERAGE(B1068:B2575-$I$4/252)/_xlfn.STDEV.S(B1068:B2575-$I$4)</f>
        <v>#REF!</v>
      </c>
      <c r="G1068" s="4"/>
      <c r="H1068" s="4"/>
      <c r="I1068" s="4"/>
      <c r="J1068" s="4"/>
    </row>
    <row r="1069" spans="1:10" x14ac:dyDescent="0.2">
      <c r="A1069" t="e">
        <f>LEFT(#REF!,10)</f>
        <v>#REF!</v>
      </c>
      <c r="B1069" s="4" t="e">
        <f>(#REF!-#REF!)/#REF!</f>
        <v>#REF!</v>
      </c>
      <c r="C1069" s="4" t="e">
        <f>(#REF!-#REF!)/#REF!</f>
        <v>#REF!</v>
      </c>
      <c r="D1069" s="4" t="e">
        <f>LN(#REF!/#REF!)</f>
        <v>#REF!</v>
      </c>
      <c r="E1069" s="4" t="e">
        <f t="shared" si="17"/>
        <v>#REF!</v>
      </c>
      <c r="F1069" s="4" t="e" cm="1">
        <f t="array" ref="F1069">AVERAGE(B1069:B2576-$I$4/252)/_xlfn.STDEV.S(B1069:B2576-$I$4)</f>
        <v>#REF!</v>
      </c>
      <c r="G1069" s="4"/>
      <c r="H1069" s="4"/>
      <c r="I1069" s="4"/>
      <c r="J1069" s="4"/>
    </row>
    <row r="1070" spans="1:10" x14ac:dyDescent="0.2">
      <c r="A1070" t="e">
        <f>LEFT(#REF!,10)</f>
        <v>#REF!</v>
      </c>
      <c r="B1070" s="4" t="e">
        <f>(#REF!-#REF!)/#REF!</f>
        <v>#REF!</v>
      </c>
      <c r="C1070" s="4" t="e">
        <f>(#REF!-#REF!)/#REF!</f>
        <v>#REF!</v>
      </c>
      <c r="D1070" s="4" t="e">
        <f>LN(#REF!/#REF!)</f>
        <v>#REF!</v>
      </c>
      <c r="E1070" s="4" t="e">
        <f t="shared" si="17"/>
        <v>#REF!</v>
      </c>
      <c r="F1070" s="4" t="e" cm="1">
        <f t="array" ref="F1070">AVERAGE(B1070:B2577-$I$4/252)/_xlfn.STDEV.S(B1070:B2577-$I$4)</f>
        <v>#REF!</v>
      </c>
      <c r="G1070" s="4"/>
      <c r="H1070" s="4"/>
      <c r="I1070" s="4"/>
      <c r="J1070" s="4"/>
    </row>
    <row r="1071" spans="1:10" x14ac:dyDescent="0.2">
      <c r="A1071" t="e">
        <f>LEFT(#REF!,10)</f>
        <v>#REF!</v>
      </c>
      <c r="B1071" s="4" t="e">
        <f>(#REF!-#REF!)/#REF!</f>
        <v>#REF!</v>
      </c>
      <c r="C1071" s="4" t="e">
        <f>(#REF!-#REF!)/#REF!</f>
        <v>#REF!</v>
      </c>
      <c r="D1071" s="4" t="e">
        <f>LN(#REF!/#REF!)</f>
        <v>#REF!</v>
      </c>
      <c r="E1071" s="4" t="e">
        <f t="shared" si="17"/>
        <v>#REF!</v>
      </c>
      <c r="F1071" s="4" t="e" cm="1">
        <f t="array" ref="F1071">AVERAGE(B1071:B2578-$I$4/252)/_xlfn.STDEV.S(B1071:B2578-$I$4)</f>
        <v>#REF!</v>
      </c>
      <c r="G1071" s="4"/>
      <c r="H1071" s="4"/>
      <c r="I1071" s="4"/>
      <c r="J1071" s="4"/>
    </row>
    <row r="1072" spans="1:10" x14ac:dyDescent="0.2">
      <c r="A1072" t="e">
        <f>LEFT(#REF!,10)</f>
        <v>#REF!</v>
      </c>
      <c r="B1072" s="4" t="e">
        <f>(#REF!-#REF!)/#REF!</f>
        <v>#REF!</v>
      </c>
      <c r="C1072" s="4" t="e">
        <f>(#REF!-#REF!)/#REF!</f>
        <v>#REF!</v>
      </c>
      <c r="D1072" s="4" t="e">
        <f>LN(#REF!/#REF!)</f>
        <v>#REF!</v>
      </c>
      <c r="E1072" s="4" t="e">
        <f t="shared" si="17"/>
        <v>#REF!</v>
      </c>
      <c r="F1072" s="4" t="e" cm="1">
        <f t="array" ref="F1072">AVERAGE(B1072:B2579-$I$4/252)/_xlfn.STDEV.S(B1072:B2579-$I$4)</f>
        <v>#REF!</v>
      </c>
      <c r="G1072" s="4"/>
      <c r="H1072" s="4"/>
      <c r="I1072" s="4"/>
      <c r="J1072" s="4"/>
    </row>
    <row r="1073" spans="1:10" x14ac:dyDescent="0.2">
      <c r="A1073" t="e">
        <f>LEFT(#REF!,10)</f>
        <v>#REF!</v>
      </c>
      <c r="B1073" s="4" t="e">
        <f>(#REF!-#REF!)/#REF!</f>
        <v>#REF!</v>
      </c>
      <c r="C1073" s="4" t="e">
        <f>(#REF!-#REF!)/#REF!</f>
        <v>#REF!</v>
      </c>
      <c r="D1073" s="4" t="e">
        <f>LN(#REF!/#REF!)</f>
        <v>#REF!</v>
      </c>
      <c r="E1073" s="4" t="e">
        <f t="shared" si="17"/>
        <v>#REF!</v>
      </c>
      <c r="F1073" s="4" t="e" cm="1">
        <f t="array" ref="F1073">AVERAGE(B1073:B2580-$I$4/252)/_xlfn.STDEV.S(B1073:B2580-$I$4)</f>
        <v>#REF!</v>
      </c>
      <c r="G1073" s="4"/>
      <c r="H1073" s="4"/>
      <c r="I1073" s="4"/>
      <c r="J1073" s="4"/>
    </row>
    <row r="1074" spans="1:10" x14ac:dyDescent="0.2">
      <c r="A1074" t="e">
        <f>LEFT(#REF!,10)</f>
        <v>#REF!</v>
      </c>
      <c r="B1074" s="4" t="e">
        <f>(#REF!-#REF!)/#REF!</f>
        <v>#REF!</v>
      </c>
      <c r="C1074" s="4" t="e">
        <f>(#REF!-#REF!)/#REF!</f>
        <v>#REF!</v>
      </c>
      <c r="D1074" s="4" t="e">
        <f>LN(#REF!/#REF!)</f>
        <v>#REF!</v>
      </c>
      <c r="E1074" s="4" t="e">
        <f t="shared" si="17"/>
        <v>#REF!</v>
      </c>
      <c r="F1074" s="4" t="e" cm="1">
        <f t="array" ref="F1074">AVERAGE(B1074:B2581-$I$4/252)/_xlfn.STDEV.S(B1074:B2581-$I$4)</f>
        <v>#REF!</v>
      </c>
      <c r="G1074" s="4"/>
      <c r="H1074" s="4"/>
      <c r="I1074" s="4"/>
      <c r="J1074" s="4"/>
    </row>
    <row r="1075" spans="1:10" x14ac:dyDescent="0.2">
      <c r="A1075" t="e">
        <f>LEFT(#REF!,10)</f>
        <v>#REF!</v>
      </c>
      <c r="B1075" s="4" t="e">
        <f>(#REF!-#REF!)/#REF!</f>
        <v>#REF!</v>
      </c>
      <c r="C1075" s="4" t="e">
        <f>(#REF!-#REF!)/#REF!</f>
        <v>#REF!</v>
      </c>
      <c r="D1075" s="4" t="e">
        <f>LN(#REF!/#REF!)</f>
        <v>#REF!</v>
      </c>
      <c r="E1075" s="4" t="e">
        <f t="shared" si="17"/>
        <v>#REF!</v>
      </c>
      <c r="F1075" s="4" t="e" cm="1">
        <f t="array" ref="F1075">AVERAGE(B1075:B2582-$I$4/252)/_xlfn.STDEV.S(B1075:B2582-$I$4)</f>
        <v>#REF!</v>
      </c>
      <c r="G1075" s="4"/>
      <c r="H1075" s="4"/>
      <c r="I1075" s="4"/>
      <c r="J1075" s="4"/>
    </row>
    <row r="1076" spans="1:10" x14ac:dyDescent="0.2">
      <c r="A1076" t="e">
        <f>LEFT(#REF!,10)</f>
        <v>#REF!</v>
      </c>
      <c r="B1076" s="4" t="e">
        <f>(#REF!-#REF!)/#REF!</f>
        <v>#REF!</v>
      </c>
      <c r="C1076" s="4" t="e">
        <f>(#REF!-#REF!)/#REF!</f>
        <v>#REF!</v>
      </c>
      <c r="D1076" s="4" t="e">
        <f>LN(#REF!/#REF!)</f>
        <v>#REF!</v>
      </c>
      <c r="E1076" s="4" t="e">
        <f t="shared" si="17"/>
        <v>#REF!</v>
      </c>
      <c r="F1076" s="4" t="e" cm="1">
        <f t="array" ref="F1076">AVERAGE(B1076:B2583-$I$4/252)/_xlfn.STDEV.S(B1076:B2583-$I$4)</f>
        <v>#REF!</v>
      </c>
      <c r="G1076" s="4"/>
      <c r="H1076" s="4"/>
      <c r="I1076" s="4"/>
      <c r="J1076" s="4"/>
    </row>
    <row r="1077" spans="1:10" x14ac:dyDescent="0.2">
      <c r="A1077" t="e">
        <f>LEFT(#REF!,10)</f>
        <v>#REF!</v>
      </c>
      <c r="B1077" s="4" t="e">
        <f>(#REF!-#REF!)/#REF!</f>
        <v>#REF!</v>
      </c>
      <c r="C1077" s="4" t="e">
        <f>(#REF!-#REF!)/#REF!</f>
        <v>#REF!</v>
      </c>
      <c r="D1077" s="4" t="e">
        <f>LN(#REF!/#REF!)</f>
        <v>#REF!</v>
      </c>
      <c r="E1077" s="4" t="e">
        <f t="shared" si="17"/>
        <v>#REF!</v>
      </c>
      <c r="F1077" s="4" t="e" cm="1">
        <f t="array" ref="F1077">AVERAGE(B1077:B2584-$I$4/252)/_xlfn.STDEV.S(B1077:B2584-$I$4)</f>
        <v>#REF!</v>
      </c>
      <c r="G1077" s="4"/>
      <c r="H1077" s="4"/>
      <c r="I1077" s="4"/>
      <c r="J1077" s="4"/>
    </row>
    <row r="1078" spans="1:10" x14ac:dyDescent="0.2">
      <c r="A1078" t="e">
        <f>LEFT(#REF!,10)</f>
        <v>#REF!</v>
      </c>
      <c r="B1078" s="4" t="e">
        <f>(#REF!-#REF!)/#REF!</f>
        <v>#REF!</v>
      </c>
      <c r="C1078" s="4" t="e">
        <f>(#REF!-#REF!)/#REF!</f>
        <v>#REF!</v>
      </c>
      <c r="D1078" s="4" t="e">
        <f>LN(#REF!/#REF!)</f>
        <v>#REF!</v>
      </c>
      <c r="E1078" s="4" t="e">
        <f t="shared" si="17"/>
        <v>#REF!</v>
      </c>
      <c r="F1078" s="4" t="e" cm="1">
        <f t="array" ref="F1078">AVERAGE(B1078:B2585-$I$4/252)/_xlfn.STDEV.S(B1078:B2585-$I$4)</f>
        <v>#REF!</v>
      </c>
      <c r="G1078" s="4"/>
      <c r="H1078" s="4"/>
      <c r="I1078" s="4"/>
      <c r="J1078" s="4"/>
    </row>
    <row r="1079" spans="1:10" x14ac:dyDescent="0.2">
      <c r="A1079" t="e">
        <f>LEFT(#REF!,10)</f>
        <v>#REF!</v>
      </c>
      <c r="B1079" s="4" t="e">
        <f>(#REF!-#REF!)/#REF!</f>
        <v>#REF!</v>
      </c>
      <c r="C1079" s="4" t="e">
        <f>(#REF!-#REF!)/#REF!</f>
        <v>#REF!</v>
      </c>
      <c r="D1079" s="4" t="e">
        <f>LN(#REF!/#REF!)</f>
        <v>#REF!</v>
      </c>
      <c r="E1079" s="4" t="e">
        <f t="shared" si="17"/>
        <v>#REF!</v>
      </c>
      <c r="F1079" s="4" t="e" cm="1">
        <f t="array" ref="F1079">AVERAGE(B1079:B2586-$I$4/252)/_xlfn.STDEV.S(B1079:B2586-$I$4)</f>
        <v>#REF!</v>
      </c>
      <c r="G1079" s="4"/>
      <c r="H1079" s="4"/>
      <c r="I1079" s="4"/>
      <c r="J1079" s="4"/>
    </row>
    <row r="1080" spans="1:10" x14ac:dyDescent="0.2">
      <c r="A1080" t="e">
        <f>LEFT(#REF!,10)</f>
        <v>#REF!</v>
      </c>
      <c r="B1080" s="4" t="e">
        <f>(#REF!-#REF!)/#REF!</f>
        <v>#REF!</v>
      </c>
      <c r="C1080" s="4" t="e">
        <f>(#REF!-#REF!)/#REF!</f>
        <v>#REF!</v>
      </c>
      <c r="D1080" s="4" t="e">
        <f>LN(#REF!/#REF!)</f>
        <v>#REF!</v>
      </c>
      <c r="E1080" s="4" t="e">
        <f t="shared" si="17"/>
        <v>#REF!</v>
      </c>
      <c r="F1080" s="4" t="e" cm="1">
        <f t="array" ref="F1080">AVERAGE(B1080:B2587-$I$4/252)/_xlfn.STDEV.S(B1080:B2587-$I$4)</f>
        <v>#REF!</v>
      </c>
      <c r="G1080" s="4"/>
      <c r="H1080" s="4"/>
      <c r="I1080" s="4"/>
      <c r="J1080" s="4"/>
    </row>
    <row r="1081" spans="1:10" x14ac:dyDescent="0.2">
      <c r="A1081" t="e">
        <f>LEFT(#REF!,10)</f>
        <v>#REF!</v>
      </c>
      <c r="B1081" s="4" t="e">
        <f>(#REF!-#REF!)/#REF!</f>
        <v>#REF!</v>
      </c>
      <c r="C1081" s="4" t="e">
        <f>(#REF!-#REF!)/#REF!</f>
        <v>#REF!</v>
      </c>
      <c r="D1081" s="4" t="e">
        <f>LN(#REF!/#REF!)</f>
        <v>#REF!</v>
      </c>
      <c r="E1081" s="4" t="e">
        <f t="shared" si="17"/>
        <v>#REF!</v>
      </c>
      <c r="F1081" s="4" t="e" cm="1">
        <f t="array" ref="F1081">AVERAGE(B1081:B2588-$I$4/252)/_xlfn.STDEV.S(B1081:B2588-$I$4)</f>
        <v>#REF!</v>
      </c>
      <c r="G1081" s="4"/>
      <c r="H1081" s="4"/>
      <c r="I1081" s="4"/>
      <c r="J1081" s="4"/>
    </row>
    <row r="1082" spans="1:10" x14ac:dyDescent="0.2">
      <c r="A1082" t="e">
        <f>LEFT(#REF!,10)</f>
        <v>#REF!</v>
      </c>
      <c r="B1082" s="4" t="e">
        <f>(#REF!-#REF!)/#REF!</f>
        <v>#REF!</v>
      </c>
      <c r="C1082" s="4" t="e">
        <f>(#REF!-#REF!)/#REF!</f>
        <v>#REF!</v>
      </c>
      <c r="D1082" s="4" t="e">
        <f>LN(#REF!/#REF!)</f>
        <v>#REF!</v>
      </c>
      <c r="E1082" s="4" t="e">
        <f t="shared" si="17"/>
        <v>#REF!</v>
      </c>
      <c r="F1082" s="4" t="e" cm="1">
        <f t="array" ref="F1082">AVERAGE(B1082:B2589-$I$4/252)/_xlfn.STDEV.S(B1082:B2589-$I$4)</f>
        <v>#REF!</v>
      </c>
      <c r="G1082" s="4"/>
      <c r="H1082" s="4"/>
      <c r="I1082" s="4"/>
      <c r="J1082" s="4"/>
    </row>
    <row r="1083" spans="1:10" x14ac:dyDescent="0.2">
      <c r="A1083" t="e">
        <f>LEFT(#REF!,10)</f>
        <v>#REF!</v>
      </c>
      <c r="B1083" s="4" t="e">
        <f>(#REF!-#REF!)/#REF!</f>
        <v>#REF!</v>
      </c>
      <c r="C1083" s="4" t="e">
        <f>(#REF!-#REF!)/#REF!</f>
        <v>#REF!</v>
      </c>
      <c r="D1083" s="4" t="e">
        <f>LN(#REF!/#REF!)</f>
        <v>#REF!</v>
      </c>
      <c r="E1083" s="4" t="e">
        <f t="shared" si="17"/>
        <v>#REF!</v>
      </c>
      <c r="F1083" s="4" t="e" cm="1">
        <f t="array" ref="F1083">AVERAGE(B1083:B2590-$I$4/252)/_xlfn.STDEV.S(B1083:B2590-$I$4)</f>
        <v>#REF!</v>
      </c>
      <c r="G1083" s="4"/>
      <c r="H1083" s="4"/>
      <c r="I1083" s="4"/>
      <c r="J1083" s="4"/>
    </row>
    <row r="1084" spans="1:10" x14ac:dyDescent="0.2">
      <c r="A1084" t="e">
        <f>LEFT(#REF!,10)</f>
        <v>#REF!</v>
      </c>
      <c r="B1084" s="4" t="e">
        <f>(#REF!-#REF!)/#REF!</f>
        <v>#REF!</v>
      </c>
      <c r="C1084" s="4" t="e">
        <f>(#REF!-#REF!)/#REF!</f>
        <v>#REF!</v>
      </c>
      <c r="D1084" s="4" t="e">
        <f>LN(#REF!/#REF!)</f>
        <v>#REF!</v>
      </c>
      <c r="E1084" s="4" t="e">
        <f t="shared" si="17"/>
        <v>#REF!</v>
      </c>
      <c r="F1084" s="4" t="e" cm="1">
        <f t="array" ref="F1084">AVERAGE(B1084:B2591-$I$4/252)/_xlfn.STDEV.S(B1084:B2591-$I$4)</f>
        <v>#REF!</v>
      </c>
      <c r="G1084" s="4"/>
      <c r="H1084" s="4"/>
      <c r="I1084" s="4"/>
      <c r="J1084" s="4"/>
    </row>
    <row r="1085" spans="1:10" x14ac:dyDescent="0.2">
      <c r="A1085" t="e">
        <f>LEFT(#REF!,10)</f>
        <v>#REF!</v>
      </c>
      <c r="B1085" s="4" t="e">
        <f>(#REF!-#REF!)/#REF!</f>
        <v>#REF!</v>
      </c>
      <c r="C1085" s="4" t="e">
        <f>(#REF!-#REF!)/#REF!</f>
        <v>#REF!</v>
      </c>
      <c r="D1085" s="4" t="e">
        <f>LN(#REF!/#REF!)</f>
        <v>#REF!</v>
      </c>
      <c r="E1085" s="4" t="e">
        <f t="shared" si="17"/>
        <v>#REF!</v>
      </c>
      <c r="F1085" s="4" t="e" cm="1">
        <f t="array" ref="F1085">AVERAGE(B1085:B2592-$I$4/252)/_xlfn.STDEV.S(B1085:B2592-$I$4)</f>
        <v>#REF!</v>
      </c>
      <c r="G1085" s="4"/>
      <c r="H1085" s="4"/>
      <c r="I1085" s="4"/>
      <c r="J1085" s="4"/>
    </row>
    <row r="1086" spans="1:10" x14ac:dyDescent="0.2">
      <c r="A1086" t="e">
        <f>LEFT(#REF!,10)</f>
        <v>#REF!</v>
      </c>
      <c r="B1086" s="4" t="e">
        <f>(#REF!-#REF!)/#REF!</f>
        <v>#REF!</v>
      </c>
      <c r="C1086" s="4" t="e">
        <f>(#REF!-#REF!)/#REF!</f>
        <v>#REF!</v>
      </c>
      <c r="D1086" s="4" t="e">
        <f>LN(#REF!/#REF!)</f>
        <v>#REF!</v>
      </c>
      <c r="E1086" s="4" t="e">
        <f t="shared" si="17"/>
        <v>#REF!</v>
      </c>
      <c r="F1086" s="4" t="e" cm="1">
        <f t="array" ref="F1086">AVERAGE(B1086:B2593-$I$4/252)/_xlfn.STDEV.S(B1086:B2593-$I$4)</f>
        <v>#REF!</v>
      </c>
      <c r="G1086" s="4"/>
      <c r="H1086" s="4"/>
      <c r="I1086" s="4"/>
      <c r="J1086" s="4"/>
    </row>
    <row r="1087" spans="1:10" x14ac:dyDescent="0.2">
      <c r="A1087" t="e">
        <f>LEFT(#REF!,10)</f>
        <v>#REF!</v>
      </c>
      <c r="B1087" s="4" t="e">
        <f>(#REF!-#REF!)/#REF!</f>
        <v>#REF!</v>
      </c>
      <c r="C1087" s="4" t="e">
        <f>(#REF!-#REF!)/#REF!</f>
        <v>#REF!</v>
      </c>
      <c r="D1087" s="4" t="e">
        <f>LN(#REF!/#REF!)</f>
        <v>#REF!</v>
      </c>
      <c r="E1087" s="4" t="e">
        <f t="shared" si="17"/>
        <v>#REF!</v>
      </c>
      <c r="F1087" s="4" t="e" cm="1">
        <f t="array" ref="F1087">AVERAGE(B1087:B2594-$I$4/252)/_xlfn.STDEV.S(B1087:B2594-$I$4)</f>
        <v>#REF!</v>
      </c>
      <c r="G1087" s="4"/>
      <c r="H1087" s="4"/>
      <c r="I1087" s="4"/>
      <c r="J1087" s="4"/>
    </row>
    <row r="1088" spans="1:10" x14ac:dyDescent="0.2">
      <c r="A1088" t="e">
        <f>LEFT(#REF!,10)</f>
        <v>#REF!</v>
      </c>
      <c r="B1088" s="4" t="e">
        <f>(#REF!-#REF!)/#REF!</f>
        <v>#REF!</v>
      </c>
      <c r="C1088" s="4" t="e">
        <f>(#REF!-#REF!)/#REF!</f>
        <v>#REF!</v>
      </c>
      <c r="D1088" s="4" t="e">
        <f>LN(#REF!/#REF!)</f>
        <v>#REF!</v>
      </c>
      <c r="E1088" s="4" t="e">
        <f t="shared" si="17"/>
        <v>#REF!</v>
      </c>
      <c r="F1088" s="4" t="e" cm="1">
        <f t="array" ref="F1088">AVERAGE(B1088:B2595-$I$4/252)/_xlfn.STDEV.S(B1088:B2595-$I$4)</f>
        <v>#REF!</v>
      </c>
      <c r="G1088" s="4"/>
      <c r="H1088" s="4"/>
      <c r="I1088" s="4"/>
      <c r="J1088" s="4"/>
    </row>
    <row r="1089" spans="1:10" x14ac:dyDescent="0.2">
      <c r="A1089" t="e">
        <f>LEFT(#REF!,10)</f>
        <v>#REF!</v>
      </c>
      <c r="B1089" s="4" t="e">
        <f>(#REF!-#REF!)/#REF!</f>
        <v>#REF!</v>
      </c>
      <c r="C1089" s="4" t="e">
        <f>(#REF!-#REF!)/#REF!</f>
        <v>#REF!</v>
      </c>
      <c r="D1089" s="4" t="e">
        <f>LN(#REF!/#REF!)</f>
        <v>#REF!</v>
      </c>
      <c r="E1089" s="4" t="e">
        <f t="shared" si="17"/>
        <v>#REF!</v>
      </c>
      <c r="F1089" s="4" t="e" cm="1">
        <f t="array" ref="F1089">AVERAGE(B1089:B2596-$I$4/252)/_xlfn.STDEV.S(B1089:B2596-$I$4)</f>
        <v>#REF!</v>
      </c>
      <c r="G1089" s="4"/>
      <c r="H1089" s="4"/>
      <c r="I1089" s="4"/>
      <c r="J1089" s="4"/>
    </row>
    <row r="1090" spans="1:10" x14ac:dyDescent="0.2">
      <c r="A1090" t="e">
        <f>LEFT(#REF!,10)</f>
        <v>#REF!</v>
      </c>
      <c r="B1090" s="4" t="e">
        <f>(#REF!-#REF!)/#REF!</f>
        <v>#REF!</v>
      </c>
      <c r="C1090" s="4" t="e">
        <f>(#REF!-#REF!)/#REF!</f>
        <v>#REF!</v>
      </c>
      <c r="D1090" s="4" t="e">
        <f>LN(#REF!/#REF!)</f>
        <v>#REF!</v>
      </c>
      <c r="E1090" s="4" t="e">
        <f t="shared" si="17"/>
        <v>#REF!</v>
      </c>
      <c r="F1090" s="4" t="e" cm="1">
        <f t="array" ref="F1090">AVERAGE(B1090:B2597-$I$4/252)/_xlfn.STDEV.S(B1090:B2597-$I$4)</f>
        <v>#REF!</v>
      </c>
      <c r="G1090" s="4"/>
      <c r="H1090" s="4"/>
      <c r="I1090" s="4"/>
      <c r="J1090" s="4"/>
    </row>
    <row r="1091" spans="1:10" x14ac:dyDescent="0.2">
      <c r="A1091" t="e">
        <f>LEFT(#REF!,10)</f>
        <v>#REF!</v>
      </c>
      <c r="B1091" s="4" t="e">
        <f>(#REF!-#REF!)/#REF!</f>
        <v>#REF!</v>
      </c>
      <c r="C1091" s="4" t="e">
        <f>(#REF!-#REF!)/#REF!</f>
        <v>#REF!</v>
      </c>
      <c r="D1091" s="4" t="e">
        <f>LN(#REF!/#REF!)</f>
        <v>#REF!</v>
      </c>
      <c r="E1091" s="4" t="e">
        <f t="shared" si="17"/>
        <v>#REF!</v>
      </c>
      <c r="F1091" s="4" t="e" cm="1">
        <f t="array" ref="F1091">AVERAGE(B1091:B2598-$I$4/252)/_xlfn.STDEV.S(B1091:B2598-$I$4)</f>
        <v>#REF!</v>
      </c>
      <c r="G1091" s="4"/>
      <c r="H1091" s="4"/>
      <c r="I1091" s="4"/>
      <c r="J1091" s="4"/>
    </row>
    <row r="1092" spans="1:10" x14ac:dyDescent="0.2">
      <c r="A1092" t="e">
        <f>LEFT(#REF!,10)</f>
        <v>#REF!</v>
      </c>
      <c r="B1092" s="4" t="e">
        <f>(#REF!-#REF!)/#REF!</f>
        <v>#REF!</v>
      </c>
      <c r="C1092" s="4" t="e">
        <f>(#REF!-#REF!)/#REF!</f>
        <v>#REF!</v>
      </c>
      <c r="D1092" s="4" t="e">
        <f>LN(#REF!/#REF!)</f>
        <v>#REF!</v>
      </c>
      <c r="E1092" s="4" t="e">
        <f t="shared" si="17"/>
        <v>#REF!</v>
      </c>
      <c r="F1092" s="4" t="e" cm="1">
        <f t="array" ref="F1092">AVERAGE(B1092:B2599-$I$4/252)/_xlfn.STDEV.S(B1092:B2599-$I$4)</f>
        <v>#REF!</v>
      </c>
      <c r="G1092" s="4"/>
      <c r="H1092" s="4"/>
      <c r="I1092" s="4"/>
      <c r="J1092" s="4"/>
    </row>
    <row r="1093" spans="1:10" x14ac:dyDescent="0.2">
      <c r="A1093" t="e">
        <f>LEFT(#REF!,10)</f>
        <v>#REF!</v>
      </c>
      <c r="B1093" s="4" t="e">
        <f>(#REF!-#REF!)/#REF!</f>
        <v>#REF!</v>
      </c>
      <c r="C1093" s="4" t="e">
        <f>(#REF!-#REF!)/#REF!</f>
        <v>#REF!</v>
      </c>
      <c r="D1093" s="4" t="e">
        <f>LN(#REF!/#REF!)</f>
        <v>#REF!</v>
      </c>
      <c r="E1093" s="4" t="e">
        <f t="shared" ref="E1093:E1156" si="18">_xlfn.STDEV.S(D1093:D1112)</f>
        <v>#REF!</v>
      </c>
      <c r="F1093" s="4" t="e" cm="1">
        <f t="array" ref="F1093">AVERAGE(B1093:B2600-$I$4/252)/_xlfn.STDEV.S(B1093:B2600-$I$4)</f>
        <v>#REF!</v>
      </c>
      <c r="G1093" s="4"/>
      <c r="H1093" s="4"/>
      <c r="I1093" s="4"/>
      <c r="J1093" s="4"/>
    </row>
    <row r="1094" spans="1:10" x14ac:dyDescent="0.2">
      <c r="A1094" t="e">
        <f>LEFT(#REF!,10)</f>
        <v>#REF!</v>
      </c>
      <c r="B1094" s="4" t="e">
        <f>(#REF!-#REF!)/#REF!</f>
        <v>#REF!</v>
      </c>
      <c r="C1094" s="4" t="e">
        <f>(#REF!-#REF!)/#REF!</f>
        <v>#REF!</v>
      </c>
      <c r="D1094" s="4" t="e">
        <f>LN(#REF!/#REF!)</f>
        <v>#REF!</v>
      </c>
      <c r="E1094" s="4" t="e">
        <f t="shared" si="18"/>
        <v>#REF!</v>
      </c>
      <c r="F1094" s="4" t="e" cm="1">
        <f t="array" ref="F1094">AVERAGE(B1094:B2601-$I$4/252)/_xlfn.STDEV.S(B1094:B2601-$I$4)</f>
        <v>#REF!</v>
      </c>
      <c r="G1094" s="4"/>
      <c r="H1094" s="4"/>
      <c r="I1094" s="4"/>
      <c r="J1094" s="4"/>
    </row>
    <row r="1095" spans="1:10" x14ac:dyDescent="0.2">
      <c r="A1095" t="e">
        <f>LEFT(#REF!,10)</f>
        <v>#REF!</v>
      </c>
      <c r="B1095" s="4" t="e">
        <f>(#REF!-#REF!)/#REF!</f>
        <v>#REF!</v>
      </c>
      <c r="C1095" s="4" t="e">
        <f>(#REF!-#REF!)/#REF!</f>
        <v>#REF!</v>
      </c>
      <c r="D1095" s="4" t="e">
        <f>LN(#REF!/#REF!)</f>
        <v>#REF!</v>
      </c>
      <c r="E1095" s="4" t="e">
        <f t="shared" si="18"/>
        <v>#REF!</v>
      </c>
      <c r="F1095" s="4" t="e" cm="1">
        <f t="array" ref="F1095">AVERAGE(B1095:B2602-$I$4/252)/_xlfn.STDEV.S(B1095:B2602-$I$4)</f>
        <v>#REF!</v>
      </c>
      <c r="G1095" s="4"/>
      <c r="H1095" s="4"/>
      <c r="I1095" s="4"/>
      <c r="J1095" s="4"/>
    </row>
    <row r="1096" spans="1:10" x14ac:dyDescent="0.2">
      <c r="A1096" t="e">
        <f>LEFT(#REF!,10)</f>
        <v>#REF!</v>
      </c>
      <c r="B1096" s="4" t="e">
        <f>(#REF!-#REF!)/#REF!</f>
        <v>#REF!</v>
      </c>
      <c r="C1096" s="4" t="e">
        <f>(#REF!-#REF!)/#REF!</f>
        <v>#REF!</v>
      </c>
      <c r="D1096" s="4" t="e">
        <f>LN(#REF!/#REF!)</f>
        <v>#REF!</v>
      </c>
      <c r="E1096" s="4" t="e">
        <f t="shared" si="18"/>
        <v>#REF!</v>
      </c>
      <c r="F1096" s="4" t="e" cm="1">
        <f t="array" ref="F1096">AVERAGE(B1096:B2603-$I$4/252)/_xlfn.STDEV.S(B1096:B2603-$I$4)</f>
        <v>#REF!</v>
      </c>
      <c r="G1096" s="4"/>
      <c r="H1096" s="4"/>
      <c r="I1096" s="4"/>
      <c r="J1096" s="4"/>
    </row>
    <row r="1097" spans="1:10" x14ac:dyDescent="0.2">
      <c r="A1097" t="e">
        <f>LEFT(#REF!,10)</f>
        <v>#REF!</v>
      </c>
      <c r="B1097" s="4" t="e">
        <f>(#REF!-#REF!)/#REF!</f>
        <v>#REF!</v>
      </c>
      <c r="C1097" s="4" t="e">
        <f>(#REF!-#REF!)/#REF!</f>
        <v>#REF!</v>
      </c>
      <c r="D1097" s="4" t="e">
        <f>LN(#REF!/#REF!)</f>
        <v>#REF!</v>
      </c>
      <c r="E1097" s="4" t="e">
        <f t="shared" si="18"/>
        <v>#REF!</v>
      </c>
      <c r="F1097" s="4" t="e" cm="1">
        <f t="array" ref="F1097">AVERAGE(B1097:B2604-$I$4/252)/_xlfn.STDEV.S(B1097:B2604-$I$4)</f>
        <v>#REF!</v>
      </c>
      <c r="G1097" s="4"/>
      <c r="H1097" s="4"/>
      <c r="I1097" s="4"/>
      <c r="J1097" s="4"/>
    </row>
    <row r="1098" spans="1:10" x14ac:dyDescent="0.2">
      <c r="A1098" t="e">
        <f>LEFT(#REF!,10)</f>
        <v>#REF!</v>
      </c>
      <c r="B1098" s="4" t="e">
        <f>(#REF!-#REF!)/#REF!</f>
        <v>#REF!</v>
      </c>
      <c r="C1098" s="4" t="e">
        <f>(#REF!-#REF!)/#REF!</f>
        <v>#REF!</v>
      </c>
      <c r="D1098" s="4" t="e">
        <f>LN(#REF!/#REF!)</f>
        <v>#REF!</v>
      </c>
      <c r="E1098" s="4" t="e">
        <f t="shared" si="18"/>
        <v>#REF!</v>
      </c>
      <c r="F1098" s="4" t="e" cm="1">
        <f t="array" ref="F1098">AVERAGE(B1098:B2605-$I$4/252)/_xlfn.STDEV.S(B1098:B2605-$I$4)</f>
        <v>#REF!</v>
      </c>
      <c r="G1098" s="4"/>
      <c r="H1098" s="4"/>
      <c r="I1098" s="4"/>
      <c r="J1098" s="4"/>
    </row>
    <row r="1099" spans="1:10" x14ac:dyDescent="0.2">
      <c r="A1099" t="e">
        <f>LEFT(#REF!,10)</f>
        <v>#REF!</v>
      </c>
      <c r="B1099" s="4" t="e">
        <f>(#REF!-#REF!)/#REF!</f>
        <v>#REF!</v>
      </c>
      <c r="C1099" s="4" t="e">
        <f>(#REF!-#REF!)/#REF!</f>
        <v>#REF!</v>
      </c>
      <c r="D1099" s="4" t="e">
        <f>LN(#REF!/#REF!)</f>
        <v>#REF!</v>
      </c>
      <c r="E1099" s="4" t="e">
        <f t="shared" si="18"/>
        <v>#REF!</v>
      </c>
      <c r="F1099" s="4" t="e" cm="1">
        <f t="array" ref="F1099">AVERAGE(B1099:B2606-$I$4/252)/_xlfn.STDEV.S(B1099:B2606-$I$4)</f>
        <v>#REF!</v>
      </c>
      <c r="G1099" s="4"/>
      <c r="H1099" s="4"/>
      <c r="I1099" s="4"/>
      <c r="J1099" s="4"/>
    </row>
    <row r="1100" spans="1:10" x14ac:dyDescent="0.2">
      <c r="A1100" t="e">
        <f>LEFT(#REF!,10)</f>
        <v>#REF!</v>
      </c>
      <c r="B1100" s="4" t="e">
        <f>(#REF!-#REF!)/#REF!</f>
        <v>#REF!</v>
      </c>
      <c r="C1100" s="4" t="e">
        <f>(#REF!-#REF!)/#REF!</f>
        <v>#REF!</v>
      </c>
      <c r="D1100" s="4" t="e">
        <f>LN(#REF!/#REF!)</f>
        <v>#REF!</v>
      </c>
      <c r="E1100" s="4" t="e">
        <f t="shared" si="18"/>
        <v>#REF!</v>
      </c>
      <c r="F1100" s="4" t="e" cm="1">
        <f t="array" ref="F1100">AVERAGE(B1100:B2607-$I$4/252)/_xlfn.STDEV.S(B1100:B2607-$I$4)</f>
        <v>#REF!</v>
      </c>
      <c r="G1100" s="4"/>
      <c r="H1100" s="4"/>
      <c r="I1100" s="4"/>
      <c r="J1100" s="4"/>
    </row>
    <row r="1101" spans="1:10" x14ac:dyDescent="0.2">
      <c r="A1101" t="e">
        <f>LEFT(#REF!,10)</f>
        <v>#REF!</v>
      </c>
      <c r="B1101" s="4" t="e">
        <f>(#REF!-#REF!)/#REF!</f>
        <v>#REF!</v>
      </c>
      <c r="C1101" s="4" t="e">
        <f>(#REF!-#REF!)/#REF!</f>
        <v>#REF!</v>
      </c>
      <c r="D1101" s="4" t="e">
        <f>LN(#REF!/#REF!)</f>
        <v>#REF!</v>
      </c>
      <c r="E1101" s="4" t="e">
        <f t="shared" si="18"/>
        <v>#REF!</v>
      </c>
      <c r="F1101" s="4" t="e" cm="1">
        <f t="array" ref="F1101">AVERAGE(B1101:B2608-$I$4/252)/_xlfn.STDEV.S(B1101:B2608-$I$4)</f>
        <v>#REF!</v>
      </c>
      <c r="G1101" s="4"/>
      <c r="H1101" s="4"/>
      <c r="I1101" s="4"/>
      <c r="J1101" s="4"/>
    </row>
    <row r="1102" spans="1:10" x14ac:dyDescent="0.2">
      <c r="A1102" t="e">
        <f>LEFT(#REF!,10)</f>
        <v>#REF!</v>
      </c>
      <c r="B1102" s="4" t="e">
        <f>(#REF!-#REF!)/#REF!</f>
        <v>#REF!</v>
      </c>
      <c r="C1102" s="4" t="e">
        <f>(#REF!-#REF!)/#REF!</f>
        <v>#REF!</v>
      </c>
      <c r="D1102" s="4" t="e">
        <f>LN(#REF!/#REF!)</f>
        <v>#REF!</v>
      </c>
      <c r="E1102" s="4" t="e">
        <f t="shared" si="18"/>
        <v>#REF!</v>
      </c>
      <c r="F1102" s="4" t="e" cm="1">
        <f t="array" ref="F1102">AVERAGE(B1102:B2609-$I$4/252)/_xlfn.STDEV.S(B1102:B2609-$I$4)</f>
        <v>#REF!</v>
      </c>
      <c r="G1102" s="4"/>
      <c r="H1102" s="4"/>
      <c r="I1102" s="4"/>
      <c r="J1102" s="4"/>
    </row>
    <row r="1103" spans="1:10" x14ac:dyDescent="0.2">
      <c r="A1103" t="e">
        <f>LEFT(#REF!,10)</f>
        <v>#REF!</v>
      </c>
      <c r="B1103" s="4" t="e">
        <f>(#REF!-#REF!)/#REF!</f>
        <v>#REF!</v>
      </c>
      <c r="C1103" s="4" t="e">
        <f>(#REF!-#REF!)/#REF!</f>
        <v>#REF!</v>
      </c>
      <c r="D1103" s="4" t="e">
        <f>LN(#REF!/#REF!)</f>
        <v>#REF!</v>
      </c>
      <c r="E1103" s="4" t="e">
        <f t="shared" si="18"/>
        <v>#REF!</v>
      </c>
      <c r="F1103" s="4" t="e" cm="1">
        <f t="array" ref="F1103">AVERAGE(B1103:B2610-$I$4/252)/_xlfn.STDEV.S(B1103:B2610-$I$4)</f>
        <v>#REF!</v>
      </c>
      <c r="G1103" s="4"/>
      <c r="H1103" s="4"/>
      <c r="I1103" s="4"/>
      <c r="J1103" s="4"/>
    </row>
    <row r="1104" spans="1:10" x14ac:dyDescent="0.2">
      <c r="A1104" t="e">
        <f>LEFT(#REF!,10)</f>
        <v>#REF!</v>
      </c>
      <c r="B1104" s="4" t="e">
        <f>(#REF!-#REF!)/#REF!</f>
        <v>#REF!</v>
      </c>
      <c r="C1104" s="4" t="e">
        <f>(#REF!-#REF!)/#REF!</f>
        <v>#REF!</v>
      </c>
      <c r="D1104" s="4" t="e">
        <f>LN(#REF!/#REF!)</f>
        <v>#REF!</v>
      </c>
      <c r="E1104" s="4" t="e">
        <f t="shared" si="18"/>
        <v>#REF!</v>
      </c>
      <c r="F1104" s="4" t="e" cm="1">
        <f t="array" ref="F1104">AVERAGE(B1104:B2611-$I$4/252)/_xlfn.STDEV.S(B1104:B2611-$I$4)</f>
        <v>#REF!</v>
      </c>
      <c r="G1104" s="4"/>
      <c r="H1104" s="4"/>
      <c r="I1104" s="4"/>
      <c r="J1104" s="4"/>
    </row>
    <row r="1105" spans="1:10" x14ac:dyDescent="0.2">
      <c r="A1105" t="e">
        <f>LEFT(#REF!,10)</f>
        <v>#REF!</v>
      </c>
      <c r="B1105" s="4" t="e">
        <f>(#REF!-#REF!)/#REF!</f>
        <v>#REF!</v>
      </c>
      <c r="C1105" s="4" t="e">
        <f>(#REF!-#REF!)/#REF!</f>
        <v>#REF!</v>
      </c>
      <c r="D1105" s="4" t="e">
        <f>LN(#REF!/#REF!)</f>
        <v>#REF!</v>
      </c>
      <c r="E1105" s="4" t="e">
        <f t="shared" si="18"/>
        <v>#REF!</v>
      </c>
      <c r="F1105" s="4" t="e" cm="1">
        <f t="array" ref="F1105">AVERAGE(B1105:B2612-$I$4/252)/_xlfn.STDEV.S(B1105:B2612-$I$4)</f>
        <v>#REF!</v>
      </c>
      <c r="G1105" s="4"/>
      <c r="H1105" s="4"/>
      <c r="I1105" s="4"/>
      <c r="J1105" s="4"/>
    </row>
    <row r="1106" spans="1:10" x14ac:dyDescent="0.2">
      <c r="A1106" t="e">
        <f>LEFT(#REF!,10)</f>
        <v>#REF!</v>
      </c>
      <c r="B1106" s="4" t="e">
        <f>(#REF!-#REF!)/#REF!</f>
        <v>#REF!</v>
      </c>
      <c r="C1106" s="4" t="e">
        <f>(#REF!-#REF!)/#REF!</f>
        <v>#REF!</v>
      </c>
      <c r="D1106" s="4" t="e">
        <f>LN(#REF!/#REF!)</f>
        <v>#REF!</v>
      </c>
      <c r="E1106" s="4" t="e">
        <f t="shared" si="18"/>
        <v>#REF!</v>
      </c>
      <c r="F1106" s="4" t="e" cm="1">
        <f t="array" ref="F1106">AVERAGE(B1106:B2613-$I$4/252)/_xlfn.STDEV.S(B1106:B2613-$I$4)</f>
        <v>#REF!</v>
      </c>
      <c r="G1106" s="4"/>
      <c r="H1106" s="4"/>
      <c r="I1106" s="4"/>
      <c r="J1106" s="4"/>
    </row>
    <row r="1107" spans="1:10" x14ac:dyDescent="0.2">
      <c r="A1107" t="e">
        <f>LEFT(#REF!,10)</f>
        <v>#REF!</v>
      </c>
      <c r="B1107" s="4" t="e">
        <f>(#REF!-#REF!)/#REF!</f>
        <v>#REF!</v>
      </c>
      <c r="C1107" s="4" t="e">
        <f>(#REF!-#REF!)/#REF!</f>
        <v>#REF!</v>
      </c>
      <c r="D1107" s="4" t="e">
        <f>LN(#REF!/#REF!)</f>
        <v>#REF!</v>
      </c>
      <c r="E1107" s="4" t="e">
        <f t="shared" si="18"/>
        <v>#REF!</v>
      </c>
      <c r="F1107" s="4" t="e" cm="1">
        <f t="array" ref="F1107">AVERAGE(B1107:B2614-$I$4/252)/_xlfn.STDEV.S(B1107:B2614-$I$4)</f>
        <v>#REF!</v>
      </c>
      <c r="G1107" s="4"/>
      <c r="H1107" s="4"/>
      <c r="I1107" s="4"/>
      <c r="J1107" s="4"/>
    </row>
    <row r="1108" spans="1:10" x14ac:dyDescent="0.2">
      <c r="A1108" t="e">
        <f>LEFT(#REF!,10)</f>
        <v>#REF!</v>
      </c>
      <c r="B1108" s="4" t="e">
        <f>(#REF!-#REF!)/#REF!</f>
        <v>#REF!</v>
      </c>
      <c r="C1108" s="4" t="e">
        <f>(#REF!-#REF!)/#REF!</f>
        <v>#REF!</v>
      </c>
      <c r="D1108" s="4" t="e">
        <f>LN(#REF!/#REF!)</f>
        <v>#REF!</v>
      </c>
      <c r="E1108" s="4" t="e">
        <f t="shared" si="18"/>
        <v>#REF!</v>
      </c>
      <c r="F1108" s="4" t="e" cm="1">
        <f t="array" ref="F1108">AVERAGE(B1108:B2615-$I$4/252)/_xlfn.STDEV.S(B1108:B2615-$I$4)</f>
        <v>#REF!</v>
      </c>
      <c r="G1108" s="4"/>
      <c r="H1108" s="4"/>
      <c r="I1108" s="4"/>
      <c r="J1108" s="4"/>
    </row>
    <row r="1109" spans="1:10" x14ac:dyDescent="0.2">
      <c r="A1109" t="e">
        <f>LEFT(#REF!,10)</f>
        <v>#REF!</v>
      </c>
      <c r="B1109" s="4" t="e">
        <f>(#REF!-#REF!)/#REF!</f>
        <v>#REF!</v>
      </c>
      <c r="C1109" s="4" t="e">
        <f>(#REF!-#REF!)/#REF!</f>
        <v>#REF!</v>
      </c>
      <c r="D1109" s="4" t="e">
        <f>LN(#REF!/#REF!)</f>
        <v>#REF!</v>
      </c>
      <c r="E1109" s="4" t="e">
        <f t="shared" si="18"/>
        <v>#REF!</v>
      </c>
      <c r="F1109" s="4" t="e" cm="1">
        <f t="array" ref="F1109">AVERAGE(B1109:B2616-$I$4/252)/_xlfn.STDEV.S(B1109:B2616-$I$4)</f>
        <v>#REF!</v>
      </c>
      <c r="G1109" s="4"/>
      <c r="H1109" s="4"/>
      <c r="I1109" s="4"/>
      <c r="J1109" s="4"/>
    </row>
    <row r="1110" spans="1:10" x14ac:dyDescent="0.2">
      <c r="A1110" t="e">
        <f>LEFT(#REF!,10)</f>
        <v>#REF!</v>
      </c>
      <c r="B1110" s="4" t="e">
        <f>(#REF!-#REF!)/#REF!</f>
        <v>#REF!</v>
      </c>
      <c r="C1110" s="4" t="e">
        <f>(#REF!-#REF!)/#REF!</f>
        <v>#REF!</v>
      </c>
      <c r="D1110" s="4" t="e">
        <f>LN(#REF!/#REF!)</f>
        <v>#REF!</v>
      </c>
      <c r="E1110" s="4" t="e">
        <f t="shared" si="18"/>
        <v>#REF!</v>
      </c>
      <c r="F1110" s="4" t="e" cm="1">
        <f t="array" ref="F1110">AVERAGE(B1110:B2617-$I$4/252)/_xlfn.STDEV.S(B1110:B2617-$I$4)</f>
        <v>#REF!</v>
      </c>
      <c r="G1110" s="4"/>
      <c r="H1110" s="4"/>
      <c r="I1110" s="4"/>
      <c r="J1110" s="4"/>
    </row>
    <row r="1111" spans="1:10" x14ac:dyDescent="0.2">
      <c r="A1111" t="e">
        <f>LEFT(#REF!,10)</f>
        <v>#REF!</v>
      </c>
      <c r="B1111" s="4" t="e">
        <f>(#REF!-#REF!)/#REF!</f>
        <v>#REF!</v>
      </c>
      <c r="C1111" s="4" t="e">
        <f>(#REF!-#REF!)/#REF!</f>
        <v>#REF!</v>
      </c>
      <c r="D1111" s="4" t="e">
        <f>LN(#REF!/#REF!)</f>
        <v>#REF!</v>
      </c>
      <c r="E1111" s="4" t="e">
        <f t="shared" si="18"/>
        <v>#REF!</v>
      </c>
      <c r="F1111" s="4" t="e" cm="1">
        <f t="array" ref="F1111">AVERAGE(B1111:B2618-$I$4/252)/_xlfn.STDEV.S(B1111:B2618-$I$4)</f>
        <v>#REF!</v>
      </c>
      <c r="G1111" s="4"/>
      <c r="H1111" s="4"/>
      <c r="I1111" s="4"/>
      <c r="J1111" s="4"/>
    </row>
    <row r="1112" spans="1:10" x14ac:dyDescent="0.2">
      <c r="A1112" t="e">
        <f>LEFT(#REF!,10)</f>
        <v>#REF!</v>
      </c>
      <c r="B1112" s="4" t="e">
        <f>(#REF!-#REF!)/#REF!</f>
        <v>#REF!</v>
      </c>
      <c r="C1112" s="4" t="e">
        <f>(#REF!-#REF!)/#REF!</f>
        <v>#REF!</v>
      </c>
      <c r="D1112" s="4" t="e">
        <f>LN(#REF!/#REF!)</f>
        <v>#REF!</v>
      </c>
      <c r="E1112" s="4" t="e">
        <f t="shared" si="18"/>
        <v>#REF!</v>
      </c>
      <c r="F1112" s="4" t="e" cm="1">
        <f t="array" ref="F1112">AVERAGE(B1112:B2619-$I$4/252)/_xlfn.STDEV.S(B1112:B2619-$I$4)</f>
        <v>#REF!</v>
      </c>
      <c r="G1112" s="4"/>
      <c r="H1112" s="4"/>
      <c r="I1112" s="4"/>
      <c r="J1112" s="4"/>
    </row>
    <row r="1113" spans="1:10" x14ac:dyDescent="0.2">
      <c r="A1113" t="e">
        <f>LEFT(#REF!,10)</f>
        <v>#REF!</v>
      </c>
      <c r="B1113" s="4" t="e">
        <f>(#REF!-#REF!)/#REF!</f>
        <v>#REF!</v>
      </c>
      <c r="C1113" s="4" t="e">
        <f>(#REF!-#REF!)/#REF!</f>
        <v>#REF!</v>
      </c>
      <c r="D1113" s="4" t="e">
        <f>LN(#REF!/#REF!)</f>
        <v>#REF!</v>
      </c>
      <c r="E1113" s="4" t="e">
        <f t="shared" si="18"/>
        <v>#REF!</v>
      </c>
      <c r="F1113" s="4" t="e" cm="1">
        <f t="array" ref="F1113">AVERAGE(B1113:B2620-$I$4/252)/_xlfn.STDEV.S(B1113:B2620-$I$4)</f>
        <v>#REF!</v>
      </c>
      <c r="G1113" s="4"/>
      <c r="H1113" s="4"/>
      <c r="I1113" s="4"/>
      <c r="J1113" s="4"/>
    </row>
    <row r="1114" spans="1:10" x14ac:dyDescent="0.2">
      <c r="A1114" t="e">
        <f>LEFT(#REF!,10)</f>
        <v>#REF!</v>
      </c>
      <c r="B1114" s="4" t="e">
        <f>(#REF!-#REF!)/#REF!</f>
        <v>#REF!</v>
      </c>
      <c r="C1114" s="4" t="e">
        <f>(#REF!-#REF!)/#REF!</f>
        <v>#REF!</v>
      </c>
      <c r="D1114" s="4" t="e">
        <f>LN(#REF!/#REF!)</f>
        <v>#REF!</v>
      </c>
      <c r="E1114" s="4" t="e">
        <f t="shared" si="18"/>
        <v>#REF!</v>
      </c>
      <c r="F1114" s="4" t="e" cm="1">
        <f t="array" ref="F1114">AVERAGE(B1114:B2621-$I$4/252)/_xlfn.STDEV.S(B1114:B2621-$I$4)</f>
        <v>#REF!</v>
      </c>
      <c r="G1114" s="4"/>
      <c r="H1114" s="4"/>
      <c r="I1114" s="4"/>
      <c r="J1114" s="4"/>
    </row>
    <row r="1115" spans="1:10" x14ac:dyDescent="0.2">
      <c r="A1115" t="e">
        <f>LEFT(#REF!,10)</f>
        <v>#REF!</v>
      </c>
      <c r="B1115" s="4" t="e">
        <f>(#REF!-#REF!)/#REF!</f>
        <v>#REF!</v>
      </c>
      <c r="C1115" s="4" t="e">
        <f>(#REF!-#REF!)/#REF!</f>
        <v>#REF!</v>
      </c>
      <c r="D1115" s="4" t="e">
        <f>LN(#REF!/#REF!)</f>
        <v>#REF!</v>
      </c>
      <c r="E1115" s="4" t="e">
        <f t="shared" si="18"/>
        <v>#REF!</v>
      </c>
      <c r="F1115" s="4" t="e" cm="1">
        <f t="array" ref="F1115">AVERAGE(B1115:B2622-$I$4/252)/_xlfn.STDEV.S(B1115:B2622-$I$4)</f>
        <v>#REF!</v>
      </c>
      <c r="G1115" s="4"/>
      <c r="H1115" s="4"/>
      <c r="I1115" s="4"/>
      <c r="J1115" s="4"/>
    </row>
    <row r="1116" spans="1:10" x14ac:dyDescent="0.2">
      <c r="A1116" t="e">
        <f>LEFT(#REF!,10)</f>
        <v>#REF!</v>
      </c>
      <c r="B1116" s="4" t="e">
        <f>(#REF!-#REF!)/#REF!</f>
        <v>#REF!</v>
      </c>
      <c r="C1116" s="4" t="e">
        <f>(#REF!-#REF!)/#REF!</f>
        <v>#REF!</v>
      </c>
      <c r="D1116" s="4" t="e">
        <f>LN(#REF!/#REF!)</f>
        <v>#REF!</v>
      </c>
      <c r="E1116" s="4" t="e">
        <f t="shared" si="18"/>
        <v>#REF!</v>
      </c>
      <c r="F1116" s="4" t="e" cm="1">
        <f t="array" ref="F1116">AVERAGE(B1116:B2623-$I$4/252)/_xlfn.STDEV.S(B1116:B2623-$I$4)</f>
        <v>#REF!</v>
      </c>
      <c r="G1116" s="4"/>
      <c r="H1116" s="4"/>
      <c r="I1116" s="4"/>
      <c r="J1116" s="4"/>
    </row>
    <row r="1117" spans="1:10" x14ac:dyDescent="0.2">
      <c r="A1117" t="e">
        <f>LEFT(#REF!,10)</f>
        <v>#REF!</v>
      </c>
      <c r="B1117" s="4" t="e">
        <f>(#REF!-#REF!)/#REF!</f>
        <v>#REF!</v>
      </c>
      <c r="C1117" s="4" t="e">
        <f>(#REF!-#REF!)/#REF!</f>
        <v>#REF!</v>
      </c>
      <c r="D1117" s="4" t="e">
        <f>LN(#REF!/#REF!)</f>
        <v>#REF!</v>
      </c>
      <c r="E1117" s="4" t="e">
        <f t="shared" si="18"/>
        <v>#REF!</v>
      </c>
      <c r="F1117" s="4" t="e" cm="1">
        <f t="array" ref="F1117">AVERAGE(B1117:B2624-$I$4/252)/_xlfn.STDEV.S(B1117:B2624-$I$4)</f>
        <v>#REF!</v>
      </c>
      <c r="G1117" s="4"/>
      <c r="H1117" s="4"/>
      <c r="I1117" s="4"/>
      <c r="J1117" s="4"/>
    </row>
    <row r="1118" spans="1:10" x14ac:dyDescent="0.2">
      <c r="A1118" t="e">
        <f>LEFT(#REF!,10)</f>
        <v>#REF!</v>
      </c>
      <c r="B1118" s="4" t="e">
        <f>(#REF!-#REF!)/#REF!</f>
        <v>#REF!</v>
      </c>
      <c r="C1118" s="4" t="e">
        <f>(#REF!-#REF!)/#REF!</f>
        <v>#REF!</v>
      </c>
      <c r="D1118" s="4" t="e">
        <f>LN(#REF!/#REF!)</f>
        <v>#REF!</v>
      </c>
      <c r="E1118" s="4" t="e">
        <f t="shared" si="18"/>
        <v>#REF!</v>
      </c>
      <c r="F1118" s="4" t="e" cm="1">
        <f t="array" ref="F1118">AVERAGE(B1118:B2625-$I$4/252)/_xlfn.STDEV.S(B1118:B2625-$I$4)</f>
        <v>#REF!</v>
      </c>
      <c r="G1118" s="4"/>
      <c r="H1118" s="4"/>
      <c r="I1118" s="4"/>
      <c r="J1118" s="4"/>
    </row>
    <row r="1119" spans="1:10" x14ac:dyDescent="0.2">
      <c r="A1119" t="e">
        <f>LEFT(#REF!,10)</f>
        <v>#REF!</v>
      </c>
      <c r="B1119" s="4" t="e">
        <f>(#REF!-#REF!)/#REF!</f>
        <v>#REF!</v>
      </c>
      <c r="C1119" s="4" t="e">
        <f>(#REF!-#REF!)/#REF!</f>
        <v>#REF!</v>
      </c>
      <c r="D1119" s="4" t="e">
        <f>LN(#REF!/#REF!)</f>
        <v>#REF!</v>
      </c>
      <c r="E1119" s="4" t="e">
        <f t="shared" si="18"/>
        <v>#REF!</v>
      </c>
      <c r="F1119" s="4" t="e" cm="1">
        <f t="array" ref="F1119">AVERAGE(B1119:B2626-$I$4/252)/_xlfn.STDEV.S(B1119:B2626-$I$4)</f>
        <v>#REF!</v>
      </c>
      <c r="G1119" s="4"/>
      <c r="H1119" s="4"/>
      <c r="I1119" s="4"/>
      <c r="J1119" s="4"/>
    </row>
    <row r="1120" spans="1:10" x14ac:dyDescent="0.2">
      <c r="A1120" t="e">
        <f>LEFT(#REF!,10)</f>
        <v>#REF!</v>
      </c>
      <c r="B1120" s="4" t="e">
        <f>(#REF!-#REF!)/#REF!</f>
        <v>#REF!</v>
      </c>
      <c r="C1120" s="4" t="e">
        <f>(#REF!-#REF!)/#REF!</f>
        <v>#REF!</v>
      </c>
      <c r="D1120" s="4" t="e">
        <f>LN(#REF!/#REF!)</f>
        <v>#REF!</v>
      </c>
      <c r="E1120" s="4" t="e">
        <f t="shared" si="18"/>
        <v>#REF!</v>
      </c>
      <c r="F1120" s="4" t="e" cm="1">
        <f t="array" ref="F1120">AVERAGE(B1120:B2627-$I$4/252)/_xlfn.STDEV.S(B1120:B2627-$I$4)</f>
        <v>#REF!</v>
      </c>
      <c r="G1120" s="4"/>
      <c r="H1120" s="4"/>
      <c r="I1120" s="4"/>
      <c r="J1120" s="4"/>
    </row>
    <row r="1121" spans="1:10" x14ac:dyDescent="0.2">
      <c r="A1121" t="e">
        <f>LEFT(#REF!,10)</f>
        <v>#REF!</v>
      </c>
      <c r="B1121" s="4" t="e">
        <f>(#REF!-#REF!)/#REF!</f>
        <v>#REF!</v>
      </c>
      <c r="C1121" s="4" t="e">
        <f>(#REF!-#REF!)/#REF!</f>
        <v>#REF!</v>
      </c>
      <c r="D1121" s="4" t="e">
        <f>LN(#REF!/#REF!)</f>
        <v>#REF!</v>
      </c>
      <c r="E1121" s="4" t="e">
        <f t="shared" si="18"/>
        <v>#REF!</v>
      </c>
      <c r="F1121" s="4" t="e" cm="1">
        <f t="array" ref="F1121">AVERAGE(B1121:B2628-$I$4/252)/_xlfn.STDEV.S(B1121:B2628-$I$4)</f>
        <v>#REF!</v>
      </c>
      <c r="G1121" s="4"/>
      <c r="H1121" s="4"/>
      <c r="I1121" s="4"/>
      <c r="J1121" s="4"/>
    </row>
    <row r="1122" spans="1:10" x14ac:dyDescent="0.2">
      <c r="A1122" t="e">
        <f>LEFT(#REF!,10)</f>
        <v>#REF!</v>
      </c>
      <c r="B1122" s="4" t="e">
        <f>(#REF!-#REF!)/#REF!</f>
        <v>#REF!</v>
      </c>
      <c r="C1122" s="4" t="e">
        <f>(#REF!-#REF!)/#REF!</f>
        <v>#REF!</v>
      </c>
      <c r="D1122" s="4" t="e">
        <f>LN(#REF!/#REF!)</f>
        <v>#REF!</v>
      </c>
      <c r="E1122" s="4" t="e">
        <f t="shared" si="18"/>
        <v>#REF!</v>
      </c>
      <c r="F1122" s="4" t="e" cm="1">
        <f t="array" ref="F1122">AVERAGE(B1122:B2629-$I$4/252)/_xlfn.STDEV.S(B1122:B2629-$I$4)</f>
        <v>#REF!</v>
      </c>
      <c r="G1122" s="4"/>
      <c r="H1122" s="4"/>
      <c r="I1122" s="4"/>
      <c r="J1122" s="4"/>
    </row>
    <row r="1123" spans="1:10" x14ac:dyDescent="0.2">
      <c r="A1123" t="e">
        <f>LEFT(#REF!,10)</f>
        <v>#REF!</v>
      </c>
      <c r="B1123" s="4" t="e">
        <f>(#REF!-#REF!)/#REF!</f>
        <v>#REF!</v>
      </c>
      <c r="C1123" s="4" t="e">
        <f>(#REF!-#REF!)/#REF!</f>
        <v>#REF!</v>
      </c>
      <c r="D1123" s="4" t="e">
        <f>LN(#REF!/#REF!)</f>
        <v>#REF!</v>
      </c>
      <c r="E1123" s="4" t="e">
        <f t="shared" si="18"/>
        <v>#REF!</v>
      </c>
      <c r="F1123" s="4" t="e" cm="1">
        <f t="array" ref="F1123">AVERAGE(B1123:B2630-$I$4/252)/_xlfn.STDEV.S(B1123:B2630-$I$4)</f>
        <v>#REF!</v>
      </c>
      <c r="G1123" s="4"/>
      <c r="H1123" s="4"/>
      <c r="I1123" s="4"/>
      <c r="J1123" s="4"/>
    </row>
    <row r="1124" spans="1:10" x14ac:dyDescent="0.2">
      <c r="A1124" t="e">
        <f>LEFT(#REF!,10)</f>
        <v>#REF!</v>
      </c>
      <c r="B1124" s="4" t="e">
        <f>(#REF!-#REF!)/#REF!</f>
        <v>#REF!</v>
      </c>
      <c r="C1124" s="4" t="e">
        <f>(#REF!-#REF!)/#REF!</f>
        <v>#REF!</v>
      </c>
      <c r="D1124" s="4" t="e">
        <f>LN(#REF!/#REF!)</f>
        <v>#REF!</v>
      </c>
      <c r="E1124" s="4" t="e">
        <f t="shared" si="18"/>
        <v>#REF!</v>
      </c>
      <c r="F1124" s="4" t="e" cm="1">
        <f t="array" ref="F1124">AVERAGE(B1124:B2631-$I$4/252)/_xlfn.STDEV.S(B1124:B2631-$I$4)</f>
        <v>#REF!</v>
      </c>
      <c r="G1124" s="4"/>
      <c r="H1124" s="4"/>
      <c r="I1124" s="4"/>
      <c r="J1124" s="4"/>
    </row>
    <row r="1125" spans="1:10" x14ac:dyDescent="0.2">
      <c r="A1125" t="e">
        <f>LEFT(#REF!,10)</f>
        <v>#REF!</v>
      </c>
      <c r="B1125" s="4" t="e">
        <f>(#REF!-#REF!)/#REF!</f>
        <v>#REF!</v>
      </c>
      <c r="C1125" s="4" t="e">
        <f>(#REF!-#REF!)/#REF!</f>
        <v>#REF!</v>
      </c>
      <c r="D1125" s="4" t="e">
        <f>LN(#REF!/#REF!)</f>
        <v>#REF!</v>
      </c>
      <c r="E1125" s="4" t="e">
        <f t="shared" si="18"/>
        <v>#REF!</v>
      </c>
      <c r="F1125" s="4" t="e" cm="1">
        <f t="array" ref="F1125">AVERAGE(B1125:B2632-$I$4/252)/_xlfn.STDEV.S(B1125:B2632-$I$4)</f>
        <v>#REF!</v>
      </c>
      <c r="G1125" s="4"/>
      <c r="H1125" s="4"/>
      <c r="I1125" s="4"/>
      <c r="J1125" s="4"/>
    </row>
    <row r="1126" spans="1:10" x14ac:dyDescent="0.2">
      <c r="A1126" t="e">
        <f>LEFT(#REF!,10)</f>
        <v>#REF!</v>
      </c>
      <c r="B1126" s="4" t="e">
        <f>(#REF!-#REF!)/#REF!</f>
        <v>#REF!</v>
      </c>
      <c r="C1126" s="4" t="e">
        <f>(#REF!-#REF!)/#REF!</f>
        <v>#REF!</v>
      </c>
      <c r="D1126" s="4" t="e">
        <f>LN(#REF!/#REF!)</f>
        <v>#REF!</v>
      </c>
      <c r="E1126" s="4" t="e">
        <f t="shared" si="18"/>
        <v>#REF!</v>
      </c>
      <c r="F1126" s="4" t="e" cm="1">
        <f t="array" ref="F1126">AVERAGE(B1126:B2633-$I$4/252)/_xlfn.STDEV.S(B1126:B2633-$I$4)</f>
        <v>#REF!</v>
      </c>
      <c r="G1126" s="4"/>
      <c r="H1126" s="4"/>
      <c r="I1126" s="4"/>
      <c r="J1126" s="4"/>
    </row>
    <row r="1127" spans="1:10" x14ac:dyDescent="0.2">
      <c r="A1127" t="e">
        <f>LEFT(#REF!,10)</f>
        <v>#REF!</v>
      </c>
      <c r="B1127" s="4" t="e">
        <f>(#REF!-#REF!)/#REF!</f>
        <v>#REF!</v>
      </c>
      <c r="C1127" s="4" t="e">
        <f>(#REF!-#REF!)/#REF!</f>
        <v>#REF!</v>
      </c>
      <c r="D1127" s="4" t="e">
        <f>LN(#REF!/#REF!)</f>
        <v>#REF!</v>
      </c>
      <c r="E1127" s="4" t="e">
        <f t="shared" si="18"/>
        <v>#REF!</v>
      </c>
      <c r="F1127" s="4" t="e" cm="1">
        <f t="array" ref="F1127">AVERAGE(B1127:B2634-$I$4/252)/_xlfn.STDEV.S(B1127:B2634-$I$4)</f>
        <v>#REF!</v>
      </c>
      <c r="G1127" s="4"/>
      <c r="H1127" s="4"/>
      <c r="I1127" s="4"/>
      <c r="J1127" s="4"/>
    </row>
    <row r="1128" spans="1:10" x14ac:dyDescent="0.2">
      <c r="A1128" t="e">
        <f>LEFT(#REF!,10)</f>
        <v>#REF!</v>
      </c>
      <c r="B1128" s="4" t="e">
        <f>(#REF!-#REF!)/#REF!</f>
        <v>#REF!</v>
      </c>
      <c r="C1128" s="4" t="e">
        <f>(#REF!-#REF!)/#REF!</f>
        <v>#REF!</v>
      </c>
      <c r="D1128" s="4" t="e">
        <f>LN(#REF!/#REF!)</f>
        <v>#REF!</v>
      </c>
      <c r="E1128" s="4" t="e">
        <f t="shared" si="18"/>
        <v>#REF!</v>
      </c>
      <c r="F1128" s="4" t="e" cm="1">
        <f t="array" ref="F1128">AVERAGE(B1128:B2635-$I$4/252)/_xlfn.STDEV.S(B1128:B2635-$I$4)</f>
        <v>#REF!</v>
      </c>
      <c r="G1128" s="4"/>
      <c r="H1128" s="4"/>
      <c r="I1128" s="4"/>
      <c r="J1128" s="4"/>
    </row>
    <row r="1129" spans="1:10" x14ac:dyDescent="0.2">
      <c r="A1129" t="e">
        <f>LEFT(#REF!,10)</f>
        <v>#REF!</v>
      </c>
      <c r="B1129" s="4" t="e">
        <f>(#REF!-#REF!)/#REF!</f>
        <v>#REF!</v>
      </c>
      <c r="C1129" s="4" t="e">
        <f>(#REF!-#REF!)/#REF!</f>
        <v>#REF!</v>
      </c>
      <c r="D1129" s="4" t="e">
        <f>LN(#REF!/#REF!)</f>
        <v>#REF!</v>
      </c>
      <c r="E1129" s="4" t="e">
        <f t="shared" si="18"/>
        <v>#REF!</v>
      </c>
      <c r="F1129" s="4" t="e" cm="1">
        <f t="array" ref="F1129">AVERAGE(B1129:B2636-$I$4/252)/_xlfn.STDEV.S(B1129:B2636-$I$4)</f>
        <v>#REF!</v>
      </c>
      <c r="G1129" s="4"/>
      <c r="H1129" s="4"/>
      <c r="I1129" s="4"/>
      <c r="J1129" s="4"/>
    </row>
    <row r="1130" spans="1:10" x14ac:dyDescent="0.2">
      <c r="A1130" t="e">
        <f>LEFT(#REF!,10)</f>
        <v>#REF!</v>
      </c>
      <c r="B1130" s="4" t="e">
        <f>(#REF!-#REF!)/#REF!</f>
        <v>#REF!</v>
      </c>
      <c r="C1130" s="4" t="e">
        <f>(#REF!-#REF!)/#REF!</f>
        <v>#REF!</v>
      </c>
      <c r="D1130" s="4" t="e">
        <f>LN(#REF!/#REF!)</f>
        <v>#REF!</v>
      </c>
      <c r="E1130" s="4" t="e">
        <f t="shared" si="18"/>
        <v>#REF!</v>
      </c>
      <c r="F1130" s="4" t="e" cm="1">
        <f t="array" ref="F1130">AVERAGE(B1130:B2637-$I$4/252)/_xlfn.STDEV.S(B1130:B2637-$I$4)</f>
        <v>#REF!</v>
      </c>
      <c r="G1130" s="4"/>
      <c r="H1130" s="4"/>
      <c r="I1130" s="4"/>
      <c r="J1130" s="4"/>
    </row>
    <row r="1131" spans="1:10" x14ac:dyDescent="0.2">
      <c r="A1131" t="e">
        <f>LEFT(#REF!,10)</f>
        <v>#REF!</v>
      </c>
      <c r="B1131" s="4" t="e">
        <f>(#REF!-#REF!)/#REF!</f>
        <v>#REF!</v>
      </c>
      <c r="C1131" s="4" t="e">
        <f>(#REF!-#REF!)/#REF!</f>
        <v>#REF!</v>
      </c>
      <c r="D1131" s="4" t="e">
        <f>LN(#REF!/#REF!)</f>
        <v>#REF!</v>
      </c>
      <c r="E1131" s="4" t="e">
        <f t="shared" si="18"/>
        <v>#REF!</v>
      </c>
      <c r="F1131" s="4" t="e" cm="1">
        <f t="array" ref="F1131">AVERAGE(B1131:B2638-$I$4/252)/_xlfn.STDEV.S(B1131:B2638-$I$4)</f>
        <v>#REF!</v>
      </c>
      <c r="G1131" s="4"/>
      <c r="H1131" s="4"/>
      <c r="I1131" s="4"/>
      <c r="J1131" s="4"/>
    </row>
    <row r="1132" spans="1:10" x14ac:dyDescent="0.2">
      <c r="A1132" t="e">
        <f>LEFT(#REF!,10)</f>
        <v>#REF!</v>
      </c>
      <c r="B1132" s="4" t="e">
        <f>(#REF!-#REF!)/#REF!</f>
        <v>#REF!</v>
      </c>
      <c r="C1132" s="4" t="e">
        <f>(#REF!-#REF!)/#REF!</f>
        <v>#REF!</v>
      </c>
      <c r="D1132" s="4" t="e">
        <f>LN(#REF!/#REF!)</f>
        <v>#REF!</v>
      </c>
      <c r="E1132" s="4" t="e">
        <f t="shared" si="18"/>
        <v>#REF!</v>
      </c>
      <c r="F1132" s="4" t="e" cm="1">
        <f t="array" ref="F1132">AVERAGE(B1132:B2639-$I$4/252)/_xlfn.STDEV.S(B1132:B2639-$I$4)</f>
        <v>#REF!</v>
      </c>
      <c r="G1132" s="4"/>
      <c r="H1132" s="4"/>
      <c r="I1132" s="4"/>
      <c r="J1132" s="4"/>
    </row>
    <row r="1133" spans="1:10" x14ac:dyDescent="0.2">
      <c r="A1133" t="e">
        <f>LEFT(#REF!,10)</f>
        <v>#REF!</v>
      </c>
      <c r="B1133" s="4" t="e">
        <f>(#REF!-#REF!)/#REF!</f>
        <v>#REF!</v>
      </c>
      <c r="C1133" s="4" t="e">
        <f>(#REF!-#REF!)/#REF!</f>
        <v>#REF!</v>
      </c>
      <c r="D1133" s="4" t="e">
        <f>LN(#REF!/#REF!)</f>
        <v>#REF!</v>
      </c>
      <c r="E1133" s="4" t="e">
        <f t="shared" si="18"/>
        <v>#REF!</v>
      </c>
      <c r="F1133" s="4" t="e" cm="1">
        <f t="array" ref="F1133">AVERAGE(B1133:B2640-$I$4/252)/_xlfn.STDEV.S(B1133:B2640-$I$4)</f>
        <v>#REF!</v>
      </c>
      <c r="G1133" s="4"/>
      <c r="H1133" s="4"/>
      <c r="I1133" s="4"/>
      <c r="J1133" s="4"/>
    </row>
    <row r="1134" spans="1:10" x14ac:dyDescent="0.2">
      <c r="A1134" t="e">
        <f>LEFT(#REF!,10)</f>
        <v>#REF!</v>
      </c>
      <c r="B1134" s="4" t="e">
        <f>(#REF!-#REF!)/#REF!</f>
        <v>#REF!</v>
      </c>
      <c r="C1134" s="4" t="e">
        <f>(#REF!-#REF!)/#REF!</f>
        <v>#REF!</v>
      </c>
      <c r="D1134" s="4" t="e">
        <f>LN(#REF!/#REF!)</f>
        <v>#REF!</v>
      </c>
      <c r="E1134" s="4" t="e">
        <f t="shared" si="18"/>
        <v>#REF!</v>
      </c>
      <c r="F1134" s="4" t="e" cm="1">
        <f t="array" ref="F1134">AVERAGE(B1134:B2641-$I$4/252)/_xlfn.STDEV.S(B1134:B2641-$I$4)</f>
        <v>#REF!</v>
      </c>
      <c r="G1134" s="4"/>
      <c r="H1134" s="4"/>
      <c r="I1134" s="4"/>
      <c r="J1134" s="4"/>
    </row>
    <row r="1135" spans="1:10" x14ac:dyDescent="0.2">
      <c r="A1135" t="e">
        <f>LEFT(#REF!,10)</f>
        <v>#REF!</v>
      </c>
      <c r="B1135" s="4" t="e">
        <f>(#REF!-#REF!)/#REF!</f>
        <v>#REF!</v>
      </c>
      <c r="C1135" s="4" t="e">
        <f>(#REF!-#REF!)/#REF!</f>
        <v>#REF!</v>
      </c>
      <c r="D1135" s="4" t="e">
        <f>LN(#REF!/#REF!)</f>
        <v>#REF!</v>
      </c>
      <c r="E1135" s="4" t="e">
        <f t="shared" si="18"/>
        <v>#REF!</v>
      </c>
      <c r="F1135" s="4" t="e" cm="1">
        <f t="array" ref="F1135">AVERAGE(B1135:B2642-$I$4/252)/_xlfn.STDEV.S(B1135:B2642-$I$4)</f>
        <v>#REF!</v>
      </c>
      <c r="G1135" s="4"/>
      <c r="H1135" s="4"/>
      <c r="I1135" s="4"/>
      <c r="J1135" s="4"/>
    </row>
    <row r="1136" spans="1:10" x14ac:dyDescent="0.2">
      <c r="A1136" t="e">
        <f>LEFT(#REF!,10)</f>
        <v>#REF!</v>
      </c>
      <c r="B1136" s="4" t="e">
        <f>(#REF!-#REF!)/#REF!</f>
        <v>#REF!</v>
      </c>
      <c r="C1136" s="4" t="e">
        <f>(#REF!-#REF!)/#REF!</f>
        <v>#REF!</v>
      </c>
      <c r="D1136" s="4" t="e">
        <f>LN(#REF!/#REF!)</f>
        <v>#REF!</v>
      </c>
      <c r="E1136" s="4" t="e">
        <f t="shared" si="18"/>
        <v>#REF!</v>
      </c>
      <c r="F1136" s="4" t="e" cm="1">
        <f t="array" ref="F1136">AVERAGE(B1136:B2643-$I$4/252)/_xlfn.STDEV.S(B1136:B2643-$I$4)</f>
        <v>#REF!</v>
      </c>
      <c r="G1136" s="4"/>
      <c r="H1136" s="4"/>
      <c r="I1136" s="4"/>
      <c r="J1136" s="4"/>
    </row>
    <row r="1137" spans="1:10" x14ac:dyDescent="0.2">
      <c r="A1137" t="e">
        <f>LEFT(#REF!,10)</f>
        <v>#REF!</v>
      </c>
      <c r="B1137" s="4" t="e">
        <f>(#REF!-#REF!)/#REF!</f>
        <v>#REF!</v>
      </c>
      <c r="C1137" s="4" t="e">
        <f>(#REF!-#REF!)/#REF!</f>
        <v>#REF!</v>
      </c>
      <c r="D1137" s="4" t="e">
        <f>LN(#REF!/#REF!)</f>
        <v>#REF!</v>
      </c>
      <c r="E1137" s="4" t="e">
        <f t="shared" si="18"/>
        <v>#REF!</v>
      </c>
      <c r="F1137" s="4" t="e" cm="1">
        <f t="array" ref="F1137">AVERAGE(B1137:B2644-$I$4/252)/_xlfn.STDEV.S(B1137:B2644-$I$4)</f>
        <v>#REF!</v>
      </c>
      <c r="G1137" s="4"/>
      <c r="H1137" s="4"/>
      <c r="I1137" s="4"/>
      <c r="J1137" s="4"/>
    </row>
    <row r="1138" spans="1:10" x14ac:dyDescent="0.2">
      <c r="A1138" t="e">
        <f>LEFT(#REF!,10)</f>
        <v>#REF!</v>
      </c>
      <c r="B1138" s="4" t="e">
        <f>(#REF!-#REF!)/#REF!</f>
        <v>#REF!</v>
      </c>
      <c r="C1138" s="4" t="e">
        <f>(#REF!-#REF!)/#REF!</f>
        <v>#REF!</v>
      </c>
      <c r="D1138" s="4" t="e">
        <f>LN(#REF!/#REF!)</f>
        <v>#REF!</v>
      </c>
      <c r="E1138" s="4" t="e">
        <f t="shared" si="18"/>
        <v>#REF!</v>
      </c>
      <c r="F1138" s="4" t="e" cm="1">
        <f t="array" ref="F1138">AVERAGE(B1138:B2645-$I$4/252)/_xlfn.STDEV.S(B1138:B2645-$I$4)</f>
        <v>#REF!</v>
      </c>
      <c r="G1138" s="4"/>
      <c r="H1138" s="4"/>
      <c r="I1138" s="4"/>
      <c r="J1138" s="4"/>
    </row>
    <row r="1139" spans="1:10" x14ac:dyDescent="0.2">
      <c r="A1139" t="e">
        <f>LEFT(#REF!,10)</f>
        <v>#REF!</v>
      </c>
      <c r="B1139" s="4" t="e">
        <f>(#REF!-#REF!)/#REF!</f>
        <v>#REF!</v>
      </c>
      <c r="C1139" s="4" t="e">
        <f>(#REF!-#REF!)/#REF!</f>
        <v>#REF!</v>
      </c>
      <c r="D1139" s="4" t="e">
        <f>LN(#REF!/#REF!)</f>
        <v>#REF!</v>
      </c>
      <c r="E1139" s="4" t="e">
        <f t="shared" si="18"/>
        <v>#REF!</v>
      </c>
      <c r="F1139" s="4" t="e" cm="1">
        <f t="array" ref="F1139">AVERAGE(B1139:B2646-$I$4/252)/_xlfn.STDEV.S(B1139:B2646-$I$4)</f>
        <v>#REF!</v>
      </c>
      <c r="G1139" s="4"/>
      <c r="H1139" s="4"/>
      <c r="I1139" s="4"/>
      <c r="J1139" s="4"/>
    </row>
    <row r="1140" spans="1:10" x14ac:dyDescent="0.2">
      <c r="A1140" t="e">
        <f>LEFT(#REF!,10)</f>
        <v>#REF!</v>
      </c>
      <c r="B1140" s="4" t="e">
        <f>(#REF!-#REF!)/#REF!</f>
        <v>#REF!</v>
      </c>
      <c r="C1140" s="4" t="e">
        <f>(#REF!-#REF!)/#REF!</f>
        <v>#REF!</v>
      </c>
      <c r="D1140" s="4" t="e">
        <f>LN(#REF!/#REF!)</f>
        <v>#REF!</v>
      </c>
      <c r="E1140" s="4" t="e">
        <f t="shared" si="18"/>
        <v>#REF!</v>
      </c>
      <c r="F1140" s="4" t="e" cm="1">
        <f t="array" ref="F1140">AVERAGE(B1140:B2647-$I$4/252)/_xlfn.STDEV.S(B1140:B2647-$I$4)</f>
        <v>#REF!</v>
      </c>
      <c r="G1140" s="4"/>
      <c r="H1140" s="4"/>
      <c r="I1140" s="4"/>
      <c r="J1140" s="4"/>
    </row>
    <row r="1141" spans="1:10" x14ac:dyDescent="0.2">
      <c r="A1141" t="e">
        <f>LEFT(#REF!,10)</f>
        <v>#REF!</v>
      </c>
      <c r="B1141" s="4" t="e">
        <f>(#REF!-#REF!)/#REF!</f>
        <v>#REF!</v>
      </c>
      <c r="C1141" s="4" t="e">
        <f>(#REF!-#REF!)/#REF!</f>
        <v>#REF!</v>
      </c>
      <c r="D1141" s="4" t="e">
        <f>LN(#REF!/#REF!)</f>
        <v>#REF!</v>
      </c>
      <c r="E1141" s="4" t="e">
        <f t="shared" si="18"/>
        <v>#REF!</v>
      </c>
      <c r="F1141" s="4" t="e" cm="1">
        <f t="array" ref="F1141">AVERAGE(B1141:B2648-$I$4/252)/_xlfn.STDEV.S(B1141:B2648-$I$4)</f>
        <v>#REF!</v>
      </c>
      <c r="G1141" s="4"/>
      <c r="H1141" s="4"/>
      <c r="I1141" s="4"/>
      <c r="J1141" s="4"/>
    </row>
    <row r="1142" spans="1:10" x14ac:dyDescent="0.2">
      <c r="A1142" t="e">
        <f>LEFT(#REF!,10)</f>
        <v>#REF!</v>
      </c>
      <c r="B1142" s="4" t="e">
        <f>(#REF!-#REF!)/#REF!</f>
        <v>#REF!</v>
      </c>
      <c r="C1142" s="4" t="e">
        <f>(#REF!-#REF!)/#REF!</f>
        <v>#REF!</v>
      </c>
      <c r="D1142" s="4" t="e">
        <f>LN(#REF!/#REF!)</f>
        <v>#REF!</v>
      </c>
      <c r="E1142" s="4" t="e">
        <f t="shared" si="18"/>
        <v>#REF!</v>
      </c>
      <c r="F1142" s="4" t="e" cm="1">
        <f t="array" ref="F1142">AVERAGE(B1142:B2649-$I$4/252)/_xlfn.STDEV.S(B1142:B2649-$I$4)</f>
        <v>#REF!</v>
      </c>
      <c r="G1142" s="4"/>
      <c r="H1142" s="4"/>
      <c r="I1142" s="4"/>
      <c r="J1142" s="4"/>
    </row>
    <row r="1143" spans="1:10" x14ac:dyDescent="0.2">
      <c r="A1143" t="e">
        <f>LEFT(#REF!,10)</f>
        <v>#REF!</v>
      </c>
      <c r="B1143" s="4" t="e">
        <f>(#REF!-#REF!)/#REF!</f>
        <v>#REF!</v>
      </c>
      <c r="C1143" s="4" t="e">
        <f>(#REF!-#REF!)/#REF!</f>
        <v>#REF!</v>
      </c>
      <c r="D1143" s="4" t="e">
        <f>LN(#REF!/#REF!)</f>
        <v>#REF!</v>
      </c>
      <c r="E1143" s="4" t="e">
        <f t="shared" si="18"/>
        <v>#REF!</v>
      </c>
      <c r="F1143" s="4" t="e" cm="1">
        <f t="array" ref="F1143">AVERAGE(B1143:B2650-$I$4/252)/_xlfn.STDEV.S(B1143:B2650-$I$4)</f>
        <v>#REF!</v>
      </c>
      <c r="G1143" s="4"/>
      <c r="H1143" s="4"/>
      <c r="I1143" s="4"/>
      <c r="J1143" s="4"/>
    </row>
    <row r="1144" spans="1:10" x14ac:dyDescent="0.2">
      <c r="A1144" t="e">
        <f>LEFT(#REF!,10)</f>
        <v>#REF!</v>
      </c>
      <c r="B1144" s="4" t="e">
        <f>(#REF!-#REF!)/#REF!</f>
        <v>#REF!</v>
      </c>
      <c r="C1144" s="4" t="e">
        <f>(#REF!-#REF!)/#REF!</f>
        <v>#REF!</v>
      </c>
      <c r="D1144" s="4" t="e">
        <f>LN(#REF!/#REF!)</f>
        <v>#REF!</v>
      </c>
      <c r="E1144" s="4" t="e">
        <f t="shared" si="18"/>
        <v>#REF!</v>
      </c>
      <c r="F1144" s="4" t="e" cm="1">
        <f t="array" ref="F1144">AVERAGE(B1144:B2651-$I$4/252)/_xlfn.STDEV.S(B1144:B2651-$I$4)</f>
        <v>#REF!</v>
      </c>
      <c r="G1144" s="4"/>
      <c r="H1144" s="4"/>
      <c r="I1144" s="4"/>
      <c r="J1144" s="4"/>
    </row>
    <row r="1145" spans="1:10" x14ac:dyDescent="0.2">
      <c r="A1145" t="e">
        <f>LEFT(#REF!,10)</f>
        <v>#REF!</v>
      </c>
      <c r="B1145" s="4" t="e">
        <f>(#REF!-#REF!)/#REF!</f>
        <v>#REF!</v>
      </c>
      <c r="C1145" s="4" t="e">
        <f>(#REF!-#REF!)/#REF!</f>
        <v>#REF!</v>
      </c>
      <c r="D1145" s="4" t="e">
        <f>LN(#REF!/#REF!)</f>
        <v>#REF!</v>
      </c>
      <c r="E1145" s="4" t="e">
        <f t="shared" si="18"/>
        <v>#REF!</v>
      </c>
      <c r="F1145" s="4" t="e" cm="1">
        <f t="array" ref="F1145">AVERAGE(B1145:B2652-$I$4/252)/_xlfn.STDEV.S(B1145:B2652-$I$4)</f>
        <v>#REF!</v>
      </c>
      <c r="G1145" s="4"/>
      <c r="H1145" s="4"/>
      <c r="I1145" s="4"/>
      <c r="J1145" s="4"/>
    </row>
    <row r="1146" spans="1:10" x14ac:dyDescent="0.2">
      <c r="A1146" t="e">
        <f>LEFT(#REF!,10)</f>
        <v>#REF!</v>
      </c>
      <c r="B1146" s="4" t="e">
        <f>(#REF!-#REF!)/#REF!</f>
        <v>#REF!</v>
      </c>
      <c r="C1146" s="4" t="e">
        <f>(#REF!-#REF!)/#REF!</f>
        <v>#REF!</v>
      </c>
      <c r="D1146" s="4" t="e">
        <f>LN(#REF!/#REF!)</f>
        <v>#REF!</v>
      </c>
      <c r="E1146" s="4" t="e">
        <f t="shared" si="18"/>
        <v>#REF!</v>
      </c>
      <c r="F1146" s="4" t="e" cm="1">
        <f t="array" ref="F1146">AVERAGE(B1146:B2653-$I$4/252)/_xlfn.STDEV.S(B1146:B2653-$I$4)</f>
        <v>#REF!</v>
      </c>
      <c r="G1146" s="4"/>
      <c r="H1146" s="4"/>
      <c r="I1146" s="4"/>
      <c r="J1146" s="4"/>
    </row>
    <row r="1147" spans="1:10" x14ac:dyDescent="0.2">
      <c r="A1147" t="e">
        <f>LEFT(#REF!,10)</f>
        <v>#REF!</v>
      </c>
      <c r="B1147" s="4" t="e">
        <f>(#REF!-#REF!)/#REF!</f>
        <v>#REF!</v>
      </c>
      <c r="C1147" s="4" t="e">
        <f>(#REF!-#REF!)/#REF!</f>
        <v>#REF!</v>
      </c>
      <c r="D1147" s="4" t="e">
        <f>LN(#REF!/#REF!)</f>
        <v>#REF!</v>
      </c>
      <c r="E1147" s="4" t="e">
        <f t="shared" si="18"/>
        <v>#REF!</v>
      </c>
      <c r="F1147" s="4" t="e" cm="1">
        <f t="array" ref="F1147">AVERAGE(B1147:B2654-$I$4/252)/_xlfn.STDEV.S(B1147:B2654-$I$4)</f>
        <v>#REF!</v>
      </c>
      <c r="G1147" s="4"/>
      <c r="H1147" s="4"/>
      <c r="I1147" s="4"/>
      <c r="J1147" s="4"/>
    </row>
    <row r="1148" spans="1:10" x14ac:dyDescent="0.2">
      <c r="A1148" t="e">
        <f>LEFT(#REF!,10)</f>
        <v>#REF!</v>
      </c>
      <c r="B1148" s="4" t="e">
        <f>(#REF!-#REF!)/#REF!</f>
        <v>#REF!</v>
      </c>
      <c r="C1148" s="4" t="e">
        <f>(#REF!-#REF!)/#REF!</f>
        <v>#REF!</v>
      </c>
      <c r="D1148" s="4" t="e">
        <f>LN(#REF!/#REF!)</f>
        <v>#REF!</v>
      </c>
      <c r="E1148" s="4" t="e">
        <f t="shared" si="18"/>
        <v>#REF!</v>
      </c>
      <c r="F1148" s="4" t="e" cm="1">
        <f t="array" ref="F1148">AVERAGE(B1148:B2655-$I$4/252)/_xlfn.STDEV.S(B1148:B2655-$I$4)</f>
        <v>#REF!</v>
      </c>
      <c r="G1148" s="4"/>
      <c r="H1148" s="4"/>
      <c r="I1148" s="4"/>
      <c r="J1148" s="4"/>
    </row>
    <row r="1149" spans="1:10" x14ac:dyDescent="0.2">
      <c r="A1149" t="e">
        <f>LEFT(#REF!,10)</f>
        <v>#REF!</v>
      </c>
      <c r="B1149" s="4" t="e">
        <f>(#REF!-#REF!)/#REF!</f>
        <v>#REF!</v>
      </c>
      <c r="C1149" s="4" t="e">
        <f>(#REF!-#REF!)/#REF!</f>
        <v>#REF!</v>
      </c>
      <c r="D1149" s="4" t="e">
        <f>LN(#REF!/#REF!)</f>
        <v>#REF!</v>
      </c>
      <c r="E1149" s="4" t="e">
        <f t="shared" si="18"/>
        <v>#REF!</v>
      </c>
      <c r="F1149" s="4" t="e" cm="1">
        <f t="array" ref="F1149">AVERAGE(B1149:B2656-$I$4/252)/_xlfn.STDEV.S(B1149:B2656-$I$4)</f>
        <v>#REF!</v>
      </c>
      <c r="G1149" s="4"/>
      <c r="H1149" s="4"/>
      <c r="I1149" s="4"/>
      <c r="J1149" s="4"/>
    </row>
    <row r="1150" spans="1:10" x14ac:dyDescent="0.2">
      <c r="A1150" t="e">
        <f>LEFT(#REF!,10)</f>
        <v>#REF!</v>
      </c>
      <c r="B1150" s="4" t="e">
        <f>(#REF!-#REF!)/#REF!</f>
        <v>#REF!</v>
      </c>
      <c r="C1150" s="4" t="e">
        <f>(#REF!-#REF!)/#REF!</f>
        <v>#REF!</v>
      </c>
      <c r="D1150" s="4" t="e">
        <f>LN(#REF!/#REF!)</f>
        <v>#REF!</v>
      </c>
      <c r="E1150" s="4" t="e">
        <f t="shared" si="18"/>
        <v>#REF!</v>
      </c>
      <c r="F1150" s="4" t="e" cm="1">
        <f t="array" ref="F1150">AVERAGE(B1150:B2657-$I$4/252)/_xlfn.STDEV.S(B1150:B2657-$I$4)</f>
        <v>#REF!</v>
      </c>
      <c r="G1150" s="4"/>
      <c r="H1150" s="4"/>
      <c r="I1150" s="4"/>
      <c r="J1150" s="4"/>
    </row>
    <row r="1151" spans="1:10" x14ac:dyDescent="0.2">
      <c r="A1151" t="e">
        <f>LEFT(#REF!,10)</f>
        <v>#REF!</v>
      </c>
      <c r="B1151" s="4" t="e">
        <f>(#REF!-#REF!)/#REF!</f>
        <v>#REF!</v>
      </c>
      <c r="C1151" s="4" t="e">
        <f>(#REF!-#REF!)/#REF!</f>
        <v>#REF!</v>
      </c>
      <c r="D1151" s="4" t="e">
        <f>LN(#REF!/#REF!)</f>
        <v>#REF!</v>
      </c>
      <c r="E1151" s="4" t="e">
        <f t="shared" si="18"/>
        <v>#REF!</v>
      </c>
      <c r="F1151" s="4" t="e" cm="1">
        <f t="array" ref="F1151">AVERAGE(B1151:B2658-$I$4/252)/_xlfn.STDEV.S(B1151:B2658-$I$4)</f>
        <v>#REF!</v>
      </c>
      <c r="G1151" s="4"/>
      <c r="H1151" s="4"/>
      <c r="I1151" s="4"/>
      <c r="J1151" s="4"/>
    </row>
    <row r="1152" spans="1:10" x14ac:dyDescent="0.2">
      <c r="A1152" t="e">
        <f>LEFT(#REF!,10)</f>
        <v>#REF!</v>
      </c>
      <c r="B1152" s="4" t="e">
        <f>(#REF!-#REF!)/#REF!</f>
        <v>#REF!</v>
      </c>
      <c r="C1152" s="4" t="e">
        <f>(#REF!-#REF!)/#REF!</f>
        <v>#REF!</v>
      </c>
      <c r="D1152" s="4" t="e">
        <f>LN(#REF!/#REF!)</f>
        <v>#REF!</v>
      </c>
      <c r="E1152" s="4" t="e">
        <f t="shared" si="18"/>
        <v>#REF!</v>
      </c>
      <c r="F1152" s="4" t="e" cm="1">
        <f t="array" ref="F1152">AVERAGE(B1152:B2659-$I$4/252)/_xlfn.STDEV.S(B1152:B2659-$I$4)</f>
        <v>#REF!</v>
      </c>
      <c r="G1152" s="4"/>
      <c r="H1152" s="4"/>
      <c r="I1152" s="4"/>
      <c r="J1152" s="4"/>
    </row>
    <row r="1153" spans="1:10" x14ac:dyDescent="0.2">
      <c r="A1153" t="e">
        <f>LEFT(#REF!,10)</f>
        <v>#REF!</v>
      </c>
      <c r="B1153" s="4" t="e">
        <f>(#REF!-#REF!)/#REF!</f>
        <v>#REF!</v>
      </c>
      <c r="C1153" s="4" t="e">
        <f>(#REF!-#REF!)/#REF!</f>
        <v>#REF!</v>
      </c>
      <c r="D1153" s="4" t="e">
        <f>LN(#REF!/#REF!)</f>
        <v>#REF!</v>
      </c>
      <c r="E1153" s="4" t="e">
        <f t="shared" si="18"/>
        <v>#REF!</v>
      </c>
      <c r="F1153" s="4" t="e" cm="1">
        <f t="array" ref="F1153">AVERAGE(B1153:B2660-$I$4/252)/_xlfn.STDEV.S(B1153:B2660-$I$4)</f>
        <v>#REF!</v>
      </c>
      <c r="G1153" s="4"/>
      <c r="H1153" s="4"/>
      <c r="I1153" s="4"/>
      <c r="J1153" s="4"/>
    </row>
    <row r="1154" spans="1:10" x14ac:dyDescent="0.2">
      <c r="A1154" t="e">
        <f>LEFT(#REF!,10)</f>
        <v>#REF!</v>
      </c>
      <c r="B1154" s="4" t="e">
        <f>(#REF!-#REF!)/#REF!</f>
        <v>#REF!</v>
      </c>
      <c r="C1154" s="4" t="e">
        <f>(#REF!-#REF!)/#REF!</f>
        <v>#REF!</v>
      </c>
      <c r="D1154" s="4" t="e">
        <f>LN(#REF!/#REF!)</f>
        <v>#REF!</v>
      </c>
      <c r="E1154" s="4" t="e">
        <f t="shared" si="18"/>
        <v>#REF!</v>
      </c>
      <c r="F1154" s="4" t="e" cm="1">
        <f t="array" ref="F1154">AVERAGE(B1154:B2661-$I$4/252)/_xlfn.STDEV.S(B1154:B2661-$I$4)</f>
        <v>#REF!</v>
      </c>
      <c r="G1154" s="4"/>
      <c r="H1154" s="4"/>
      <c r="I1154" s="4"/>
      <c r="J1154" s="4"/>
    </row>
    <row r="1155" spans="1:10" x14ac:dyDescent="0.2">
      <c r="A1155" t="e">
        <f>LEFT(#REF!,10)</f>
        <v>#REF!</v>
      </c>
      <c r="B1155" s="4" t="e">
        <f>(#REF!-#REF!)/#REF!</f>
        <v>#REF!</v>
      </c>
      <c r="C1155" s="4" t="e">
        <f>(#REF!-#REF!)/#REF!</f>
        <v>#REF!</v>
      </c>
      <c r="D1155" s="4" t="e">
        <f>LN(#REF!/#REF!)</f>
        <v>#REF!</v>
      </c>
      <c r="E1155" s="4" t="e">
        <f t="shared" si="18"/>
        <v>#REF!</v>
      </c>
      <c r="F1155" s="4" t="e" cm="1">
        <f t="array" ref="F1155">AVERAGE(B1155:B2662-$I$4/252)/_xlfn.STDEV.S(B1155:B2662-$I$4)</f>
        <v>#REF!</v>
      </c>
      <c r="G1155" s="4"/>
      <c r="H1155" s="4"/>
      <c r="I1155" s="4"/>
      <c r="J1155" s="4"/>
    </row>
    <row r="1156" spans="1:10" x14ac:dyDescent="0.2">
      <c r="A1156" t="e">
        <f>LEFT(#REF!,10)</f>
        <v>#REF!</v>
      </c>
      <c r="B1156" s="4" t="e">
        <f>(#REF!-#REF!)/#REF!</f>
        <v>#REF!</v>
      </c>
      <c r="C1156" s="4" t="e">
        <f>(#REF!-#REF!)/#REF!</f>
        <v>#REF!</v>
      </c>
      <c r="D1156" s="4" t="e">
        <f>LN(#REF!/#REF!)</f>
        <v>#REF!</v>
      </c>
      <c r="E1156" s="4" t="e">
        <f t="shared" si="18"/>
        <v>#REF!</v>
      </c>
      <c r="F1156" s="4" t="e" cm="1">
        <f t="array" ref="F1156">AVERAGE(B1156:B2663-$I$4/252)/_xlfn.STDEV.S(B1156:B2663-$I$4)</f>
        <v>#REF!</v>
      </c>
      <c r="G1156" s="4"/>
      <c r="H1156" s="4"/>
      <c r="I1156" s="4"/>
      <c r="J1156" s="4"/>
    </row>
    <row r="1157" spans="1:10" x14ac:dyDescent="0.2">
      <c r="A1157" t="e">
        <f>LEFT(#REF!,10)</f>
        <v>#REF!</v>
      </c>
      <c r="B1157" s="4" t="e">
        <f>(#REF!-#REF!)/#REF!</f>
        <v>#REF!</v>
      </c>
      <c r="C1157" s="4" t="e">
        <f>(#REF!-#REF!)/#REF!</f>
        <v>#REF!</v>
      </c>
      <c r="D1157" s="4" t="e">
        <f>LN(#REF!/#REF!)</f>
        <v>#REF!</v>
      </c>
      <c r="E1157" s="4" t="e">
        <f t="shared" ref="E1157:E1220" si="19">_xlfn.STDEV.S(D1157:D1176)</f>
        <v>#REF!</v>
      </c>
      <c r="F1157" s="4" t="e" cm="1">
        <f t="array" ref="F1157">AVERAGE(B1157:B2664-$I$4/252)/_xlfn.STDEV.S(B1157:B2664-$I$4)</f>
        <v>#REF!</v>
      </c>
      <c r="G1157" s="4"/>
      <c r="H1157" s="4"/>
      <c r="I1157" s="4"/>
      <c r="J1157" s="4"/>
    </row>
    <row r="1158" spans="1:10" x14ac:dyDescent="0.2">
      <c r="A1158" t="e">
        <f>LEFT(#REF!,10)</f>
        <v>#REF!</v>
      </c>
      <c r="B1158" s="4" t="e">
        <f>(#REF!-#REF!)/#REF!</f>
        <v>#REF!</v>
      </c>
      <c r="C1158" s="4" t="e">
        <f>(#REF!-#REF!)/#REF!</f>
        <v>#REF!</v>
      </c>
      <c r="D1158" s="4" t="e">
        <f>LN(#REF!/#REF!)</f>
        <v>#REF!</v>
      </c>
      <c r="E1158" s="4" t="e">
        <f t="shared" si="19"/>
        <v>#REF!</v>
      </c>
      <c r="F1158" s="4" t="e" cm="1">
        <f t="array" ref="F1158">AVERAGE(B1158:B2665-$I$4/252)/_xlfn.STDEV.S(B1158:B2665-$I$4)</f>
        <v>#REF!</v>
      </c>
      <c r="G1158" s="4"/>
      <c r="H1158" s="4"/>
      <c r="I1158" s="4"/>
      <c r="J1158" s="4"/>
    </row>
    <row r="1159" spans="1:10" x14ac:dyDescent="0.2">
      <c r="A1159" t="e">
        <f>LEFT(#REF!,10)</f>
        <v>#REF!</v>
      </c>
      <c r="B1159" s="4" t="e">
        <f>(#REF!-#REF!)/#REF!</f>
        <v>#REF!</v>
      </c>
      <c r="C1159" s="4" t="e">
        <f>(#REF!-#REF!)/#REF!</f>
        <v>#REF!</v>
      </c>
      <c r="D1159" s="4" t="e">
        <f>LN(#REF!/#REF!)</f>
        <v>#REF!</v>
      </c>
      <c r="E1159" s="4" t="e">
        <f t="shared" si="19"/>
        <v>#REF!</v>
      </c>
      <c r="F1159" s="4" t="e" cm="1">
        <f t="array" ref="F1159">AVERAGE(B1159:B2666-$I$4/252)/_xlfn.STDEV.S(B1159:B2666-$I$4)</f>
        <v>#REF!</v>
      </c>
      <c r="G1159" s="4"/>
      <c r="H1159" s="4"/>
      <c r="I1159" s="4"/>
      <c r="J1159" s="4"/>
    </row>
    <row r="1160" spans="1:10" x14ac:dyDescent="0.2">
      <c r="A1160" t="e">
        <f>LEFT(#REF!,10)</f>
        <v>#REF!</v>
      </c>
      <c r="B1160" s="4" t="e">
        <f>(#REF!-#REF!)/#REF!</f>
        <v>#REF!</v>
      </c>
      <c r="C1160" s="4" t="e">
        <f>(#REF!-#REF!)/#REF!</f>
        <v>#REF!</v>
      </c>
      <c r="D1160" s="4" t="e">
        <f>LN(#REF!/#REF!)</f>
        <v>#REF!</v>
      </c>
      <c r="E1160" s="4" t="e">
        <f t="shared" si="19"/>
        <v>#REF!</v>
      </c>
      <c r="F1160" s="4" t="e" cm="1">
        <f t="array" ref="F1160">AVERAGE(B1160:B2667-$I$4/252)/_xlfn.STDEV.S(B1160:B2667-$I$4)</f>
        <v>#REF!</v>
      </c>
      <c r="G1160" s="4"/>
      <c r="H1160" s="4"/>
      <c r="I1160" s="4"/>
      <c r="J1160" s="4"/>
    </row>
    <row r="1161" spans="1:10" x14ac:dyDescent="0.2">
      <c r="A1161" t="e">
        <f>LEFT(#REF!,10)</f>
        <v>#REF!</v>
      </c>
      <c r="B1161" s="4" t="e">
        <f>(#REF!-#REF!)/#REF!</f>
        <v>#REF!</v>
      </c>
      <c r="C1161" s="4" t="e">
        <f>(#REF!-#REF!)/#REF!</f>
        <v>#REF!</v>
      </c>
      <c r="D1161" s="4" t="e">
        <f>LN(#REF!/#REF!)</f>
        <v>#REF!</v>
      </c>
      <c r="E1161" s="4" t="e">
        <f t="shared" si="19"/>
        <v>#REF!</v>
      </c>
      <c r="F1161" s="4" t="e" cm="1">
        <f t="array" ref="F1161">AVERAGE(B1161:B2668-$I$4/252)/_xlfn.STDEV.S(B1161:B2668-$I$4)</f>
        <v>#REF!</v>
      </c>
      <c r="G1161" s="4"/>
      <c r="H1161" s="4"/>
      <c r="I1161" s="4"/>
      <c r="J1161" s="4"/>
    </row>
    <row r="1162" spans="1:10" x14ac:dyDescent="0.2">
      <c r="A1162" t="e">
        <f>LEFT(#REF!,10)</f>
        <v>#REF!</v>
      </c>
      <c r="B1162" s="4" t="e">
        <f>(#REF!-#REF!)/#REF!</f>
        <v>#REF!</v>
      </c>
      <c r="C1162" s="4" t="e">
        <f>(#REF!-#REF!)/#REF!</f>
        <v>#REF!</v>
      </c>
      <c r="D1162" s="4" t="e">
        <f>LN(#REF!/#REF!)</f>
        <v>#REF!</v>
      </c>
      <c r="E1162" s="4" t="e">
        <f t="shared" si="19"/>
        <v>#REF!</v>
      </c>
      <c r="F1162" s="4" t="e" cm="1">
        <f t="array" ref="F1162">AVERAGE(B1162:B2669-$I$4/252)/_xlfn.STDEV.S(B1162:B2669-$I$4)</f>
        <v>#REF!</v>
      </c>
      <c r="G1162" s="4"/>
      <c r="H1162" s="4"/>
      <c r="I1162" s="4"/>
      <c r="J1162" s="4"/>
    </row>
    <row r="1163" spans="1:10" x14ac:dyDescent="0.2">
      <c r="A1163" t="e">
        <f>LEFT(#REF!,10)</f>
        <v>#REF!</v>
      </c>
      <c r="B1163" s="4" t="e">
        <f>(#REF!-#REF!)/#REF!</f>
        <v>#REF!</v>
      </c>
      <c r="C1163" s="4" t="e">
        <f>(#REF!-#REF!)/#REF!</f>
        <v>#REF!</v>
      </c>
      <c r="D1163" s="4" t="e">
        <f>LN(#REF!/#REF!)</f>
        <v>#REF!</v>
      </c>
      <c r="E1163" s="4" t="e">
        <f t="shared" si="19"/>
        <v>#REF!</v>
      </c>
      <c r="F1163" s="4" t="e" cm="1">
        <f t="array" ref="F1163">AVERAGE(B1163:B2670-$I$4/252)/_xlfn.STDEV.S(B1163:B2670-$I$4)</f>
        <v>#REF!</v>
      </c>
      <c r="G1163" s="4"/>
      <c r="H1163" s="4"/>
      <c r="I1163" s="4"/>
      <c r="J1163" s="4"/>
    </row>
    <row r="1164" spans="1:10" x14ac:dyDescent="0.2">
      <c r="A1164" t="e">
        <f>LEFT(#REF!,10)</f>
        <v>#REF!</v>
      </c>
      <c r="B1164" s="4" t="e">
        <f>(#REF!-#REF!)/#REF!</f>
        <v>#REF!</v>
      </c>
      <c r="C1164" s="4" t="e">
        <f>(#REF!-#REF!)/#REF!</f>
        <v>#REF!</v>
      </c>
      <c r="D1164" s="4" t="e">
        <f>LN(#REF!/#REF!)</f>
        <v>#REF!</v>
      </c>
      <c r="E1164" s="4" t="e">
        <f t="shared" si="19"/>
        <v>#REF!</v>
      </c>
      <c r="F1164" s="4" t="e" cm="1">
        <f t="array" ref="F1164">AVERAGE(B1164:B2671-$I$4/252)/_xlfn.STDEV.S(B1164:B2671-$I$4)</f>
        <v>#REF!</v>
      </c>
      <c r="G1164" s="4"/>
      <c r="H1164" s="4"/>
      <c r="I1164" s="4"/>
      <c r="J1164" s="4"/>
    </row>
    <row r="1165" spans="1:10" x14ac:dyDescent="0.2">
      <c r="A1165" t="e">
        <f>LEFT(#REF!,10)</f>
        <v>#REF!</v>
      </c>
      <c r="B1165" s="4" t="e">
        <f>(#REF!-#REF!)/#REF!</f>
        <v>#REF!</v>
      </c>
      <c r="C1165" s="4" t="e">
        <f>(#REF!-#REF!)/#REF!</f>
        <v>#REF!</v>
      </c>
      <c r="D1165" s="4" t="e">
        <f>LN(#REF!/#REF!)</f>
        <v>#REF!</v>
      </c>
      <c r="E1165" s="4" t="e">
        <f t="shared" si="19"/>
        <v>#REF!</v>
      </c>
      <c r="F1165" s="4" t="e" cm="1">
        <f t="array" ref="F1165">AVERAGE(B1165:B2672-$I$4/252)/_xlfn.STDEV.S(B1165:B2672-$I$4)</f>
        <v>#REF!</v>
      </c>
      <c r="G1165" s="4"/>
      <c r="H1165" s="4"/>
      <c r="I1165" s="4"/>
      <c r="J1165" s="4"/>
    </row>
    <row r="1166" spans="1:10" x14ac:dyDescent="0.2">
      <c r="A1166" t="e">
        <f>LEFT(#REF!,10)</f>
        <v>#REF!</v>
      </c>
      <c r="B1166" s="4" t="e">
        <f>(#REF!-#REF!)/#REF!</f>
        <v>#REF!</v>
      </c>
      <c r="C1166" s="4" t="e">
        <f>(#REF!-#REF!)/#REF!</f>
        <v>#REF!</v>
      </c>
      <c r="D1166" s="4" t="e">
        <f>LN(#REF!/#REF!)</f>
        <v>#REF!</v>
      </c>
      <c r="E1166" s="4" t="e">
        <f t="shared" si="19"/>
        <v>#REF!</v>
      </c>
      <c r="F1166" s="4" t="e" cm="1">
        <f t="array" ref="F1166">AVERAGE(B1166:B2673-$I$4/252)/_xlfn.STDEV.S(B1166:B2673-$I$4)</f>
        <v>#REF!</v>
      </c>
      <c r="G1166" s="4"/>
      <c r="H1166" s="4"/>
      <c r="I1166" s="4"/>
      <c r="J1166" s="4"/>
    </row>
    <row r="1167" spans="1:10" x14ac:dyDescent="0.2">
      <c r="A1167" t="e">
        <f>LEFT(#REF!,10)</f>
        <v>#REF!</v>
      </c>
      <c r="B1167" s="4" t="e">
        <f>(#REF!-#REF!)/#REF!</f>
        <v>#REF!</v>
      </c>
      <c r="C1167" s="4" t="e">
        <f>(#REF!-#REF!)/#REF!</f>
        <v>#REF!</v>
      </c>
      <c r="D1167" s="4" t="e">
        <f>LN(#REF!/#REF!)</f>
        <v>#REF!</v>
      </c>
      <c r="E1167" s="4" t="e">
        <f t="shared" si="19"/>
        <v>#REF!</v>
      </c>
      <c r="F1167" s="4" t="e" cm="1">
        <f t="array" ref="F1167">AVERAGE(B1167:B2674-$I$4/252)/_xlfn.STDEV.S(B1167:B2674-$I$4)</f>
        <v>#REF!</v>
      </c>
      <c r="G1167" s="4"/>
      <c r="H1167" s="4"/>
      <c r="I1167" s="4"/>
      <c r="J1167" s="4"/>
    </row>
    <row r="1168" spans="1:10" x14ac:dyDescent="0.2">
      <c r="A1168" t="e">
        <f>LEFT(#REF!,10)</f>
        <v>#REF!</v>
      </c>
      <c r="B1168" s="4" t="e">
        <f>(#REF!-#REF!)/#REF!</f>
        <v>#REF!</v>
      </c>
      <c r="C1168" s="4" t="e">
        <f>(#REF!-#REF!)/#REF!</f>
        <v>#REF!</v>
      </c>
      <c r="D1168" s="4" t="e">
        <f>LN(#REF!/#REF!)</f>
        <v>#REF!</v>
      </c>
      <c r="E1168" s="4" t="e">
        <f t="shared" si="19"/>
        <v>#REF!</v>
      </c>
      <c r="F1168" s="4" t="e" cm="1">
        <f t="array" ref="F1168">AVERAGE(B1168:B2675-$I$4/252)/_xlfn.STDEV.S(B1168:B2675-$I$4)</f>
        <v>#REF!</v>
      </c>
      <c r="G1168" s="4"/>
      <c r="H1168" s="4"/>
      <c r="I1168" s="4"/>
      <c r="J1168" s="4"/>
    </row>
    <row r="1169" spans="1:10" x14ac:dyDescent="0.2">
      <c r="A1169" t="e">
        <f>LEFT(#REF!,10)</f>
        <v>#REF!</v>
      </c>
      <c r="B1169" s="4" t="e">
        <f>(#REF!-#REF!)/#REF!</f>
        <v>#REF!</v>
      </c>
      <c r="C1169" s="4" t="e">
        <f>(#REF!-#REF!)/#REF!</f>
        <v>#REF!</v>
      </c>
      <c r="D1169" s="4" t="e">
        <f>LN(#REF!/#REF!)</f>
        <v>#REF!</v>
      </c>
      <c r="E1169" s="4" t="e">
        <f t="shared" si="19"/>
        <v>#REF!</v>
      </c>
      <c r="F1169" s="4" t="e" cm="1">
        <f t="array" ref="F1169">AVERAGE(B1169:B2676-$I$4/252)/_xlfn.STDEV.S(B1169:B2676-$I$4)</f>
        <v>#REF!</v>
      </c>
      <c r="G1169" s="4"/>
      <c r="H1169" s="4"/>
      <c r="I1169" s="4"/>
      <c r="J1169" s="4"/>
    </row>
    <row r="1170" spans="1:10" x14ac:dyDescent="0.2">
      <c r="A1170" t="e">
        <f>LEFT(#REF!,10)</f>
        <v>#REF!</v>
      </c>
      <c r="B1170" s="4" t="e">
        <f>(#REF!-#REF!)/#REF!</f>
        <v>#REF!</v>
      </c>
      <c r="C1170" s="4" t="e">
        <f>(#REF!-#REF!)/#REF!</f>
        <v>#REF!</v>
      </c>
      <c r="D1170" s="4" t="e">
        <f>LN(#REF!/#REF!)</f>
        <v>#REF!</v>
      </c>
      <c r="E1170" s="4" t="e">
        <f t="shared" si="19"/>
        <v>#REF!</v>
      </c>
      <c r="F1170" s="4" t="e" cm="1">
        <f t="array" ref="F1170">AVERAGE(B1170:B2677-$I$4/252)/_xlfn.STDEV.S(B1170:B2677-$I$4)</f>
        <v>#REF!</v>
      </c>
      <c r="G1170" s="4"/>
      <c r="H1170" s="4"/>
      <c r="I1170" s="4"/>
      <c r="J1170" s="4"/>
    </row>
    <row r="1171" spans="1:10" x14ac:dyDescent="0.2">
      <c r="A1171" t="e">
        <f>LEFT(#REF!,10)</f>
        <v>#REF!</v>
      </c>
      <c r="B1171" s="4" t="e">
        <f>(#REF!-#REF!)/#REF!</f>
        <v>#REF!</v>
      </c>
      <c r="C1171" s="4" t="e">
        <f>(#REF!-#REF!)/#REF!</f>
        <v>#REF!</v>
      </c>
      <c r="D1171" s="4" t="e">
        <f>LN(#REF!/#REF!)</f>
        <v>#REF!</v>
      </c>
      <c r="E1171" s="4" t="e">
        <f t="shared" si="19"/>
        <v>#REF!</v>
      </c>
      <c r="F1171" s="4" t="e" cm="1">
        <f t="array" ref="F1171">AVERAGE(B1171:B2678-$I$4/252)/_xlfn.STDEV.S(B1171:B2678-$I$4)</f>
        <v>#REF!</v>
      </c>
      <c r="G1171" s="4"/>
      <c r="H1171" s="4"/>
      <c r="I1171" s="4"/>
      <c r="J1171" s="4"/>
    </row>
    <row r="1172" spans="1:10" x14ac:dyDescent="0.2">
      <c r="A1172" t="e">
        <f>LEFT(#REF!,10)</f>
        <v>#REF!</v>
      </c>
      <c r="B1172" s="4" t="e">
        <f>(#REF!-#REF!)/#REF!</f>
        <v>#REF!</v>
      </c>
      <c r="C1172" s="4" t="e">
        <f>(#REF!-#REF!)/#REF!</f>
        <v>#REF!</v>
      </c>
      <c r="D1172" s="4" t="e">
        <f>LN(#REF!/#REF!)</f>
        <v>#REF!</v>
      </c>
      <c r="E1172" s="4" t="e">
        <f t="shared" si="19"/>
        <v>#REF!</v>
      </c>
      <c r="F1172" s="4" t="e" cm="1">
        <f t="array" ref="F1172">AVERAGE(B1172:B2679-$I$4/252)/_xlfn.STDEV.S(B1172:B2679-$I$4)</f>
        <v>#REF!</v>
      </c>
      <c r="G1172" s="4"/>
      <c r="H1172" s="4"/>
      <c r="I1172" s="4"/>
      <c r="J1172" s="4"/>
    </row>
    <row r="1173" spans="1:10" x14ac:dyDescent="0.2">
      <c r="A1173" t="e">
        <f>LEFT(#REF!,10)</f>
        <v>#REF!</v>
      </c>
      <c r="B1173" s="4" t="e">
        <f>(#REF!-#REF!)/#REF!</f>
        <v>#REF!</v>
      </c>
      <c r="C1173" s="4" t="e">
        <f>(#REF!-#REF!)/#REF!</f>
        <v>#REF!</v>
      </c>
      <c r="D1173" s="4" t="e">
        <f>LN(#REF!/#REF!)</f>
        <v>#REF!</v>
      </c>
      <c r="E1173" s="4" t="e">
        <f t="shared" si="19"/>
        <v>#REF!</v>
      </c>
      <c r="F1173" s="4" t="e" cm="1">
        <f t="array" ref="F1173">AVERAGE(B1173:B2680-$I$4/252)/_xlfn.STDEV.S(B1173:B2680-$I$4)</f>
        <v>#REF!</v>
      </c>
      <c r="G1173" s="4"/>
      <c r="H1173" s="4"/>
      <c r="I1173" s="4"/>
      <c r="J1173" s="4"/>
    </row>
    <row r="1174" spans="1:10" x14ac:dyDescent="0.2">
      <c r="A1174" t="e">
        <f>LEFT(#REF!,10)</f>
        <v>#REF!</v>
      </c>
      <c r="B1174" s="4" t="e">
        <f>(#REF!-#REF!)/#REF!</f>
        <v>#REF!</v>
      </c>
      <c r="C1174" s="4" t="e">
        <f>(#REF!-#REF!)/#REF!</f>
        <v>#REF!</v>
      </c>
      <c r="D1174" s="4" t="e">
        <f>LN(#REF!/#REF!)</f>
        <v>#REF!</v>
      </c>
      <c r="E1174" s="4" t="e">
        <f t="shared" si="19"/>
        <v>#REF!</v>
      </c>
      <c r="F1174" s="4" t="e" cm="1">
        <f t="array" ref="F1174">AVERAGE(B1174:B2681-$I$4/252)/_xlfn.STDEV.S(B1174:B2681-$I$4)</f>
        <v>#REF!</v>
      </c>
      <c r="G1174" s="4"/>
      <c r="H1174" s="4"/>
      <c r="I1174" s="4"/>
      <c r="J1174" s="4"/>
    </row>
    <row r="1175" spans="1:10" x14ac:dyDescent="0.2">
      <c r="A1175" t="e">
        <f>LEFT(#REF!,10)</f>
        <v>#REF!</v>
      </c>
      <c r="B1175" s="4" t="e">
        <f>(#REF!-#REF!)/#REF!</f>
        <v>#REF!</v>
      </c>
      <c r="C1175" s="4" t="e">
        <f>(#REF!-#REF!)/#REF!</f>
        <v>#REF!</v>
      </c>
      <c r="D1175" s="4" t="e">
        <f>LN(#REF!/#REF!)</f>
        <v>#REF!</v>
      </c>
      <c r="E1175" s="4" t="e">
        <f t="shared" si="19"/>
        <v>#REF!</v>
      </c>
      <c r="F1175" s="4" t="e" cm="1">
        <f t="array" ref="F1175">AVERAGE(B1175:B2682-$I$4/252)/_xlfn.STDEV.S(B1175:B2682-$I$4)</f>
        <v>#REF!</v>
      </c>
      <c r="G1175" s="4"/>
      <c r="H1175" s="4"/>
      <c r="I1175" s="4"/>
      <c r="J1175" s="4"/>
    </row>
    <row r="1176" spans="1:10" x14ac:dyDescent="0.2">
      <c r="A1176" t="e">
        <f>LEFT(#REF!,10)</f>
        <v>#REF!</v>
      </c>
      <c r="B1176" s="4" t="e">
        <f>(#REF!-#REF!)/#REF!</f>
        <v>#REF!</v>
      </c>
      <c r="C1176" s="4" t="e">
        <f>(#REF!-#REF!)/#REF!</f>
        <v>#REF!</v>
      </c>
      <c r="D1176" s="4" t="e">
        <f>LN(#REF!/#REF!)</f>
        <v>#REF!</v>
      </c>
      <c r="E1176" s="4" t="e">
        <f t="shared" si="19"/>
        <v>#REF!</v>
      </c>
      <c r="F1176" s="4" t="e" cm="1">
        <f t="array" ref="F1176">AVERAGE(B1176:B2683-$I$4/252)/_xlfn.STDEV.S(B1176:B2683-$I$4)</f>
        <v>#REF!</v>
      </c>
      <c r="G1176" s="4"/>
      <c r="H1176" s="4"/>
      <c r="I1176" s="4"/>
      <c r="J1176" s="4"/>
    </row>
    <row r="1177" spans="1:10" x14ac:dyDescent="0.2">
      <c r="A1177" t="e">
        <f>LEFT(#REF!,10)</f>
        <v>#REF!</v>
      </c>
      <c r="B1177" s="4" t="e">
        <f>(#REF!-#REF!)/#REF!</f>
        <v>#REF!</v>
      </c>
      <c r="C1177" s="4" t="e">
        <f>(#REF!-#REF!)/#REF!</f>
        <v>#REF!</v>
      </c>
      <c r="D1177" s="4" t="e">
        <f>LN(#REF!/#REF!)</f>
        <v>#REF!</v>
      </c>
      <c r="E1177" s="4" t="e">
        <f t="shared" si="19"/>
        <v>#REF!</v>
      </c>
      <c r="F1177" s="4" t="e" cm="1">
        <f t="array" ref="F1177">AVERAGE(B1177:B2684-$I$4/252)/_xlfn.STDEV.S(B1177:B2684-$I$4)</f>
        <v>#REF!</v>
      </c>
      <c r="G1177" s="4"/>
      <c r="H1177" s="4"/>
      <c r="I1177" s="4"/>
      <c r="J1177" s="4"/>
    </row>
    <row r="1178" spans="1:10" x14ac:dyDescent="0.2">
      <c r="A1178" t="e">
        <f>LEFT(#REF!,10)</f>
        <v>#REF!</v>
      </c>
      <c r="B1178" s="4" t="e">
        <f>(#REF!-#REF!)/#REF!</f>
        <v>#REF!</v>
      </c>
      <c r="C1178" s="4" t="e">
        <f>(#REF!-#REF!)/#REF!</f>
        <v>#REF!</v>
      </c>
      <c r="D1178" s="4" t="e">
        <f>LN(#REF!/#REF!)</f>
        <v>#REF!</v>
      </c>
      <c r="E1178" s="4" t="e">
        <f t="shared" si="19"/>
        <v>#REF!</v>
      </c>
      <c r="F1178" s="4" t="e" cm="1">
        <f t="array" ref="F1178">AVERAGE(B1178:B2685-$I$4/252)/_xlfn.STDEV.S(B1178:B2685-$I$4)</f>
        <v>#REF!</v>
      </c>
      <c r="G1178" s="4"/>
      <c r="H1178" s="4"/>
      <c r="I1178" s="4"/>
      <c r="J1178" s="4"/>
    </row>
    <row r="1179" spans="1:10" x14ac:dyDescent="0.2">
      <c r="A1179" t="e">
        <f>LEFT(#REF!,10)</f>
        <v>#REF!</v>
      </c>
      <c r="B1179" s="4" t="e">
        <f>(#REF!-#REF!)/#REF!</f>
        <v>#REF!</v>
      </c>
      <c r="C1179" s="4" t="e">
        <f>(#REF!-#REF!)/#REF!</f>
        <v>#REF!</v>
      </c>
      <c r="D1179" s="4" t="e">
        <f>LN(#REF!/#REF!)</f>
        <v>#REF!</v>
      </c>
      <c r="E1179" s="4" t="e">
        <f t="shared" si="19"/>
        <v>#REF!</v>
      </c>
      <c r="F1179" s="4" t="e" cm="1">
        <f t="array" ref="F1179">AVERAGE(B1179:B2686-$I$4/252)/_xlfn.STDEV.S(B1179:B2686-$I$4)</f>
        <v>#REF!</v>
      </c>
      <c r="G1179" s="4"/>
      <c r="H1179" s="4"/>
      <c r="I1179" s="4"/>
      <c r="J1179" s="4"/>
    </row>
    <row r="1180" spans="1:10" x14ac:dyDescent="0.2">
      <c r="A1180" t="e">
        <f>LEFT(#REF!,10)</f>
        <v>#REF!</v>
      </c>
      <c r="B1180" s="4" t="e">
        <f>(#REF!-#REF!)/#REF!</f>
        <v>#REF!</v>
      </c>
      <c r="C1180" s="4" t="e">
        <f>(#REF!-#REF!)/#REF!</f>
        <v>#REF!</v>
      </c>
      <c r="D1180" s="4" t="e">
        <f>LN(#REF!/#REF!)</f>
        <v>#REF!</v>
      </c>
      <c r="E1180" s="4" t="e">
        <f t="shared" si="19"/>
        <v>#REF!</v>
      </c>
      <c r="F1180" s="4" t="e" cm="1">
        <f t="array" ref="F1180">AVERAGE(B1180:B2687-$I$4/252)/_xlfn.STDEV.S(B1180:B2687-$I$4)</f>
        <v>#REF!</v>
      </c>
      <c r="G1180" s="4"/>
      <c r="H1180" s="4"/>
      <c r="I1180" s="4"/>
      <c r="J1180" s="4"/>
    </row>
    <row r="1181" spans="1:10" x14ac:dyDescent="0.2">
      <c r="A1181" t="e">
        <f>LEFT(#REF!,10)</f>
        <v>#REF!</v>
      </c>
      <c r="B1181" s="4" t="e">
        <f>(#REF!-#REF!)/#REF!</f>
        <v>#REF!</v>
      </c>
      <c r="C1181" s="4" t="e">
        <f>(#REF!-#REF!)/#REF!</f>
        <v>#REF!</v>
      </c>
      <c r="D1181" s="4" t="e">
        <f>LN(#REF!/#REF!)</f>
        <v>#REF!</v>
      </c>
      <c r="E1181" s="4" t="e">
        <f t="shared" si="19"/>
        <v>#REF!</v>
      </c>
      <c r="F1181" s="4" t="e" cm="1">
        <f t="array" ref="F1181">AVERAGE(B1181:B2688-$I$4/252)/_xlfn.STDEV.S(B1181:B2688-$I$4)</f>
        <v>#REF!</v>
      </c>
      <c r="G1181" s="4"/>
      <c r="H1181" s="4"/>
      <c r="I1181" s="4"/>
      <c r="J1181" s="4"/>
    </row>
    <row r="1182" spans="1:10" x14ac:dyDescent="0.2">
      <c r="A1182" t="e">
        <f>LEFT(#REF!,10)</f>
        <v>#REF!</v>
      </c>
      <c r="B1182" s="4" t="e">
        <f>(#REF!-#REF!)/#REF!</f>
        <v>#REF!</v>
      </c>
      <c r="C1182" s="4" t="e">
        <f>(#REF!-#REF!)/#REF!</f>
        <v>#REF!</v>
      </c>
      <c r="D1182" s="4" t="e">
        <f>LN(#REF!/#REF!)</f>
        <v>#REF!</v>
      </c>
      <c r="E1182" s="4" t="e">
        <f t="shared" si="19"/>
        <v>#REF!</v>
      </c>
      <c r="F1182" s="4" t="e" cm="1">
        <f t="array" ref="F1182">AVERAGE(B1182:B2689-$I$4/252)/_xlfn.STDEV.S(B1182:B2689-$I$4)</f>
        <v>#REF!</v>
      </c>
      <c r="G1182" s="4"/>
      <c r="H1182" s="4"/>
      <c r="I1182" s="4"/>
      <c r="J1182" s="4"/>
    </row>
    <row r="1183" spans="1:10" x14ac:dyDescent="0.2">
      <c r="A1183" t="e">
        <f>LEFT(#REF!,10)</f>
        <v>#REF!</v>
      </c>
      <c r="B1183" s="4" t="e">
        <f>(#REF!-#REF!)/#REF!</f>
        <v>#REF!</v>
      </c>
      <c r="C1183" s="4" t="e">
        <f>(#REF!-#REF!)/#REF!</f>
        <v>#REF!</v>
      </c>
      <c r="D1183" s="4" t="e">
        <f>LN(#REF!/#REF!)</f>
        <v>#REF!</v>
      </c>
      <c r="E1183" s="4" t="e">
        <f t="shared" si="19"/>
        <v>#REF!</v>
      </c>
      <c r="F1183" s="4" t="e" cm="1">
        <f t="array" ref="F1183">AVERAGE(B1183:B2690-$I$4/252)/_xlfn.STDEV.S(B1183:B2690-$I$4)</f>
        <v>#REF!</v>
      </c>
      <c r="G1183" s="4"/>
      <c r="H1183" s="4"/>
      <c r="I1183" s="4"/>
      <c r="J1183" s="4"/>
    </row>
    <row r="1184" spans="1:10" x14ac:dyDescent="0.2">
      <c r="A1184" t="e">
        <f>LEFT(#REF!,10)</f>
        <v>#REF!</v>
      </c>
      <c r="B1184" s="4" t="e">
        <f>(#REF!-#REF!)/#REF!</f>
        <v>#REF!</v>
      </c>
      <c r="C1184" s="4" t="e">
        <f>(#REF!-#REF!)/#REF!</f>
        <v>#REF!</v>
      </c>
      <c r="D1184" s="4" t="e">
        <f>LN(#REF!/#REF!)</f>
        <v>#REF!</v>
      </c>
      <c r="E1184" s="4" t="e">
        <f t="shared" si="19"/>
        <v>#REF!</v>
      </c>
      <c r="F1184" s="4" t="e" cm="1">
        <f t="array" ref="F1184">AVERAGE(B1184:B2691-$I$4/252)/_xlfn.STDEV.S(B1184:B2691-$I$4)</f>
        <v>#REF!</v>
      </c>
      <c r="G1184" s="4"/>
      <c r="H1184" s="4"/>
      <c r="I1184" s="4"/>
      <c r="J1184" s="4"/>
    </row>
    <row r="1185" spans="1:10" x14ac:dyDescent="0.2">
      <c r="A1185" t="e">
        <f>LEFT(#REF!,10)</f>
        <v>#REF!</v>
      </c>
      <c r="B1185" s="4" t="e">
        <f>(#REF!-#REF!)/#REF!</f>
        <v>#REF!</v>
      </c>
      <c r="C1185" s="4" t="e">
        <f>(#REF!-#REF!)/#REF!</f>
        <v>#REF!</v>
      </c>
      <c r="D1185" s="4" t="e">
        <f>LN(#REF!/#REF!)</f>
        <v>#REF!</v>
      </c>
      <c r="E1185" s="4" t="e">
        <f t="shared" si="19"/>
        <v>#REF!</v>
      </c>
      <c r="F1185" s="4" t="e" cm="1">
        <f t="array" ref="F1185">AVERAGE(B1185:B2692-$I$4/252)/_xlfn.STDEV.S(B1185:B2692-$I$4)</f>
        <v>#REF!</v>
      </c>
      <c r="G1185" s="4"/>
      <c r="H1185" s="4"/>
      <c r="I1185" s="4"/>
      <c r="J1185" s="4"/>
    </row>
    <row r="1186" spans="1:10" x14ac:dyDescent="0.2">
      <c r="A1186" t="e">
        <f>LEFT(#REF!,10)</f>
        <v>#REF!</v>
      </c>
      <c r="B1186" s="4" t="e">
        <f>(#REF!-#REF!)/#REF!</f>
        <v>#REF!</v>
      </c>
      <c r="C1186" s="4" t="e">
        <f>(#REF!-#REF!)/#REF!</f>
        <v>#REF!</v>
      </c>
      <c r="D1186" s="4" t="e">
        <f>LN(#REF!/#REF!)</f>
        <v>#REF!</v>
      </c>
      <c r="E1186" s="4" t="e">
        <f t="shared" si="19"/>
        <v>#REF!</v>
      </c>
      <c r="F1186" s="4" t="e" cm="1">
        <f t="array" ref="F1186">AVERAGE(B1186:B2693-$I$4/252)/_xlfn.STDEV.S(B1186:B2693-$I$4)</f>
        <v>#REF!</v>
      </c>
      <c r="G1186" s="4"/>
      <c r="H1186" s="4"/>
      <c r="I1186" s="4"/>
      <c r="J1186" s="4"/>
    </row>
    <row r="1187" spans="1:10" x14ac:dyDescent="0.2">
      <c r="A1187" t="e">
        <f>LEFT(#REF!,10)</f>
        <v>#REF!</v>
      </c>
      <c r="B1187" s="4" t="e">
        <f>(#REF!-#REF!)/#REF!</f>
        <v>#REF!</v>
      </c>
      <c r="C1187" s="4" t="e">
        <f>(#REF!-#REF!)/#REF!</f>
        <v>#REF!</v>
      </c>
      <c r="D1187" s="4" t="e">
        <f>LN(#REF!/#REF!)</f>
        <v>#REF!</v>
      </c>
      <c r="E1187" s="4" t="e">
        <f t="shared" si="19"/>
        <v>#REF!</v>
      </c>
      <c r="F1187" s="4" t="e" cm="1">
        <f t="array" ref="F1187">AVERAGE(B1187:B2694-$I$4/252)/_xlfn.STDEV.S(B1187:B2694-$I$4)</f>
        <v>#REF!</v>
      </c>
      <c r="G1187" s="4"/>
      <c r="H1187" s="4"/>
      <c r="I1187" s="4"/>
      <c r="J1187" s="4"/>
    </row>
    <row r="1188" spans="1:10" x14ac:dyDescent="0.2">
      <c r="A1188" t="e">
        <f>LEFT(#REF!,10)</f>
        <v>#REF!</v>
      </c>
      <c r="B1188" s="4" t="e">
        <f>(#REF!-#REF!)/#REF!</f>
        <v>#REF!</v>
      </c>
      <c r="C1188" s="4" t="e">
        <f>(#REF!-#REF!)/#REF!</f>
        <v>#REF!</v>
      </c>
      <c r="D1188" s="4" t="e">
        <f>LN(#REF!/#REF!)</f>
        <v>#REF!</v>
      </c>
      <c r="E1188" s="4" t="e">
        <f t="shared" si="19"/>
        <v>#REF!</v>
      </c>
      <c r="F1188" s="4" t="e" cm="1">
        <f t="array" ref="F1188">AVERAGE(B1188:B2695-$I$4/252)/_xlfn.STDEV.S(B1188:B2695-$I$4)</f>
        <v>#REF!</v>
      </c>
      <c r="G1188" s="4"/>
      <c r="H1188" s="4"/>
      <c r="I1188" s="4"/>
      <c r="J1188" s="4"/>
    </row>
    <row r="1189" spans="1:10" x14ac:dyDescent="0.2">
      <c r="A1189" t="e">
        <f>LEFT(#REF!,10)</f>
        <v>#REF!</v>
      </c>
      <c r="B1189" s="4" t="e">
        <f>(#REF!-#REF!)/#REF!</f>
        <v>#REF!</v>
      </c>
      <c r="C1189" s="4" t="e">
        <f>(#REF!-#REF!)/#REF!</f>
        <v>#REF!</v>
      </c>
      <c r="D1189" s="4" t="e">
        <f>LN(#REF!/#REF!)</f>
        <v>#REF!</v>
      </c>
      <c r="E1189" s="4" t="e">
        <f t="shared" si="19"/>
        <v>#REF!</v>
      </c>
      <c r="F1189" s="4" t="e" cm="1">
        <f t="array" ref="F1189">AVERAGE(B1189:B2696-$I$4/252)/_xlfn.STDEV.S(B1189:B2696-$I$4)</f>
        <v>#REF!</v>
      </c>
      <c r="G1189" s="4"/>
      <c r="H1189" s="4"/>
      <c r="I1189" s="4"/>
      <c r="J1189" s="4"/>
    </row>
    <row r="1190" spans="1:10" x14ac:dyDescent="0.2">
      <c r="A1190" t="e">
        <f>LEFT(#REF!,10)</f>
        <v>#REF!</v>
      </c>
      <c r="B1190" s="4" t="e">
        <f>(#REF!-#REF!)/#REF!</f>
        <v>#REF!</v>
      </c>
      <c r="C1190" s="4" t="e">
        <f>(#REF!-#REF!)/#REF!</f>
        <v>#REF!</v>
      </c>
      <c r="D1190" s="4" t="e">
        <f>LN(#REF!/#REF!)</f>
        <v>#REF!</v>
      </c>
      <c r="E1190" s="4" t="e">
        <f t="shared" si="19"/>
        <v>#REF!</v>
      </c>
      <c r="F1190" s="4" t="e" cm="1">
        <f t="array" ref="F1190">AVERAGE(B1190:B2697-$I$4/252)/_xlfn.STDEV.S(B1190:B2697-$I$4)</f>
        <v>#REF!</v>
      </c>
      <c r="G1190" s="4"/>
      <c r="H1190" s="4"/>
      <c r="I1190" s="4"/>
      <c r="J1190" s="4"/>
    </row>
    <row r="1191" spans="1:10" x14ac:dyDescent="0.2">
      <c r="A1191" t="e">
        <f>LEFT(#REF!,10)</f>
        <v>#REF!</v>
      </c>
      <c r="B1191" s="4" t="e">
        <f>(#REF!-#REF!)/#REF!</f>
        <v>#REF!</v>
      </c>
      <c r="C1191" s="4" t="e">
        <f>(#REF!-#REF!)/#REF!</f>
        <v>#REF!</v>
      </c>
      <c r="D1191" s="4" t="e">
        <f>LN(#REF!/#REF!)</f>
        <v>#REF!</v>
      </c>
      <c r="E1191" s="4" t="e">
        <f t="shared" si="19"/>
        <v>#REF!</v>
      </c>
      <c r="F1191" s="4" t="e" cm="1">
        <f t="array" ref="F1191">AVERAGE(B1191:B2698-$I$4/252)/_xlfn.STDEV.S(B1191:B2698-$I$4)</f>
        <v>#REF!</v>
      </c>
      <c r="G1191" s="4"/>
      <c r="H1191" s="4"/>
      <c r="I1191" s="4"/>
      <c r="J1191" s="4"/>
    </row>
    <row r="1192" spans="1:10" x14ac:dyDescent="0.2">
      <c r="A1192" t="e">
        <f>LEFT(#REF!,10)</f>
        <v>#REF!</v>
      </c>
      <c r="B1192" s="4" t="e">
        <f>(#REF!-#REF!)/#REF!</f>
        <v>#REF!</v>
      </c>
      <c r="C1192" s="4" t="e">
        <f>(#REF!-#REF!)/#REF!</f>
        <v>#REF!</v>
      </c>
      <c r="D1192" s="4" t="e">
        <f>LN(#REF!/#REF!)</f>
        <v>#REF!</v>
      </c>
      <c r="E1192" s="4" t="e">
        <f t="shared" si="19"/>
        <v>#REF!</v>
      </c>
      <c r="F1192" s="4" t="e" cm="1">
        <f t="array" ref="F1192">AVERAGE(B1192:B2699-$I$4/252)/_xlfn.STDEV.S(B1192:B2699-$I$4)</f>
        <v>#REF!</v>
      </c>
      <c r="G1192" s="4"/>
      <c r="H1192" s="4"/>
      <c r="I1192" s="4"/>
      <c r="J1192" s="4"/>
    </row>
    <row r="1193" spans="1:10" x14ac:dyDescent="0.2">
      <c r="A1193" t="e">
        <f>LEFT(#REF!,10)</f>
        <v>#REF!</v>
      </c>
      <c r="B1193" s="4" t="e">
        <f>(#REF!-#REF!)/#REF!</f>
        <v>#REF!</v>
      </c>
      <c r="C1193" s="4" t="e">
        <f>(#REF!-#REF!)/#REF!</f>
        <v>#REF!</v>
      </c>
      <c r="D1193" s="4" t="e">
        <f>LN(#REF!/#REF!)</f>
        <v>#REF!</v>
      </c>
      <c r="E1193" s="4" t="e">
        <f t="shared" si="19"/>
        <v>#REF!</v>
      </c>
      <c r="F1193" s="4" t="e" cm="1">
        <f t="array" ref="F1193">AVERAGE(B1193:B2700-$I$4/252)/_xlfn.STDEV.S(B1193:B2700-$I$4)</f>
        <v>#REF!</v>
      </c>
      <c r="G1193" s="4"/>
      <c r="H1193" s="4"/>
      <c r="I1193" s="4"/>
      <c r="J1193" s="4"/>
    </row>
    <row r="1194" spans="1:10" x14ac:dyDescent="0.2">
      <c r="A1194" t="e">
        <f>LEFT(#REF!,10)</f>
        <v>#REF!</v>
      </c>
      <c r="B1194" s="4" t="e">
        <f>(#REF!-#REF!)/#REF!</f>
        <v>#REF!</v>
      </c>
      <c r="C1194" s="4" t="e">
        <f>(#REF!-#REF!)/#REF!</f>
        <v>#REF!</v>
      </c>
      <c r="D1194" s="4" t="e">
        <f>LN(#REF!/#REF!)</f>
        <v>#REF!</v>
      </c>
      <c r="E1194" s="4" t="e">
        <f t="shared" si="19"/>
        <v>#REF!</v>
      </c>
      <c r="F1194" s="4" t="e" cm="1">
        <f t="array" ref="F1194">AVERAGE(B1194:B2701-$I$4/252)/_xlfn.STDEV.S(B1194:B2701-$I$4)</f>
        <v>#REF!</v>
      </c>
      <c r="G1194" s="4"/>
      <c r="H1194" s="4"/>
      <c r="I1194" s="4"/>
      <c r="J1194" s="4"/>
    </row>
    <row r="1195" spans="1:10" x14ac:dyDescent="0.2">
      <c r="A1195" t="e">
        <f>LEFT(#REF!,10)</f>
        <v>#REF!</v>
      </c>
      <c r="B1195" s="4" t="e">
        <f>(#REF!-#REF!)/#REF!</f>
        <v>#REF!</v>
      </c>
      <c r="C1195" s="4" t="e">
        <f>(#REF!-#REF!)/#REF!</f>
        <v>#REF!</v>
      </c>
      <c r="D1195" s="4" t="e">
        <f>LN(#REF!/#REF!)</f>
        <v>#REF!</v>
      </c>
      <c r="E1195" s="4" t="e">
        <f t="shared" si="19"/>
        <v>#REF!</v>
      </c>
      <c r="F1195" s="4" t="e" cm="1">
        <f t="array" ref="F1195">AVERAGE(B1195:B2702-$I$4/252)/_xlfn.STDEV.S(B1195:B2702-$I$4)</f>
        <v>#REF!</v>
      </c>
      <c r="G1195" s="4"/>
      <c r="H1195" s="4"/>
      <c r="I1195" s="4"/>
      <c r="J1195" s="4"/>
    </row>
    <row r="1196" spans="1:10" x14ac:dyDescent="0.2">
      <c r="A1196" t="e">
        <f>LEFT(#REF!,10)</f>
        <v>#REF!</v>
      </c>
      <c r="B1196" s="4" t="e">
        <f>(#REF!-#REF!)/#REF!</f>
        <v>#REF!</v>
      </c>
      <c r="C1196" s="4" t="e">
        <f>(#REF!-#REF!)/#REF!</f>
        <v>#REF!</v>
      </c>
      <c r="D1196" s="4" t="e">
        <f>LN(#REF!/#REF!)</f>
        <v>#REF!</v>
      </c>
      <c r="E1196" s="4" t="e">
        <f t="shared" si="19"/>
        <v>#REF!</v>
      </c>
      <c r="F1196" s="4" t="e" cm="1">
        <f t="array" ref="F1196">AVERAGE(B1196:B2703-$I$4/252)/_xlfn.STDEV.S(B1196:B2703-$I$4)</f>
        <v>#REF!</v>
      </c>
      <c r="G1196" s="4"/>
      <c r="H1196" s="4"/>
      <c r="I1196" s="4"/>
      <c r="J1196" s="4"/>
    </row>
    <row r="1197" spans="1:10" x14ac:dyDescent="0.2">
      <c r="A1197" t="e">
        <f>LEFT(#REF!,10)</f>
        <v>#REF!</v>
      </c>
      <c r="B1197" s="4" t="e">
        <f>(#REF!-#REF!)/#REF!</f>
        <v>#REF!</v>
      </c>
      <c r="C1197" s="4" t="e">
        <f>(#REF!-#REF!)/#REF!</f>
        <v>#REF!</v>
      </c>
      <c r="D1197" s="4" t="e">
        <f>LN(#REF!/#REF!)</f>
        <v>#REF!</v>
      </c>
      <c r="E1197" s="4" t="e">
        <f t="shared" si="19"/>
        <v>#REF!</v>
      </c>
      <c r="F1197" s="4" t="e" cm="1">
        <f t="array" ref="F1197">AVERAGE(B1197:B2704-$I$4/252)/_xlfn.STDEV.S(B1197:B2704-$I$4)</f>
        <v>#REF!</v>
      </c>
      <c r="G1197" s="4"/>
      <c r="H1197" s="4"/>
      <c r="I1197" s="4"/>
      <c r="J1197" s="4"/>
    </row>
    <row r="1198" spans="1:10" x14ac:dyDescent="0.2">
      <c r="A1198" t="e">
        <f>LEFT(#REF!,10)</f>
        <v>#REF!</v>
      </c>
      <c r="B1198" s="4" t="e">
        <f>(#REF!-#REF!)/#REF!</f>
        <v>#REF!</v>
      </c>
      <c r="C1198" s="4" t="e">
        <f>(#REF!-#REF!)/#REF!</f>
        <v>#REF!</v>
      </c>
      <c r="D1198" s="4" t="e">
        <f>LN(#REF!/#REF!)</f>
        <v>#REF!</v>
      </c>
      <c r="E1198" s="4" t="e">
        <f t="shared" si="19"/>
        <v>#REF!</v>
      </c>
      <c r="F1198" s="4" t="e" cm="1">
        <f t="array" ref="F1198">AVERAGE(B1198:B2705-$I$4/252)/_xlfn.STDEV.S(B1198:B2705-$I$4)</f>
        <v>#REF!</v>
      </c>
      <c r="G1198" s="4"/>
      <c r="H1198" s="4"/>
      <c r="I1198" s="4"/>
      <c r="J1198" s="4"/>
    </row>
    <row r="1199" spans="1:10" x14ac:dyDescent="0.2">
      <c r="A1199" t="e">
        <f>LEFT(#REF!,10)</f>
        <v>#REF!</v>
      </c>
      <c r="B1199" s="4" t="e">
        <f>(#REF!-#REF!)/#REF!</f>
        <v>#REF!</v>
      </c>
      <c r="C1199" s="4" t="e">
        <f>(#REF!-#REF!)/#REF!</f>
        <v>#REF!</v>
      </c>
      <c r="D1199" s="4" t="e">
        <f>LN(#REF!/#REF!)</f>
        <v>#REF!</v>
      </c>
      <c r="E1199" s="4" t="e">
        <f t="shared" si="19"/>
        <v>#REF!</v>
      </c>
      <c r="F1199" s="4" t="e" cm="1">
        <f t="array" ref="F1199">AVERAGE(B1199:B2706-$I$4/252)/_xlfn.STDEV.S(B1199:B2706-$I$4)</f>
        <v>#REF!</v>
      </c>
      <c r="G1199" s="4"/>
      <c r="H1199" s="4"/>
      <c r="I1199" s="4"/>
      <c r="J1199" s="4"/>
    </row>
    <row r="1200" spans="1:10" x14ac:dyDescent="0.2">
      <c r="A1200" t="e">
        <f>LEFT(#REF!,10)</f>
        <v>#REF!</v>
      </c>
      <c r="B1200" s="4" t="e">
        <f>(#REF!-#REF!)/#REF!</f>
        <v>#REF!</v>
      </c>
      <c r="C1200" s="4" t="e">
        <f>(#REF!-#REF!)/#REF!</f>
        <v>#REF!</v>
      </c>
      <c r="D1200" s="4" t="e">
        <f>LN(#REF!/#REF!)</f>
        <v>#REF!</v>
      </c>
      <c r="E1200" s="4" t="e">
        <f t="shared" si="19"/>
        <v>#REF!</v>
      </c>
      <c r="F1200" s="4" t="e" cm="1">
        <f t="array" ref="F1200">AVERAGE(B1200:B2707-$I$4/252)/_xlfn.STDEV.S(B1200:B2707-$I$4)</f>
        <v>#REF!</v>
      </c>
      <c r="G1200" s="4"/>
      <c r="H1200" s="4"/>
      <c r="I1200" s="4"/>
      <c r="J1200" s="4"/>
    </row>
    <row r="1201" spans="1:10" x14ac:dyDescent="0.2">
      <c r="A1201" t="e">
        <f>LEFT(#REF!,10)</f>
        <v>#REF!</v>
      </c>
      <c r="B1201" s="4" t="e">
        <f>(#REF!-#REF!)/#REF!</f>
        <v>#REF!</v>
      </c>
      <c r="C1201" s="4" t="e">
        <f>(#REF!-#REF!)/#REF!</f>
        <v>#REF!</v>
      </c>
      <c r="D1201" s="4" t="e">
        <f>LN(#REF!/#REF!)</f>
        <v>#REF!</v>
      </c>
      <c r="E1201" s="4" t="e">
        <f t="shared" si="19"/>
        <v>#REF!</v>
      </c>
      <c r="F1201" s="4" t="e" cm="1">
        <f t="array" ref="F1201">AVERAGE(B1201:B2708-$I$4/252)/_xlfn.STDEV.S(B1201:B2708-$I$4)</f>
        <v>#REF!</v>
      </c>
      <c r="G1201" s="4"/>
      <c r="H1201" s="4"/>
      <c r="I1201" s="4"/>
      <c r="J1201" s="4"/>
    </row>
    <row r="1202" spans="1:10" x14ac:dyDescent="0.2">
      <c r="A1202" t="e">
        <f>LEFT(#REF!,10)</f>
        <v>#REF!</v>
      </c>
      <c r="B1202" s="4" t="e">
        <f>(#REF!-#REF!)/#REF!</f>
        <v>#REF!</v>
      </c>
      <c r="C1202" s="4" t="e">
        <f>(#REF!-#REF!)/#REF!</f>
        <v>#REF!</v>
      </c>
      <c r="D1202" s="4" t="e">
        <f>LN(#REF!/#REF!)</f>
        <v>#REF!</v>
      </c>
      <c r="E1202" s="4" t="e">
        <f t="shared" si="19"/>
        <v>#REF!</v>
      </c>
      <c r="F1202" s="4" t="e" cm="1">
        <f t="array" ref="F1202">AVERAGE(B1202:B2709-$I$4/252)/_xlfn.STDEV.S(B1202:B2709-$I$4)</f>
        <v>#REF!</v>
      </c>
      <c r="G1202" s="4"/>
      <c r="H1202" s="4"/>
      <c r="I1202" s="4"/>
      <c r="J1202" s="4"/>
    </row>
    <row r="1203" spans="1:10" x14ac:dyDescent="0.2">
      <c r="A1203" t="e">
        <f>LEFT(#REF!,10)</f>
        <v>#REF!</v>
      </c>
      <c r="B1203" s="4" t="e">
        <f>(#REF!-#REF!)/#REF!</f>
        <v>#REF!</v>
      </c>
      <c r="C1203" s="4" t="e">
        <f>(#REF!-#REF!)/#REF!</f>
        <v>#REF!</v>
      </c>
      <c r="D1203" s="4" t="e">
        <f>LN(#REF!/#REF!)</f>
        <v>#REF!</v>
      </c>
      <c r="E1203" s="4" t="e">
        <f t="shared" si="19"/>
        <v>#REF!</v>
      </c>
      <c r="F1203" s="4" t="e" cm="1">
        <f t="array" ref="F1203">AVERAGE(B1203:B2710-$I$4/252)/_xlfn.STDEV.S(B1203:B2710-$I$4)</f>
        <v>#REF!</v>
      </c>
      <c r="G1203" s="4"/>
      <c r="H1203" s="4"/>
      <c r="I1203" s="4"/>
      <c r="J1203" s="4"/>
    </row>
    <row r="1204" spans="1:10" x14ac:dyDescent="0.2">
      <c r="A1204" t="e">
        <f>LEFT(#REF!,10)</f>
        <v>#REF!</v>
      </c>
      <c r="B1204" s="4" t="e">
        <f>(#REF!-#REF!)/#REF!</f>
        <v>#REF!</v>
      </c>
      <c r="C1204" s="4" t="e">
        <f>(#REF!-#REF!)/#REF!</f>
        <v>#REF!</v>
      </c>
      <c r="D1204" s="4" t="e">
        <f>LN(#REF!/#REF!)</f>
        <v>#REF!</v>
      </c>
      <c r="E1204" s="4" t="e">
        <f t="shared" si="19"/>
        <v>#REF!</v>
      </c>
      <c r="F1204" s="4" t="e" cm="1">
        <f t="array" ref="F1204">AVERAGE(B1204:B2711-$I$4/252)/_xlfn.STDEV.S(B1204:B2711-$I$4)</f>
        <v>#REF!</v>
      </c>
      <c r="G1204" s="4"/>
      <c r="H1204" s="4"/>
      <c r="I1204" s="4"/>
      <c r="J1204" s="4"/>
    </row>
    <row r="1205" spans="1:10" x14ac:dyDescent="0.2">
      <c r="A1205" t="e">
        <f>LEFT(#REF!,10)</f>
        <v>#REF!</v>
      </c>
      <c r="B1205" s="4" t="e">
        <f>(#REF!-#REF!)/#REF!</f>
        <v>#REF!</v>
      </c>
      <c r="C1205" s="4" t="e">
        <f>(#REF!-#REF!)/#REF!</f>
        <v>#REF!</v>
      </c>
      <c r="D1205" s="4" t="e">
        <f>LN(#REF!/#REF!)</f>
        <v>#REF!</v>
      </c>
      <c r="E1205" s="4" t="e">
        <f t="shared" si="19"/>
        <v>#REF!</v>
      </c>
      <c r="F1205" s="4" t="e" cm="1">
        <f t="array" ref="F1205">AVERAGE(B1205:B2712-$I$4/252)/_xlfn.STDEV.S(B1205:B2712-$I$4)</f>
        <v>#REF!</v>
      </c>
      <c r="G1205" s="4"/>
      <c r="H1205" s="4"/>
      <c r="I1205" s="4"/>
      <c r="J1205" s="4"/>
    </row>
    <row r="1206" spans="1:10" x14ac:dyDescent="0.2">
      <c r="A1206" t="e">
        <f>LEFT(#REF!,10)</f>
        <v>#REF!</v>
      </c>
      <c r="B1206" s="4" t="e">
        <f>(#REF!-#REF!)/#REF!</f>
        <v>#REF!</v>
      </c>
      <c r="C1206" s="4" t="e">
        <f>(#REF!-#REF!)/#REF!</f>
        <v>#REF!</v>
      </c>
      <c r="D1206" s="4" t="e">
        <f>LN(#REF!/#REF!)</f>
        <v>#REF!</v>
      </c>
      <c r="E1206" s="4" t="e">
        <f t="shared" si="19"/>
        <v>#REF!</v>
      </c>
      <c r="F1206" s="4" t="e" cm="1">
        <f t="array" ref="F1206">AVERAGE(B1206:B2713-$I$4/252)/_xlfn.STDEV.S(B1206:B2713-$I$4)</f>
        <v>#REF!</v>
      </c>
      <c r="G1206" s="4"/>
      <c r="H1206" s="4"/>
      <c r="I1206" s="4"/>
      <c r="J1206" s="4"/>
    </row>
    <row r="1207" spans="1:10" x14ac:dyDescent="0.2">
      <c r="A1207" t="e">
        <f>LEFT(#REF!,10)</f>
        <v>#REF!</v>
      </c>
      <c r="B1207" s="4" t="e">
        <f>(#REF!-#REF!)/#REF!</f>
        <v>#REF!</v>
      </c>
      <c r="C1207" s="4" t="e">
        <f>(#REF!-#REF!)/#REF!</f>
        <v>#REF!</v>
      </c>
      <c r="D1207" s="4" t="e">
        <f>LN(#REF!/#REF!)</f>
        <v>#REF!</v>
      </c>
      <c r="E1207" s="4" t="e">
        <f t="shared" si="19"/>
        <v>#REF!</v>
      </c>
      <c r="F1207" s="4" t="e" cm="1">
        <f t="array" ref="F1207">AVERAGE(B1207:B2714-$I$4/252)/_xlfn.STDEV.S(B1207:B2714-$I$4)</f>
        <v>#REF!</v>
      </c>
      <c r="G1207" s="4"/>
      <c r="H1207" s="4"/>
      <c r="I1207" s="4"/>
      <c r="J1207" s="4"/>
    </row>
    <row r="1208" spans="1:10" x14ac:dyDescent="0.2">
      <c r="A1208" t="e">
        <f>LEFT(#REF!,10)</f>
        <v>#REF!</v>
      </c>
      <c r="B1208" s="4" t="e">
        <f>(#REF!-#REF!)/#REF!</f>
        <v>#REF!</v>
      </c>
      <c r="C1208" s="4" t="e">
        <f>(#REF!-#REF!)/#REF!</f>
        <v>#REF!</v>
      </c>
      <c r="D1208" s="4" t="e">
        <f>LN(#REF!/#REF!)</f>
        <v>#REF!</v>
      </c>
      <c r="E1208" s="4" t="e">
        <f t="shared" si="19"/>
        <v>#REF!</v>
      </c>
      <c r="F1208" s="4" t="e" cm="1">
        <f t="array" ref="F1208">AVERAGE(B1208:B2715-$I$4/252)/_xlfn.STDEV.S(B1208:B2715-$I$4)</f>
        <v>#REF!</v>
      </c>
      <c r="G1208" s="4"/>
      <c r="H1208" s="4"/>
      <c r="I1208" s="4"/>
      <c r="J1208" s="4"/>
    </row>
    <row r="1209" spans="1:10" x14ac:dyDescent="0.2">
      <c r="A1209" t="e">
        <f>LEFT(#REF!,10)</f>
        <v>#REF!</v>
      </c>
      <c r="B1209" s="4" t="e">
        <f>(#REF!-#REF!)/#REF!</f>
        <v>#REF!</v>
      </c>
      <c r="C1209" s="4" t="e">
        <f>(#REF!-#REF!)/#REF!</f>
        <v>#REF!</v>
      </c>
      <c r="D1209" s="4" t="e">
        <f>LN(#REF!/#REF!)</f>
        <v>#REF!</v>
      </c>
      <c r="E1209" s="4" t="e">
        <f t="shared" si="19"/>
        <v>#REF!</v>
      </c>
      <c r="F1209" s="4" t="e" cm="1">
        <f t="array" ref="F1209">AVERAGE(B1209:B2716-$I$4/252)/_xlfn.STDEV.S(B1209:B2716-$I$4)</f>
        <v>#REF!</v>
      </c>
      <c r="G1209" s="4"/>
      <c r="H1209" s="4"/>
      <c r="I1209" s="4"/>
      <c r="J1209" s="4"/>
    </row>
    <row r="1210" spans="1:10" x14ac:dyDescent="0.2">
      <c r="A1210" t="e">
        <f>LEFT(#REF!,10)</f>
        <v>#REF!</v>
      </c>
      <c r="B1210" s="4" t="e">
        <f>(#REF!-#REF!)/#REF!</f>
        <v>#REF!</v>
      </c>
      <c r="C1210" s="4" t="e">
        <f>(#REF!-#REF!)/#REF!</f>
        <v>#REF!</v>
      </c>
      <c r="D1210" s="4" t="e">
        <f>LN(#REF!/#REF!)</f>
        <v>#REF!</v>
      </c>
      <c r="E1210" s="4" t="e">
        <f t="shared" si="19"/>
        <v>#REF!</v>
      </c>
      <c r="F1210" s="4" t="e" cm="1">
        <f t="array" ref="F1210">AVERAGE(B1210:B2717-$I$4/252)/_xlfn.STDEV.S(B1210:B2717-$I$4)</f>
        <v>#REF!</v>
      </c>
      <c r="G1210" s="4"/>
      <c r="H1210" s="4"/>
      <c r="I1210" s="4"/>
      <c r="J1210" s="4"/>
    </row>
    <row r="1211" spans="1:10" x14ac:dyDescent="0.2">
      <c r="A1211" t="e">
        <f>LEFT(#REF!,10)</f>
        <v>#REF!</v>
      </c>
      <c r="B1211" s="4" t="e">
        <f>(#REF!-#REF!)/#REF!</f>
        <v>#REF!</v>
      </c>
      <c r="C1211" s="4" t="e">
        <f>(#REF!-#REF!)/#REF!</f>
        <v>#REF!</v>
      </c>
      <c r="D1211" s="4" t="e">
        <f>LN(#REF!/#REF!)</f>
        <v>#REF!</v>
      </c>
      <c r="E1211" s="4" t="e">
        <f t="shared" si="19"/>
        <v>#REF!</v>
      </c>
      <c r="F1211" s="4" t="e" cm="1">
        <f t="array" ref="F1211">AVERAGE(B1211:B2718-$I$4/252)/_xlfn.STDEV.S(B1211:B2718-$I$4)</f>
        <v>#REF!</v>
      </c>
      <c r="G1211" s="4"/>
      <c r="H1211" s="4"/>
      <c r="I1211" s="4"/>
      <c r="J1211" s="4"/>
    </row>
    <row r="1212" spans="1:10" x14ac:dyDescent="0.2">
      <c r="A1212" t="e">
        <f>LEFT(#REF!,10)</f>
        <v>#REF!</v>
      </c>
      <c r="B1212" s="4" t="e">
        <f>(#REF!-#REF!)/#REF!</f>
        <v>#REF!</v>
      </c>
      <c r="C1212" s="4" t="e">
        <f>(#REF!-#REF!)/#REF!</f>
        <v>#REF!</v>
      </c>
      <c r="D1212" s="4" t="e">
        <f>LN(#REF!/#REF!)</f>
        <v>#REF!</v>
      </c>
      <c r="E1212" s="4" t="e">
        <f t="shared" si="19"/>
        <v>#REF!</v>
      </c>
      <c r="F1212" s="4" t="e" cm="1">
        <f t="array" ref="F1212">AVERAGE(B1212:B2719-$I$4/252)/_xlfn.STDEV.S(B1212:B2719-$I$4)</f>
        <v>#REF!</v>
      </c>
      <c r="G1212" s="4"/>
      <c r="H1212" s="4"/>
      <c r="I1212" s="4"/>
      <c r="J1212" s="4"/>
    </row>
    <row r="1213" spans="1:10" x14ac:dyDescent="0.2">
      <c r="A1213" t="e">
        <f>LEFT(#REF!,10)</f>
        <v>#REF!</v>
      </c>
      <c r="B1213" s="4" t="e">
        <f>(#REF!-#REF!)/#REF!</f>
        <v>#REF!</v>
      </c>
      <c r="C1213" s="4" t="e">
        <f>(#REF!-#REF!)/#REF!</f>
        <v>#REF!</v>
      </c>
      <c r="D1213" s="4" t="e">
        <f>LN(#REF!/#REF!)</f>
        <v>#REF!</v>
      </c>
      <c r="E1213" s="4" t="e">
        <f t="shared" si="19"/>
        <v>#REF!</v>
      </c>
      <c r="F1213" s="4" t="e" cm="1">
        <f t="array" ref="F1213">AVERAGE(B1213:B2720-$I$4/252)/_xlfn.STDEV.S(B1213:B2720-$I$4)</f>
        <v>#REF!</v>
      </c>
      <c r="G1213" s="4"/>
      <c r="H1213" s="4"/>
      <c r="I1213" s="4"/>
      <c r="J1213" s="4"/>
    </row>
    <row r="1214" spans="1:10" x14ac:dyDescent="0.2">
      <c r="A1214" t="e">
        <f>LEFT(#REF!,10)</f>
        <v>#REF!</v>
      </c>
      <c r="B1214" s="4" t="e">
        <f>(#REF!-#REF!)/#REF!</f>
        <v>#REF!</v>
      </c>
      <c r="C1214" s="4" t="e">
        <f>(#REF!-#REF!)/#REF!</f>
        <v>#REF!</v>
      </c>
      <c r="D1214" s="4" t="e">
        <f>LN(#REF!/#REF!)</f>
        <v>#REF!</v>
      </c>
      <c r="E1214" s="4" t="e">
        <f t="shared" si="19"/>
        <v>#REF!</v>
      </c>
      <c r="F1214" s="4" t="e" cm="1">
        <f t="array" ref="F1214">AVERAGE(B1214:B2721-$I$4/252)/_xlfn.STDEV.S(B1214:B2721-$I$4)</f>
        <v>#REF!</v>
      </c>
      <c r="G1214" s="4"/>
      <c r="H1214" s="4"/>
      <c r="I1214" s="4"/>
      <c r="J1214" s="4"/>
    </row>
    <row r="1215" spans="1:10" x14ac:dyDescent="0.2">
      <c r="A1215" t="e">
        <f>LEFT(#REF!,10)</f>
        <v>#REF!</v>
      </c>
      <c r="B1215" s="4" t="e">
        <f>(#REF!-#REF!)/#REF!</f>
        <v>#REF!</v>
      </c>
      <c r="C1215" s="4" t="e">
        <f>(#REF!-#REF!)/#REF!</f>
        <v>#REF!</v>
      </c>
      <c r="D1215" s="4" t="e">
        <f>LN(#REF!/#REF!)</f>
        <v>#REF!</v>
      </c>
      <c r="E1215" s="4" t="e">
        <f t="shared" si="19"/>
        <v>#REF!</v>
      </c>
      <c r="F1215" s="4" t="e" cm="1">
        <f t="array" ref="F1215">AVERAGE(B1215:B2722-$I$4/252)/_xlfn.STDEV.S(B1215:B2722-$I$4)</f>
        <v>#REF!</v>
      </c>
      <c r="G1215" s="4"/>
      <c r="H1215" s="4"/>
      <c r="I1215" s="4"/>
      <c r="J1215" s="4"/>
    </row>
    <row r="1216" spans="1:10" x14ac:dyDescent="0.2">
      <c r="A1216" t="e">
        <f>LEFT(#REF!,10)</f>
        <v>#REF!</v>
      </c>
      <c r="B1216" s="4" t="e">
        <f>(#REF!-#REF!)/#REF!</f>
        <v>#REF!</v>
      </c>
      <c r="C1216" s="4" t="e">
        <f>(#REF!-#REF!)/#REF!</f>
        <v>#REF!</v>
      </c>
      <c r="D1216" s="4" t="e">
        <f>LN(#REF!/#REF!)</f>
        <v>#REF!</v>
      </c>
      <c r="E1216" s="4" t="e">
        <f t="shared" si="19"/>
        <v>#REF!</v>
      </c>
      <c r="F1216" s="4" t="e" cm="1">
        <f t="array" ref="F1216">AVERAGE(B1216:B2723-$I$4/252)/_xlfn.STDEV.S(B1216:B2723-$I$4)</f>
        <v>#REF!</v>
      </c>
      <c r="G1216" s="4"/>
      <c r="H1216" s="4"/>
      <c r="I1216" s="4"/>
      <c r="J1216" s="4"/>
    </row>
    <row r="1217" spans="1:10" x14ac:dyDescent="0.2">
      <c r="A1217" t="e">
        <f>LEFT(#REF!,10)</f>
        <v>#REF!</v>
      </c>
      <c r="B1217" s="4" t="e">
        <f>(#REF!-#REF!)/#REF!</f>
        <v>#REF!</v>
      </c>
      <c r="C1217" s="4" t="e">
        <f>(#REF!-#REF!)/#REF!</f>
        <v>#REF!</v>
      </c>
      <c r="D1217" s="4" t="e">
        <f>LN(#REF!/#REF!)</f>
        <v>#REF!</v>
      </c>
      <c r="E1217" s="4" t="e">
        <f t="shared" si="19"/>
        <v>#REF!</v>
      </c>
      <c r="F1217" s="4" t="e" cm="1">
        <f t="array" ref="F1217">AVERAGE(B1217:B2724-$I$4/252)/_xlfn.STDEV.S(B1217:B2724-$I$4)</f>
        <v>#REF!</v>
      </c>
      <c r="G1217" s="4"/>
      <c r="H1217" s="4"/>
      <c r="I1217" s="4"/>
      <c r="J1217" s="4"/>
    </row>
    <row r="1218" spans="1:10" x14ac:dyDescent="0.2">
      <c r="A1218" t="e">
        <f>LEFT(#REF!,10)</f>
        <v>#REF!</v>
      </c>
      <c r="B1218" s="4" t="e">
        <f>(#REF!-#REF!)/#REF!</f>
        <v>#REF!</v>
      </c>
      <c r="C1218" s="4" t="e">
        <f>(#REF!-#REF!)/#REF!</f>
        <v>#REF!</v>
      </c>
      <c r="D1218" s="4" t="e">
        <f>LN(#REF!/#REF!)</f>
        <v>#REF!</v>
      </c>
      <c r="E1218" s="4" t="e">
        <f t="shared" si="19"/>
        <v>#REF!</v>
      </c>
      <c r="F1218" s="4" t="e" cm="1">
        <f t="array" ref="F1218">AVERAGE(B1218:B2725-$I$4/252)/_xlfn.STDEV.S(B1218:B2725-$I$4)</f>
        <v>#REF!</v>
      </c>
      <c r="G1218" s="4"/>
      <c r="H1218" s="4"/>
      <c r="I1218" s="4"/>
      <c r="J1218" s="4"/>
    </row>
    <row r="1219" spans="1:10" x14ac:dyDescent="0.2">
      <c r="A1219" t="e">
        <f>LEFT(#REF!,10)</f>
        <v>#REF!</v>
      </c>
      <c r="B1219" s="4" t="e">
        <f>(#REF!-#REF!)/#REF!</f>
        <v>#REF!</v>
      </c>
      <c r="C1219" s="4" t="e">
        <f>(#REF!-#REF!)/#REF!</f>
        <v>#REF!</v>
      </c>
      <c r="D1219" s="4" t="e">
        <f>LN(#REF!/#REF!)</f>
        <v>#REF!</v>
      </c>
      <c r="E1219" s="4" t="e">
        <f t="shared" si="19"/>
        <v>#REF!</v>
      </c>
      <c r="F1219" s="4" t="e" cm="1">
        <f t="array" ref="F1219">AVERAGE(B1219:B2726-$I$4/252)/_xlfn.STDEV.S(B1219:B2726-$I$4)</f>
        <v>#REF!</v>
      </c>
      <c r="G1219" s="4"/>
      <c r="H1219" s="4"/>
      <c r="I1219" s="4"/>
      <c r="J1219" s="4"/>
    </row>
    <row r="1220" spans="1:10" x14ac:dyDescent="0.2">
      <c r="A1220" t="e">
        <f>LEFT(#REF!,10)</f>
        <v>#REF!</v>
      </c>
      <c r="B1220" s="4" t="e">
        <f>(#REF!-#REF!)/#REF!</f>
        <v>#REF!</v>
      </c>
      <c r="C1220" s="4" t="e">
        <f>(#REF!-#REF!)/#REF!</f>
        <v>#REF!</v>
      </c>
      <c r="D1220" s="4" t="e">
        <f>LN(#REF!/#REF!)</f>
        <v>#REF!</v>
      </c>
      <c r="E1220" s="4" t="e">
        <f t="shared" si="19"/>
        <v>#REF!</v>
      </c>
      <c r="F1220" s="4" t="e" cm="1">
        <f t="array" ref="F1220">AVERAGE(B1220:B2727-$I$4/252)/_xlfn.STDEV.S(B1220:B2727-$I$4)</f>
        <v>#REF!</v>
      </c>
      <c r="G1220" s="4"/>
      <c r="H1220" s="4"/>
      <c r="I1220" s="4"/>
      <c r="J1220" s="4"/>
    </row>
    <row r="1221" spans="1:10" x14ac:dyDescent="0.2">
      <c r="A1221" t="e">
        <f>LEFT(#REF!,10)</f>
        <v>#REF!</v>
      </c>
      <c r="B1221" s="4" t="e">
        <f>(#REF!-#REF!)/#REF!</f>
        <v>#REF!</v>
      </c>
      <c r="C1221" s="4" t="e">
        <f>(#REF!-#REF!)/#REF!</f>
        <v>#REF!</v>
      </c>
      <c r="D1221" s="4" t="e">
        <f>LN(#REF!/#REF!)</f>
        <v>#REF!</v>
      </c>
      <c r="E1221" s="4" t="e">
        <f t="shared" ref="E1221:E1284" si="20">_xlfn.STDEV.S(D1221:D1240)</f>
        <v>#REF!</v>
      </c>
      <c r="F1221" s="4" t="e" cm="1">
        <f t="array" ref="F1221">AVERAGE(B1221:B2728-$I$4/252)/_xlfn.STDEV.S(B1221:B2728-$I$4)</f>
        <v>#REF!</v>
      </c>
      <c r="G1221" s="4"/>
      <c r="H1221" s="4"/>
      <c r="I1221" s="4"/>
      <c r="J1221" s="4"/>
    </row>
    <row r="1222" spans="1:10" x14ac:dyDescent="0.2">
      <c r="A1222" t="e">
        <f>LEFT(#REF!,10)</f>
        <v>#REF!</v>
      </c>
      <c r="B1222" s="4" t="e">
        <f>(#REF!-#REF!)/#REF!</f>
        <v>#REF!</v>
      </c>
      <c r="C1222" s="4" t="e">
        <f>(#REF!-#REF!)/#REF!</f>
        <v>#REF!</v>
      </c>
      <c r="D1222" s="4" t="e">
        <f>LN(#REF!/#REF!)</f>
        <v>#REF!</v>
      </c>
      <c r="E1222" s="4" t="e">
        <f t="shared" si="20"/>
        <v>#REF!</v>
      </c>
      <c r="F1222" s="4" t="e" cm="1">
        <f t="array" ref="F1222">AVERAGE(B1222:B2729-$I$4/252)/_xlfn.STDEV.S(B1222:B2729-$I$4)</f>
        <v>#REF!</v>
      </c>
      <c r="G1222" s="4"/>
      <c r="H1222" s="4"/>
      <c r="I1222" s="4"/>
      <c r="J1222" s="4"/>
    </row>
    <row r="1223" spans="1:10" x14ac:dyDescent="0.2">
      <c r="A1223" t="e">
        <f>LEFT(#REF!,10)</f>
        <v>#REF!</v>
      </c>
      <c r="B1223" s="4" t="e">
        <f>(#REF!-#REF!)/#REF!</f>
        <v>#REF!</v>
      </c>
      <c r="C1223" s="4" t="e">
        <f>(#REF!-#REF!)/#REF!</f>
        <v>#REF!</v>
      </c>
      <c r="D1223" s="4" t="e">
        <f>LN(#REF!/#REF!)</f>
        <v>#REF!</v>
      </c>
      <c r="E1223" s="4" t="e">
        <f t="shared" si="20"/>
        <v>#REF!</v>
      </c>
      <c r="F1223" s="4" t="e" cm="1">
        <f t="array" ref="F1223">AVERAGE(B1223:B2730-$I$4/252)/_xlfn.STDEV.S(B1223:B2730-$I$4)</f>
        <v>#REF!</v>
      </c>
      <c r="G1223" s="4"/>
      <c r="H1223" s="4"/>
      <c r="I1223" s="4"/>
      <c r="J1223" s="4"/>
    </row>
    <row r="1224" spans="1:10" x14ac:dyDescent="0.2">
      <c r="A1224" t="e">
        <f>LEFT(#REF!,10)</f>
        <v>#REF!</v>
      </c>
      <c r="B1224" s="4" t="e">
        <f>(#REF!-#REF!)/#REF!</f>
        <v>#REF!</v>
      </c>
      <c r="C1224" s="4" t="e">
        <f>(#REF!-#REF!)/#REF!</f>
        <v>#REF!</v>
      </c>
      <c r="D1224" s="4" t="e">
        <f>LN(#REF!/#REF!)</f>
        <v>#REF!</v>
      </c>
      <c r="E1224" s="4" t="e">
        <f t="shared" si="20"/>
        <v>#REF!</v>
      </c>
      <c r="F1224" s="4" t="e" cm="1">
        <f t="array" ref="F1224">AVERAGE(B1224:B2731-$I$4/252)/_xlfn.STDEV.S(B1224:B2731-$I$4)</f>
        <v>#REF!</v>
      </c>
      <c r="G1224" s="4"/>
      <c r="H1224" s="4"/>
      <c r="I1224" s="4"/>
      <c r="J1224" s="4"/>
    </row>
    <row r="1225" spans="1:10" x14ac:dyDescent="0.2">
      <c r="A1225" t="e">
        <f>LEFT(#REF!,10)</f>
        <v>#REF!</v>
      </c>
      <c r="B1225" s="4" t="e">
        <f>(#REF!-#REF!)/#REF!</f>
        <v>#REF!</v>
      </c>
      <c r="C1225" s="4" t="e">
        <f>(#REF!-#REF!)/#REF!</f>
        <v>#REF!</v>
      </c>
      <c r="D1225" s="4" t="e">
        <f>LN(#REF!/#REF!)</f>
        <v>#REF!</v>
      </c>
      <c r="E1225" s="4" t="e">
        <f t="shared" si="20"/>
        <v>#REF!</v>
      </c>
      <c r="F1225" s="4" t="e" cm="1">
        <f t="array" ref="F1225">AVERAGE(B1225:B2732-$I$4/252)/_xlfn.STDEV.S(B1225:B2732-$I$4)</f>
        <v>#REF!</v>
      </c>
      <c r="G1225" s="4"/>
      <c r="H1225" s="4"/>
      <c r="I1225" s="4"/>
      <c r="J1225" s="4"/>
    </row>
    <row r="1226" spans="1:10" x14ac:dyDescent="0.2">
      <c r="A1226" t="e">
        <f>LEFT(#REF!,10)</f>
        <v>#REF!</v>
      </c>
      <c r="B1226" s="4" t="e">
        <f>(#REF!-#REF!)/#REF!</f>
        <v>#REF!</v>
      </c>
      <c r="C1226" s="4" t="e">
        <f>(#REF!-#REF!)/#REF!</f>
        <v>#REF!</v>
      </c>
      <c r="D1226" s="4" t="e">
        <f>LN(#REF!/#REF!)</f>
        <v>#REF!</v>
      </c>
      <c r="E1226" s="4" t="e">
        <f t="shared" si="20"/>
        <v>#REF!</v>
      </c>
      <c r="F1226" s="4" t="e" cm="1">
        <f t="array" ref="F1226">AVERAGE(B1226:B2733-$I$4/252)/_xlfn.STDEV.S(B1226:B2733-$I$4)</f>
        <v>#REF!</v>
      </c>
      <c r="G1226" s="4"/>
      <c r="H1226" s="4"/>
      <c r="I1226" s="4"/>
      <c r="J1226" s="4"/>
    </row>
    <row r="1227" spans="1:10" x14ac:dyDescent="0.2">
      <c r="A1227" t="e">
        <f>LEFT(#REF!,10)</f>
        <v>#REF!</v>
      </c>
      <c r="B1227" s="4" t="e">
        <f>(#REF!-#REF!)/#REF!</f>
        <v>#REF!</v>
      </c>
      <c r="C1227" s="4" t="e">
        <f>(#REF!-#REF!)/#REF!</f>
        <v>#REF!</v>
      </c>
      <c r="D1227" s="4" t="e">
        <f>LN(#REF!/#REF!)</f>
        <v>#REF!</v>
      </c>
      <c r="E1227" s="4" t="e">
        <f t="shared" si="20"/>
        <v>#REF!</v>
      </c>
      <c r="F1227" s="4" t="e" cm="1">
        <f t="array" ref="F1227">AVERAGE(B1227:B2734-$I$4/252)/_xlfn.STDEV.S(B1227:B2734-$I$4)</f>
        <v>#REF!</v>
      </c>
      <c r="G1227" s="4"/>
      <c r="H1227" s="4"/>
      <c r="I1227" s="4"/>
      <c r="J1227" s="4"/>
    </row>
    <row r="1228" spans="1:10" x14ac:dyDescent="0.2">
      <c r="A1228" t="e">
        <f>LEFT(#REF!,10)</f>
        <v>#REF!</v>
      </c>
      <c r="B1228" s="4" t="e">
        <f>(#REF!-#REF!)/#REF!</f>
        <v>#REF!</v>
      </c>
      <c r="C1228" s="4" t="e">
        <f>(#REF!-#REF!)/#REF!</f>
        <v>#REF!</v>
      </c>
      <c r="D1228" s="4" t="e">
        <f>LN(#REF!/#REF!)</f>
        <v>#REF!</v>
      </c>
      <c r="E1228" s="4" t="e">
        <f t="shared" si="20"/>
        <v>#REF!</v>
      </c>
      <c r="F1228" s="4" t="e" cm="1">
        <f t="array" ref="F1228">AVERAGE(B1228:B2735-$I$4/252)/_xlfn.STDEV.S(B1228:B2735-$I$4)</f>
        <v>#REF!</v>
      </c>
      <c r="G1228" s="4"/>
      <c r="H1228" s="4"/>
      <c r="I1228" s="4"/>
      <c r="J1228" s="4"/>
    </row>
    <row r="1229" spans="1:10" x14ac:dyDescent="0.2">
      <c r="A1229" t="e">
        <f>LEFT(#REF!,10)</f>
        <v>#REF!</v>
      </c>
      <c r="B1229" s="4" t="e">
        <f>(#REF!-#REF!)/#REF!</f>
        <v>#REF!</v>
      </c>
      <c r="C1229" s="4" t="e">
        <f>(#REF!-#REF!)/#REF!</f>
        <v>#REF!</v>
      </c>
      <c r="D1229" s="4" t="e">
        <f>LN(#REF!/#REF!)</f>
        <v>#REF!</v>
      </c>
      <c r="E1229" s="4" t="e">
        <f t="shared" si="20"/>
        <v>#REF!</v>
      </c>
      <c r="F1229" s="4" t="e" cm="1">
        <f t="array" ref="F1229">AVERAGE(B1229:B2736-$I$4/252)/_xlfn.STDEV.S(B1229:B2736-$I$4)</f>
        <v>#REF!</v>
      </c>
      <c r="G1229" s="4"/>
      <c r="H1229" s="4"/>
      <c r="I1229" s="4"/>
      <c r="J1229" s="4"/>
    </row>
    <row r="1230" spans="1:10" x14ac:dyDescent="0.2">
      <c r="A1230" t="e">
        <f>LEFT(#REF!,10)</f>
        <v>#REF!</v>
      </c>
      <c r="B1230" s="4" t="e">
        <f>(#REF!-#REF!)/#REF!</f>
        <v>#REF!</v>
      </c>
      <c r="C1230" s="4" t="e">
        <f>(#REF!-#REF!)/#REF!</f>
        <v>#REF!</v>
      </c>
      <c r="D1230" s="4" t="e">
        <f>LN(#REF!/#REF!)</f>
        <v>#REF!</v>
      </c>
      <c r="E1230" s="4" t="e">
        <f t="shared" si="20"/>
        <v>#REF!</v>
      </c>
      <c r="F1230" s="4" t="e" cm="1">
        <f t="array" ref="F1230">AVERAGE(B1230:B2737-$I$4/252)/_xlfn.STDEV.S(B1230:B2737-$I$4)</f>
        <v>#REF!</v>
      </c>
      <c r="G1230" s="4"/>
      <c r="H1230" s="4"/>
      <c r="I1230" s="4"/>
      <c r="J1230" s="4"/>
    </row>
    <row r="1231" spans="1:10" x14ac:dyDescent="0.2">
      <c r="A1231" t="e">
        <f>LEFT(#REF!,10)</f>
        <v>#REF!</v>
      </c>
      <c r="B1231" s="4" t="e">
        <f>(#REF!-#REF!)/#REF!</f>
        <v>#REF!</v>
      </c>
      <c r="C1231" s="4" t="e">
        <f>(#REF!-#REF!)/#REF!</f>
        <v>#REF!</v>
      </c>
      <c r="D1231" s="4" t="e">
        <f>LN(#REF!/#REF!)</f>
        <v>#REF!</v>
      </c>
      <c r="E1231" s="4" t="e">
        <f t="shared" si="20"/>
        <v>#REF!</v>
      </c>
      <c r="F1231" s="4" t="e" cm="1">
        <f t="array" ref="F1231">AVERAGE(B1231:B2738-$I$4/252)/_xlfn.STDEV.S(B1231:B2738-$I$4)</f>
        <v>#REF!</v>
      </c>
      <c r="G1231" s="4"/>
      <c r="H1231" s="4"/>
      <c r="I1231" s="4"/>
      <c r="J1231" s="4"/>
    </row>
    <row r="1232" spans="1:10" x14ac:dyDescent="0.2">
      <c r="A1232" t="e">
        <f>LEFT(#REF!,10)</f>
        <v>#REF!</v>
      </c>
      <c r="B1232" s="4" t="e">
        <f>(#REF!-#REF!)/#REF!</f>
        <v>#REF!</v>
      </c>
      <c r="C1232" s="4" t="e">
        <f>(#REF!-#REF!)/#REF!</f>
        <v>#REF!</v>
      </c>
      <c r="D1232" s="4" t="e">
        <f>LN(#REF!/#REF!)</f>
        <v>#REF!</v>
      </c>
      <c r="E1232" s="4" t="e">
        <f t="shared" si="20"/>
        <v>#REF!</v>
      </c>
      <c r="F1232" s="4" t="e" cm="1">
        <f t="array" ref="F1232">AVERAGE(B1232:B2739-$I$4/252)/_xlfn.STDEV.S(B1232:B2739-$I$4)</f>
        <v>#REF!</v>
      </c>
      <c r="G1232" s="4"/>
      <c r="H1232" s="4"/>
      <c r="I1232" s="4"/>
      <c r="J1232" s="4"/>
    </row>
    <row r="1233" spans="1:10" x14ac:dyDescent="0.2">
      <c r="A1233" t="e">
        <f>LEFT(#REF!,10)</f>
        <v>#REF!</v>
      </c>
      <c r="B1233" s="4" t="e">
        <f>(#REF!-#REF!)/#REF!</f>
        <v>#REF!</v>
      </c>
      <c r="C1233" s="4" t="e">
        <f>(#REF!-#REF!)/#REF!</f>
        <v>#REF!</v>
      </c>
      <c r="D1233" s="4" t="e">
        <f>LN(#REF!/#REF!)</f>
        <v>#REF!</v>
      </c>
      <c r="E1233" s="4" t="e">
        <f t="shared" si="20"/>
        <v>#REF!</v>
      </c>
      <c r="F1233" s="4" t="e" cm="1">
        <f t="array" ref="F1233">AVERAGE(B1233:B2740-$I$4/252)/_xlfn.STDEV.S(B1233:B2740-$I$4)</f>
        <v>#REF!</v>
      </c>
      <c r="G1233" s="4"/>
      <c r="H1233" s="4"/>
      <c r="I1233" s="4"/>
      <c r="J1233" s="4"/>
    </row>
    <row r="1234" spans="1:10" x14ac:dyDescent="0.2">
      <c r="A1234" t="e">
        <f>LEFT(#REF!,10)</f>
        <v>#REF!</v>
      </c>
      <c r="B1234" s="4" t="e">
        <f>(#REF!-#REF!)/#REF!</f>
        <v>#REF!</v>
      </c>
      <c r="C1234" s="4" t="e">
        <f>(#REF!-#REF!)/#REF!</f>
        <v>#REF!</v>
      </c>
      <c r="D1234" s="4" t="e">
        <f>LN(#REF!/#REF!)</f>
        <v>#REF!</v>
      </c>
      <c r="E1234" s="4" t="e">
        <f t="shared" si="20"/>
        <v>#REF!</v>
      </c>
      <c r="F1234" s="4" t="e" cm="1">
        <f t="array" ref="F1234">AVERAGE(B1234:B2741-$I$4/252)/_xlfn.STDEV.S(B1234:B2741-$I$4)</f>
        <v>#REF!</v>
      </c>
      <c r="G1234" s="4"/>
      <c r="H1234" s="4"/>
      <c r="I1234" s="4"/>
      <c r="J1234" s="4"/>
    </row>
    <row r="1235" spans="1:10" x14ac:dyDescent="0.2">
      <c r="A1235" t="e">
        <f>LEFT(#REF!,10)</f>
        <v>#REF!</v>
      </c>
      <c r="B1235" s="4" t="e">
        <f>(#REF!-#REF!)/#REF!</f>
        <v>#REF!</v>
      </c>
      <c r="C1235" s="4" t="e">
        <f>(#REF!-#REF!)/#REF!</f>
        <v>#REF!</v>
      </c>
      <c r="D1235" s="4" t="e">
        <f>LN(#REF!/#REF!)</f>
        <v>#REF!</v>
      </c>
      <c r="E1235" s="4" t="e">
        <f t="shared" si="20"/>
        <v>#REF!</v>
      </c>
      <c r="F1235" s="4" t="e" cm="1">
        <f t="array" ref="F1235">AVERAGE(B1235:B2742-$I$4/252)/_xlfn.STDEV.S(B1235:B2742-$I$4)</f>
        <v>#REF!</v>
      </c>
      <c r="G1235" s="4"/>
      <c r="H1235" s="4"/>
      <c r="I1235" s="4"/>
      <c r="J1235" s="4"/>
    </row>
    <row r="1236" spans="1:10" x14ac:dyDescent="0.2">
      <c r="A1236" t="e">
        <f>LEFT(#REF!,10)</f>
        <v>#REF!</v>
      </c>
      <c r="B1236" s="4" t="e">
        <f>(#REF!-#REF!)/#REF!</f>
        <v>#REF!</v>
      </c>
      <c r="C1236" s="4" t="e">
        <f>(#REF!-#REF!)/#REF!</f>
        <v>#REF!</v>
      </c>
      <c r="D1236" s="4" t="e">
        <f>LN(#REF!/#REF!)</f>
        <v>#REF!</v>
      </c>
      <c r="E1236" s="4" t="e">
        <f t="shared" si="20"/>
        <v>#REF!</v>
      </c>
      <c r="F1236" s="4" t="e" cm="1">
        <f t="array" ref="F1236">AVERAGE(B1236:B2743-$I$4/252)/_xlfn.STDEV.S(B1236:B2743-$I$4)</f>
        <v>#REF!</v>
      </c>
      <c r="G1236" s="4"/>
      <c r="H1236" s="4"/>
      <c r="I1236" s="4"/>
      <c r="J1236" s="4"/>
    </row>
    <row r="1237" spans="1:10" x14ac:dyDescent="0.2">
      <c r="A1237" t="e">
        <f>LEFT(#REF!,10)</f>
        <v>#REF!</v>
      </c>
      <c r="B1237" s="4" t="e">
        <f>(#REF!-#REF!)/#REF!</f>
        <v>#REF!</v>
      </c>
      <c r="C1237" s="4" t="e">
        <f>(#REF!-#REF!)/#REF!</f>
        <v>#REF!</v>
      </c>
      <c r="D1237" s="4" t="e">
        <f>LN(#REF!/#REF!)</f>
        <v>#REF!</v>
      </c>
      <c r="E1237" s="4" t="e">
        <f t="shared" si="20"/>
        <v>#REF!</v>
      </c>
      <c r="F1237" s="4" t="e" cm="1">
        <f t="array" ref="F1237">AVERAGE(B1237:B2744-$I$4/252)/_xlfn.STDEV.S(B1237:B2744-$I$4)</f>
        <v>#REF!</v>
      </c>
      <c r="G1237" s="4"/>
      <c r="H1237" s="4"/>
      <c r="I1237" s="4"/>
      <c r="J1237" s="4"/>
    </row>
    <row r="1238" spans="1:10" x14ac:dyDescent="0.2">
      <c r="A1238" t="e">
        <f>LEFT(#REF!,10)</f>
        <v>#REF!</v>
      </c>
      <c r="B1238" s="4" t="e">
        <f>(#REF!-#REF!)/#REF!</f>
        <v>#REF!</v>
      </c>
      <c r="C1238" s="4" t="e">
        <f>(#REF!-#REF!)/#REF!</f>
        <v>#REF!</v>
      </c>
      <c r="D1238" s="4" t="e">
        <f>LN(#REF!/#REF!)</f>
        <v>#REF!</v>
      </c>
      <c r="E1238" s="4" t="e">
        <f t="shared" si="20"/>
        <v>#REF!</v>
      </c>
      <c r="F1238" s="4" t="e" cm="1">
        <f t="array" ref="F1238">AVERAGE(B1238:B2745-$I$4/252)/_xlfn.STDEV.S(B1238:B2745-$I$4)</f>
        <v>#REF!</v>
      </c>
      <c r="G1238" s="4"/>
      <c r="H1238" s="4"/>
      <c r="I1238" s="4"/>
      <c r="J1238" s="4"/>
    </row>
    <row r="1239" spans="1:10" x14ac:dyDescent="0.2">
      <c r="A1239" t="e">
        <f>LEFT(#REF!,10)</f>
        <v>#REF!</v>
      </c>
      <c r="B1239" s="4" t="e">
        <f>(#REF!-#REF!)/#REF!</f>
        <v>#REF!</v>
      </c>
      <c r="C1239" s="4" t="e">
        <f>(#REF!-#REF!)/#REF!</f>
        <v>#REF!</v>
      </c>
      <c r="D1239" s="4" t="e">
        <f>LN(#REF!/#REF!)</f>
        <v>#REF!</v>
      </c>
      <c r="E1239" s="4" t="e">
        <f t="shared" si="20"/>
        <v>#REF!</v>
      </c>
      <c r="F1239" s="4" t="e" cm="1">
        <f t="array" ref="F1239">AVERAGE(B1239:B2746-$I$4/252)/_xlfn.STDEV.S(B1239:B2746-$I$4)</f>
        <v>#REF!</v>
      </c>
      <c r="G1239" s="4"/>
      <c r="H1239" s="4"/>
      <c r="I1239" s="4"/>
      <c r="J1239" s="4"/>
    </row>
    <row r="1240" spans="1:10" x14ac:dyDescent="0.2">
      <c r="A1240" t="e">
        <f>LEFT(#REF!,10)</f>
        <v>#REF!</v>
      </c>
      <c r="B1240" s="4" t="e">
        <f>(#REF!-#REF!)/#REF!</f>
        <v>#REF!</v>
      </c>
      <c r="C1240" s="4" t="e">
        <f>(#REF!-#REF!)/#REF!</f>
        <v>#REF!</v>
      </c>
      <c r="D1240" s="4" t="e">
        <f>LN(#REF!/#REF!)</f>
        <v>#REF!</v>
      </c>
      <c r="E1240" s="4" t="e">
        <f t="shared" si="20"/>
        <v>#REF!</v>
      </c>
      <c r="F1240" s="4" t="e" cm="1">
        <f t="array" ref="F1240">AVERAGE(B1240:B2747-$I$4/252)/_xlfn.STDEV.S(B1240:B2747-$I$4)</f>
        <v>#REF!</v>
      </c>
      <c r="G1240" s="4"/>
      <c r="H1240" s="4"/>
      <c r="I1240" s="4"/>
      <c r="J1240" s="4"/>
    </row>
    <row r="1241" spans="1:10" x14ac:dyDescent="0.2">
      <c r="A1241" t="e">
        <f>LEFT(#REF!,10)</f>
        <v>#REF!</v>
      </c>
      <c r="B1241" s="4" t="e">
        <f>(#REF!-#REF!)/#REF!</f>
        <v>#REF!</v>
      </c>
      <c r="C1241" s="4" t="e">
        <f>(#REF!-#REF!)/#REF!</f>
        <v>#REF!</v>
      </c>
      <c r="D1241" s="4" t="e">
        <f>LN(#REF!/#REF!)</f>
        <v>#REF!</v>
      </c>
      <c r="E1241" s="4" t="e">
        <f t="shared" si="20"/>
        <v>#REF!</v>
      </c>
      <c r="F1241" s="4" t="e" cm="1">
        <f t="array" ref="F1241">AVERAGE(B1241:B2748-$I$4/252)/_xlfn.STDEV.S(B1241:B2748-$I$4)</f>
        <v>#REF!</v>
      </c>
      <c r="G1241" s="4"/>
      <c r="H1241" s="4"/>
      <c r="I1241" s="4"/>
      <c r="J1241" s="4"/>
    </row>
    <row r="1242" spans="1:10" x14ac:dyDescent="0.2">
      <c r="A1242" t="e">
        <f>LEFT(#REF!,10)</f>
        <v>#REF!</v>
      </c>
      <c r="B1242" s="4" t="e">
        <f>(#REF!-#REF!)/#REF!</f>
        <v>#REF!</v>
      </c>
      <c r="C1242" s="4" t="e">
        <f>(#REF!-#REF!)/#REF!</f>
        <v>#REF!</v>
      </c>
      <c r="D1242" s="4" t="e">
        <f>LN(#REF!/#REF!)</f>
        <v>#REF!</v>
      </c>
      <c r="E1242" s="4" t="e">
        <f t="shared" si="20"/>
        <v>#REF!</v>
      </c>
      <c r="F1242" s="4" t="e" cm="1">
        <f t="array" ref="F1242">AVERAGE(B1242:B2749-$I$4/252)/_xlfn.STDEV.S(B1242:B2749-$I$4)</f>
        <v>#REF!</v>
      </c>
      <c r="G1242" s="4"/>
      <c r="H1242" s="4"/>
      <c r="I1242" s="4"/>
      <c r="J1242" s="4"/>
    </row>
    <row r="1243" spans="1:10" x14ac:dyDescent="0.2">
      <c r="A1243" t="e">
        <f>LEFT(#REF!,10)</f>
        <v>#REF!</v>
      </c>
      <c r="B1243" s="4" t="e">
        <f>(#REF!-#REF!)/#REF!</f>
        <v>#REF!</v>
      </c>
      <c r="C1243" s="4" t="e">
        <f>(#REF!-#REF!)/#REF!</f>
        <v>#REF!</v>
      </c>
      <c r="D1243" s="4" t="e">
        <f>LN(#REF!/#REF!)</f>
        <v>#REF!</v>
      </c>
      <c r="E1243" s="4" t="e">
        <f t="shared" si="20"/>
        <v>#REF!</v>
      </c>
      <c r="F1243" s="4" t="e" cm="1">
        <f t="array" ref="F1243">AVERAGE(B1243:B2750-$I$4/252)/_xlfn.STDEV.S(B1243:B2750-$I$4)</f>
        <v>#REF!</v>
      </c>
      <c r="G1243" s="4"/>
      <c r="H1243" s="4"/>
      <c r="I1243" s="4"/>
      <c r="J1243" s="4"/>
    </row>
    <row r="1244" spans="1:10" x14ac:dyDescent="0.2">
      <c r="A1244" t="e">
        <f>LEFT(#REF!,10)</f>
        <v>#REF!</v>
      </c>
      <c r="B1244" s="4" t="e">
        <f>(#REF!-#REF!)/#REF!</f>
        <v>#REF!</v>
      </c>
      <c r="C1244" s="4" t="e">
        <f>(#REF!-#REF!)/#REF!</f>
        <v>#REF!</v>
      </c>
      <c r="D1244" s="4" t="e">
        <f>LN(#REF!/#REF!)</f>
        <v>#REF!</v>
      </c>
      <c r="E1244" s="4" t="e">
        <f t="shared" si="20"/>
        <v>#REF!</v>
      </c>
      <c r="F1244" s="4" t="e" cm="1">
        <f t="array" ref="F1244">AVERAGE(B1244:B2751-$I$4/252)/_xlfn.STDEV.S(B1244:B2751-$I$4)</f>
        <v>#REF!</v>
      </c>
      <c r="G1244" s="4"/>
      <c r="H1244" s="4"/>
      <c r="I1244" s="4"/>
      <c r="J1244" s="4"/>
    </row>
    <row r="1245" spans="1:10" x14ac:dyDescent="0.2">
      <c r="A1245" t="e">
        <f>LEFT(#REF!,10)</f>
        <v>#REF!</v>
      </c>
      <c r="B1245" s="4" t="e">
        <f>(#REF!-#REF!)/#REF!</f>
        <v>#REF!</v>
      </c>
      <c r="C1245" s="4" t="e">
        <f>(#REF!-#REF!)/#REF!</f>
        <v>#REF!</v>
      </c>
      <c r="D1245" s="4" t="e">
        <f>LN(#REF!/#REF!)</f>
        <v>#REF!</v>
      </c>
      <c r="E1245" s="4" t="e">
        <f t="shared" si="20"/>
        <v>#REF!</v>
      </c>
      <c r="F1245" s="4" t="e" cm="1">
        <f t="array" ref="F1245">AVERAGE(B1245:B2752-$I$4/252)/_xlfn.STDEV.S(B1245:B2752-$I$4)</f>
        <v>#REF!</v>
      </c>
      <c r="G1245" s="4"/>
      <c r="H1245" s="4"/>
      <c r="I1245" s="4"/>
      <c r="J1245" s="4"/>
    </row>
    <row r="1246" spans="1:10" x14ac:dyDescent="0.2">
      <c r="A1246" t="e">
        <f>LEFT(#REF!,10)</f>
        <v>#REF!</v>
      </c>
      <c r="B1246" s="4" t="e">
        <f>(#REF!-#REF!)/#REF!</f>
        <v>#REF!</v>
      </c>
      <c r="C1246" s="4" t="e">
        <f>(#REF!-#REF!)/#REF!</f>
        <v>#REF!</v>
      </c>
      <c r="D1246" s="4" t="e">
        <f>LN(#REF!/#REF!)</f>
        <v>#REF!</v>
      </c>
      <c r="E1246" s="4" t="e">
        <f t="shared" si="20"/>
        <v>#REF!</v>
      </c>
      <c r="F1246" s="4" t="e" cm="1">
        <f t="array" ref="F1246">AVERAGE(B1246:B2753-$I$4/252)/_xlfn.STDEV.S(B1246:B2753-$I$4)</f>
        <v>#REF!</v>
      </c>
      <c r="G1246" s="4"/>
      <c r="H1246" s="4"/>
      <c r="I1246" s="4"/>
      <c r="J1246" s="4"/>
    </row>
    <row r="1247" spans="1:10" x14ac:dyDescent="0.2">
      <c r="A1247" t="e">
        <f>LEFT(#REF!,10)</f>
        <v>#REF!</v>
      </c>
      <c r="B1247" s="4" t="e">
        <f>(#REF!-#REF!)/#REF!</f>
        <v>#REF!</v>
      </c>
      <c r="C1247" s="4" t="e">
        <f>(#REF!-#REF!)/#REF!</f>
        <v>#REF!</v>
      </c>
      <c r="D1247" s="4" t="e">
        <f>LN(#REF!/#REF!)</f>
        <v>#REF!</v>
      </c>
      <c r="E1247" s="4" t="e">
        <f t="shared" si="20"/>
        <v>#REF!</v>
      </c>
      <c r="F1247" s="4" t="e" cm="1">
        <f t="array" ref="F1247">AVERAGE(B1247:B2754-$I$4/252)/_xlfn.STDEV.S(B1247:B2754-$I$4)</f>
        <v>#REF!</v>
      </c>
      <c r="G1247" s="4"/>
      <c r="H1247" s="4"/>
      <c r="I1247" s="4"/>
      <c r="J1247" s="4"/>
    </row>
    <row r="1248" spans="1:10" x14ac:dyDescent="0.2">
      <c r="A1248" t="e">
        <f>LEFT(#REF!,10)</f>
        <v>#REF!</v>
      </c>
      <c r="B1248" s="4" t="e">
        <f>(#REF!-#REF!)/#REF!</f>
        <v>#REF!</v>
      </c>
      <c r="C1248" s="4" t="e">
        <f>(#REF!-#REF!)/#REF!</f>
        <v>#REF!</v>
      </c>
      <c r="D1248" s="4" t="e">
        <f>LN(#REF!/#REF!)</f>
        <v>#REF!</v>
      </c>
      <c r="E1248" s="4" t="e">
        <f t="shared" si="20"/>
        <v>#REF!</v>
      </c>
      <c r="F1248" s="4" t="e" cm="1">
        <f t="array" ref="F1248">AVERAGE(B1248:B2755-$I$4/252)/_xlfn.STDEV.S(B1248:B2755-$I$4)</f>
        <v>#REF!</v>
      </c>
      <c r="G1248" s="4"/>
      <c r="H1248" s="4"/>
      <c r="I1248" s="4"/>
      <c r="J1248" s="4"/>
    </row>
    <row r="1249" spans="1:10" x14ac:dyDescent="0.2">
      <c r="A1249" t="e">
        <f>LEFT(#REF!,10)</f>
        <v>#REF!</v>
      </c>
      <c r="B1249" s="4" t="e">
        <f>(#REF!-#REF!)/#REF!</f>
        <v>#REF!</v>
      </c>
      <c r="C1249" s="4" t="e">
        <f>(#REF!-#REF!)/#REF!</f>
        <v>#REF!</v>
      </c>
      <c r="D1249" s="4" t="e">
        <f>LN(#REF!/#REF!)</f>
        <v>#REF!</v>
      </c>
      <c r="E1249" s="4" t="e">
        <f t="shared" si="20"/>
        <v>#REF!</v>
      </c>
      <c r="F1249" s="4" t="e" cm="1">
        <f t="array" ref="F1249">AVERAGE(B1249:B2756-$I$4/252)/_xlfn.STDEV.S(B1249:B2756-$I$4)</f>
        <v>#REF!</v>
      </c>
      <c r="G1249" s="4"/>
      <c r="H1249" s="4"/>
      <c r="I1249" s="4"/>
      <c r="J1249" s="4"/>
    </row>
    <row r="1250" spans="1:10" x14ac:dyDescent="0.2">
      <c r="A1250" t="e">
        <f>LEFT(#REF!,10)</f>
        <v>#REF!</v>
      </c>
      <c r="B1250" s="4" t="e">
        <f>(#REF!-#REF!)/#REF!</f>
        <v>#REF!</v>
      </c>
      <c r="C1250" s="4" t="e">
        <f>(#REF!-#REF!)/#REF!</f>
        <v>#REF!</v>
      </c>
      <c r="D1250" s="4" t="e">
        <f>LN(#REF!/#REF!)</f>
        <v>#REF!</v>
      </c>
      <c r="E1250" s="4" t="e">
        <f t="shared" si="20"/>
        <v>#REF!</v>
      </c>
      <c r="F1250" s="4" t="e" cm="1">
        <f t="array" ref="F1250">AVERAGE(B1250:B2757-$I$4/252)/_xlfn.STDEV.S(B1250:B2757-$I$4)</f>
        <v>#REF!</v>
      </c>
      <c r="G1250" s="4"/>
      <c r="H1250" s="4"/>
      <c r="I1250" s="4"/>
      <c r="J1250" s="4"/>
    </row>
    <row r="1251" spans="1:10" x14ac:dyDescent="0.2">
      <c r="A1251" t="e">
        <f>LEFT(#REF!,10)</f>
        <v>#REF!</v>
      </c>
      <c r="B1251" s="4" t="e">
        <f>(#REF!-#REF!)/#REF!</f>
        <v>#REF!</v>
      </c>
      <c r="C1251" s="4" t="e">
        <f>(#REF!-#REF!)/#REF!</f>
        <v>#REF!</v>
      </c>
      <c r="D1251" s="4" t="e">
        <f>LN(#REF!/#REF!)</f>
        <v>#REF!</v>
      </c>
      <c r="E1251" s="4" t="e">
        <f t="shared" si="20"/>
        <v>#REF!</v>
      </c>
      <c r="F1251" s="4" t="e" cm="1">
        <f t="array" ref="F1251">AVERAGE(B1251:B2758-$I$4/252)/_xlfn.STDEV.S(B1251:B2758-$I$4)</f>
        <v>#REF!</v>
      </c>
      <c r="G1251" s="4"/>
      <c r="H1251" s="4"/>
      <c r="I1251" s="4"/>
      <c r="J1251" s="4"/>
    </row>
    <row r="1252" spans="1:10" x14ac:dyDescent="0.2">
      <c r="A1252" t="e">
        <f>LEFT(#REF!,10)</f>
        <v>#REF!</v>
      </c>
      <c r="B1252" s="4" t="e">
        <f>(#REF!-#REF!)/#REF!</f>
        <v>#REF!</v>
      </c>
      <c r="C1252" s="4" t="e">
        <f>(#REF!-#REF!)/#REF!</f>
        <v>#REF!</v>
      </c>
      <c r="D1252" s="4" t="e">
        <f>LN(#REF!/#REF!)</f>
        <v>#REF!</v>
      </c>
      <c r="E1252" s="4" t="e">
        <f t="shared" si="20"/>
        <v>#REF!</v>
      </c>
      <c r="F1252" s="4" t="e" cm="1">
        <f t="array" ref="F1252">AVERAGE(B1252:B2759-$I$4/252)/_xlfn.STDEV.S(B1252:B2759-$I$4)</f>
        <v>#REF!</v>
      </c>
      <c r="G1252" s="4"/>
      <c r="H1252" s="4"/>
      <c r="I1252" s="4"/>
      <c r="J1252" s="4"/>
    </row>
    <row r="1253" spans="1:10" x14ac:dyDescent="0.2">
      <c r="A1253" t="e">
        <f>LEFT(#REF!,10)</f>
        <v>#REF!</v>
      </c>
      <c r="B1253" s="4" t="e">
        <f>(#REF!-#REF!)/#REF!</f>
        <v>#REF!</v>
      </c>
      <c r="C1253" s="4" t="e">
        <f>(#REF!-#REF!)/#REF!</f>
        <v>#REF!</v>
      </c>
      <c r="D1253" s="4" t="e">
        <f>LN(#REF!/#REF!)</f>
        <v>#REF!</v>
      </c>
      <c r="E1253" s="4" t="e">
        <f t="shared" si="20"/>
        <v>#REF!</v>
      </c>
      <c r="F1253" s="4" t="e" cm="1">
        <f t="array" ref="F1253">AVERAGE(B1253:B2760-$I$4/252)/_xlfn.STDEV.S(B1253:B2760-$I$4)</f>
        <v>#REF!</v>
      </c>
      <c r="G1253" s="4"/>
      <c r="H1253" s="4"/>
      <c r="I1253" s="4"/>
      <c r="J1253" s="4"/>
    </row>
    <row r="1254" spans="1:10" x14ac:dyDescent="0.2">
      <c r="A1254" t="e">
        <f>LEFT(#REF!,10)</f>
        <v>#REF!</v>
      </c>
      <c r="B1254" s="4" t="e">
        <f>(#REF!-#REF!)/#REF!</f>
        <v>#REF!</v>
      </c>
      <c r="C1254" s="4" t="e">
        <f>(#REF!-#REF!)/#REF!</f>
        <v>#REF!</v>
      </c>
      <c r="D1254" s="4" t="e">
        <f>LN(#REF!/#REF!)</f>
        <v>#REF!</v>
      </c>
      <c r="E1254" s="4" t="e">
        <f t="shared" si="20"/>
        <v>#REF!</v>
      </c>
      <c r="F1254" s="4" t="e" cm="1">
        <f t="array" ref="F1254">AVERAGE(B1254:B2761-$I$4/252)/_xlfn.STDEV.S(B1254:B2761-$I$4)</f>
        <v>#REF!</v>
      </c>
      <c r="G1254" s="4"/>
      <c r="H1254" s="4"/>
      <c r="I1254" s="4"/>
      <c r="J1254" s="4"/>
    </row>
    <row r="1255" spans="1:10" x14ac:dyDescent="0.2">
      <c r="A1255" t="e">
        <f>LEFT(#REF!,10)</f>
        <v>#REF!</v>
      </c>
      <c r="B1255" s="4" t="e">
        <f>(#REF!-#REF!)/#REF!</f>
        <v>#REF!</v>
      </c>
      <c r="C1255" s="4" t="e">
        <f>(#REF!-#REF!)/#REF!</f>
        <v>#REF!</v>
      </c>
      <c r="D1255" s="4" t="e">
        <f>LN(#REF!/#REF!)</f>
        <v>#REF!</v>
      </c>
      <c r="E1255" s="4" t="e">
        <f t="shared" si="20"/>
        <v>#REF!</v>
      </c>
      <c r="F1255" s="4" t="e" cm="1">
        <f t="array" ref="F1255">AVERAGE(B1255:B2762-$I$4/252)/_xlfn.STDEV.S(B1255:B2762-$I$4)</f>
        <v>#REF!</v>
      </c>
      <c r="G1255" s="4"/>
      <c r="H1255" s="4"/>
      <c r="I1255" s="4"/>
      <c r="J1255" s="4"/>
    </row>
    <row r="1256" spans="1:10" x14ac:dyDescent="0.2">
      <c r="A1256" t="e">
        <f>LEFT(#REF!,10)</f>
        <v>#REF!</v>
      </c>
      <c r="B1256" s="4" t="e">
        <f>(#REF!-#REF!)/#REF!</f>
        <v>#REF!</v>
      </c>
      <c r="C1256" s="4" t="e">
        <f>(#REF!-#REF!)/#REF!</f>
        <v>#REF!</v>
      </c>
      <c r="D1256" s="4" t="e">
        <f>LN(#REF!/#REF!)</f>
        <v>#REF!</v>
      </c>
      <c r="E1256" s="4" t="e">
        <f t="shared" si="20"/>
        <v>#REF!</v>
      </c>
      <c r="F1256" s="4" t="e" cm="1">
        <f t="array" ref="F1256">AVERAGE(B1256:B2763-$I$4/252)/_xlfn.STDEV.S(B1256:B2763-$I$4)</f>
        <v>#REF!</v>
      </c>
      <c r="G1256" s="4"/>
      <c r="H1256" s="4"/>
      <c r="I1256" s="4"/>
      <c r="J1256" s="4"/>
    </row>
    <row r="1257" spans="1:10" x14ac:dyDescent="0.2">
      <c r="A1257" t="e">
        <f>LEFT(#REF!,10)</f>
        <v>#REF!</v>
      </c>
      <c r="B1257" s="4" t="e">
        <f>(#REF!-#REF!)/#REF!</f>
        <v>#REF!</v>
      </c>
      <c r="C1257" s="4" t="e">
        <f>(#REF!-#REF!)/#REF!</f>
        <v>#REF!</v>
      </c>
      <c r="D1257" s="4" t="e">
        <f>LN(#REF!/#REF!)</f>
        <v>#REF!</v>
      </c>
      <c r="E1257" s="4" t="e">
        <f t="shared" si="20"/>
        <v>#REF!</v>
      </c>
      <c r="F1257" s="4" t="e" cm="1">
        <f t="array" ref="F1257">AVERAGE(B1257:B2764-$I$4/252)/_xlfn.STDEV.S(B1257:B2764-$I$4)</f>
        <v>#REF!</v>
      </c>
      <c r="G1257" s="4"/>
      <c r="H1257" s="4"/>
      <c r="I1257" s="4"/>
      <c r="J1257" s="4"/>
    </row>
    <row r="1258" spans="1:10" x14ac:dyDescent="0.2">
      <c r="A1258" t="e">
        <f>LEFT(#REF!,10)</f>
        <v>#REF!</v>
      </c>
      <c r="B1258" s="4" t="e">
        <f>(#REF!-#REF!)/#REF!</f>
        <v>#REF!</v>
      </c>
      <c r="C1258" s="4" t="e">
        <f>(#REF!-#REF!)/#REF!</f>
        <v>#REF!</v>
      </c>
      <c r="D1258" s="4" t="e">
        <f>LN(#REF!/#REF!)</f>
        <v>#REF!</v>
      </c>
      <c r="E1258" s="4" t="e">
        <f t="shared" si="20"/>
        <v>#REF!</v>
      </c>
      <c r="F1258" s="4" t="e" cm="1">
        <f t="array" ref="F1258">AVERAGE(B1258:B2765-$I$4/252)/_xlfn.STDEV.S(B1258:B2765-$I$4)</f>
        <v>#REF!</v>
      </c>
      <c r="G1258" s="4"/>
      <c r="H1258" s="4"/>
      <c r="I1258" s="4"/>
      <c r="J1258" s="4"/>
    </row>
    <row r="1259" spans="1:10" x14ac:dyDescent="0.2">
      <c r="A1259" t="e">
        <f>LEFT(#REF!,10)</f>
        <v>#REF!</v>
      </c>
      <c r="B1259" s="4" t="e">
        <f>(#REF!-#REF!)/#REF!</f>
        <v>#REF!</v>
      </c>
      <c r="C1259" s="4" t="e">
        <f>(#REF!-#REF!)/#REF!</f>
        <v>#REF!</v>
      </c>
      <c r="D1259" s="4" t="e">
        <f>LN(#REF!/#REF!)</f>
        <v>#REF!</v>
      </c>
      <c r="E1259" s="4" t="e">
        <f t="shared" si="20"/>
        <v>#REF!</v>
      </c>
      <c r="F1259" s="4" t="e" cm="1">
        <f t="array" ref="F1259">AVERAGE(B1259:B2766-$I$4/252)/_xlfn.STDEV.S(B1259:B2766-$I$4)</f>
        <v>#REF!</v>
      </c>
      <c r="G1259" s="4"/>
      <c r="H1259" s="4"/>
      <c r="I1259" s="4"/>
      <c r="J1259" s="4"/>
    </row>
    <row r="1260" spans="1:10" x14ac:dyDescent="0.2">
      <c r="A1260" t="e">
        <f>LEFT(#REF!,10)</f>
        <v>#REF!</v>
      </c>
      <c r="B1260" s="4" t="e">
        <f>(#REF!-#REF!)/#REF!</f>
        <v>#REF!</v>
      </c>
      <c r="C1260" s="4" t="e">
        <f>(#REF!-#REF!)/#REF!</f>
        <v>#REF!</v>
      </c>
      <c r="D1260" s="4" t="e">
        <f>LN(#REF!/#REF!)</f>
        <v>#REF!</v>
      </c>
      <c r="E1260" s="4" t="e">
        <f t="shared" si="20"/>
        <v>#REF!</v>
      </c>
      <c r="F1260" s="4" t="e" cm="1">
        <f t="array" ref="F1260">AVERAGE(B1260:B2767-$I$4/252)/_xlfn.STDEV.S(B1260:B2767-$I$4)</f>
        <v>#REF!</v>
      </c>
      <c r="G1260" s="4"/>
      <c r="H1260" s="4"/>
      <c r="I1260" s="4"/>
      <c r="J1260" s="4"/>
    </row>
    <row r="1261" spans="1:10" x14ac:dyDescent="0.2">
      <c r="A1261" t="e">
        <f>LEFT(#REF!,10)</f>
        <v>#REF!</v>
      </c>
      <c r="B1261" s="4" t="e">
        <f>(#REF!-#REF!)/#REF!</f>
        <v>#REF!</v>
      </c>
      <c r="C1261" s="4" t="e">
        <f>(#REF!-#REF!)/#REF!</f>
        <v>#REF!</v>
      </c>
      <c r="D1261" s="4" t="e">
        <f>LN(#REF!/#REF!)</f>
        <v>#REF!</v>
      </c>
      <c r="E1261" s="4" t="e">
        <f t="shared" si="20"/>
        <v>#REF!</v>
      </c>
      <c r="F1261" s="4" t="e" cm="1">
        <f t="array" ref="F1261">AVERAGE(B1261:B2768-$I$4/252)/_xlfn.STDEV.S(B1261:B2768-$I$4)</f>
        <v>#REF!</v>
      </c>
      <c r="G1261" s="6" t="e">
        <f>M20-($I$4+M12*(N20-$I$4))</f>
        <v>#REF!</v>
      </c>
      <c r="H1261" s="6" t="e">
        <f>_xlfn.COVARIANCE.S(B1261:B1511,C1261:C1511)/_xlfn.VAR.S(C1261:C1511)</f>
        <v>#REF!</v>
      </c>
      <c r="I1261" s="4"/>
      <c r="J1261" s="6" t="e">
        <f>(M20-$I$4)/M12</f>
        <v>#REF!</v>
      </c>
    </row>
    <row r="1262" spans="1:10" x14ac:dyDescent="0.2">
      <c r="A1262" t="e">
        <f>LEFT(#REF!,10)</f>
        <v>#REF!</v>
      </c>
      <c r="B1262" s="4" t="e">
        <f>(#REF!-#REF!)/#REF!</f>
        <v>#REF!</v>
      </c>
      <c r="C1262" s="4" t="e">
        <f>(#REF!-#REF!)/#REF!</f>
        <v>#REF!</v>
      </c>
      <c r="D1262" s="4" t="e">
        <f>LN(#REF!/#REF!)</f>
        <v>#REF!</v>
      </c>
      <c r="E1262" s="4" t="e">
        <f t="shared" si="20"/>
        <v>#REF!</v>
      </c>
      <c r="F1262" s="4" t="e" cm="1">
        <f t="array" ref="F1262">AVERAGE(B1262:B2769-$I$4/252)/_xlfn.STDEV.S(B1262:B2769-$I$4)</f>
        <v>#REF!</v>
      </c>
      <c r="G1262" s="4"/>
      <c r="H1262" s="4"/>
      <c r="I1262" s="4"/>
      <c r="J1262" s="4"/>
    </row>
    <row r="1263" spans="1:10" x14ac:dyDescent="0.2">
      <c r="A1263" t="e">
        <f>LEFT(#REF!,10)</f>
        <v>#REF!</v>
      </c>
      <c r="B1263" s="4" t="e">
        <f>(#REF!-#REF!)/#REF!</f>
        <v>#REF!</v>
      </c>
      <c r="C1263" s="4" t="e">
        <f>(#REF!-#REF!)/#REF!</f>
        <v>#REF!</v>
      </c>
      <c r="D1263" s="4" t="e">
        <f>LN(#REF!/#REF!)</f>
        <v>#REF!</v>
      </c>
      <c r="E1263" s="4" t="e">
        <f t="shared" si="20"/>
        <v>#REF!</v>
      </c>
      <c r="F1263" s="4" t="e" cm="1">
        <f t="array" ref="F1263">AVERAGE(B1263:B2770-$I$4/252)/_xlfn.STDEV.S(B1263:B2770-$I$4)</f>
        <v>#REF!</v>
      </c>
      <c r="G1263" s="4"/>
      <c r="H1263" s="4"/>
      <c r="I1263" s="4"/>
      <c r="J1263" s="4"/>
    </row>
    <row r="1264" spans="1:10" x14ac:dyDescent="0.2">
      <c r="A1264" t="e">
        <f>LEFT(#REF!,10)</f>
        <v>#REF!</v>
      </c>
      <c r="B1264" s="4" t="e">
        <f>(#REF!-#REF!)/#REF!</f>
        <v>#REF!</v>
      </c>
      <c r="C1264" s="4" t="e">
        <f>(#REF!-#REF!)/#REF!</f>
        <v>#REF!</v>
      </c>
      <c r="D1264" s="4" t="e">
        <f>LN(#REF!/#REF!)</f>
        <v>#REF!</v>
      </c>
      <c r="E1264" s="4" t="e">
        <f t="shared" si="20"/>
        <v>#REF!</v>
      </c>
      <c r="F1264" s="4" t="e" cm="1">
        <f t="array" ref="F1264">AVERAGE(B1264:B2771-$I$4/252)/_xlfn.STDEV.S(B1264:B2771-$I$4)</f>
        <v>#REF!</v>
      </c>
      <c r="G1264" s="4"/>
      <c r="H1264" s="4"/>
      <c r="I1264" s="4"/>
      <c r="J1264" s="4"/>
    </row>
    <row r="1265" spans="1:10" x14ac:dyDescent="0.2">
      <c r="A1265" t="e">
        <f>LEFT(#REF!,10)</f>
        <v>#REF!</v>
      </c>
      <c r="B1265" s="4" t="e">
        <f>(#REF!-#REF!)/#REF!</f>
        <v>#REF!</v>
      </c>
      <c r="C1265" s="4" t="e">
        <f>(#REF!-#REF!)/#REF!</f>
        <v>#REF!</v>
      </c>
      <c r="D1265" s="4" t="e">
        <f>LN(#REF!/#REF!)</f>
        <v>#REF!</v>
      </c>
      <c r="E1265" s="4" t="e">
        <f t="shared" si="20"/>
        <v>#REF!</v>
      </c>
      <c r="F1265" s="4" t="e" cm="1">
        <f t="array" ref="F1265">AVERAGE(B1265:B2772-$I$4/252)/_xlfn.STDEV.S(B1265:B2772-$I$4)</f>
        <v>#REF!</v>
      </c>
      <c r="G1265" s="4"/>
      <c r="H1265" s="4"/>
      <c r="I1265" s="4"/>
      <c r="J1265" s="4"/>
    </row>
    <row r="1266" spans="1:10" x14ac:dyDescent="0.2">
      <c r="A1266" t="e">
        <f>LEFT(#REF!,10)</f>
        <v>#REF!</v>
      </c>
      <c r="B1266" s="4" t="e">
        <f>(#REF!-#REF!)/#REF!</f>
        <v>#REF!</v>
      </c>
      <c r="C1266" s="4" t="e">
        <f>(#REF!-#REF!)/#REF!</f>
        <v>#REF!</v>
      </c>
      <c r="D1266" s="4" t="e">
        <f>LN(#REF!/#REF!)</f>
        <v>#REF!</v>
      </c>
      <c r="E1266" s="4" t="e">
        <f t="shared" si="20"/>
        <v>#REF!</v>
      </c>
      <c r="F1266" s="4" t="e" cm="1">
        <f t="array" ref="F1266">AVERAGE(B1266:B2773-$I$4/252)/_xlfn.STDEV.S(B1266:B2773-$I$4)</f>
        <v>#REF!</v>
      </c>
      <c r="G1266" s="4"/>
      <c r="H1266" s="4"/>
      <c r="I1266" s="4"/>
      <c r="J1266" s="4"/>
    </row>
    <row r="1267" spans="1:10" x14ac:dyDescent="0.2">
      <c r="A1267" t="e">
        <f>LEFT(#REF!,10)</f>
        <v>#REF!</v>
      </c>
      <c r="B1267" s="4" t="e">
        <f>(#REF!-#REF!)/#REF!</f>
        <v>#REF!</v>
      </c>
      <c r="C1267" s="4" t="e">
        <f>(#REF!-#REF!)/#REF!</f>
        <v>#REF!</v>
      </c>
      <c r="D1267" s="4" t="e">
        <f>LN(#REF!/#REF!)</f>
        <v>#REF!</v>
      </c>
      <c r="E1267" s="4" t="e">
        <f t="shared" si="20"/>
        <v>#REF!</v>
      </c>
      <c r="F1267" s="4" t="e" cm="1">
        <f t="array" ref="F1267">AVERAGE(B1267:B2774-$I$4/252)/_xlfn.STDEV.S(B1267:B2774-$I$4)</f>
        <v>#REF!</v>
      </c>
      <c r="G1267" s="4"/>
      <c r="H1267" s="4"/>
      <c r="I1267" s="4"/>
      <c r="J1267" s="4"/>
    </row>
    <row r="1268" spans="1:10" x14ac:dyDescent="0.2">
      <c r="A1268" t="e">
        <f>LEFT(#REF!,10)</f>
        <v>#REF!</v>
      </c>
      <c r="B1268" s="4" t="e">
        <f>(#REF!-#REF!)/#REF!</f>
        <v>#REF!</v>
      </c>
      <c r="C1268" s="4" t="e">
        <f>(#REF!-#REF!)/#REF!</f>
        <v>#REF!</v>
      </c>
      <c r="D1268" s="4" t="e">
        <f>LN(#REF!/#REF!)</f>
        <v>#REF!</v>
      </c>
      <c r="E1268" s="4" t="e">
        <f t="shared" si="20"/>
        <v>#REF!</v>
      </c>
      <c r="F1268" s="4" t="e" cm="1">
        <f t="array" ref="F1268">AVERAGE(B1268:B2775-$I$4/252)/_xlfn.STDEV.S(B1268:B2775-$I$4)</f>
        <v>#REF!</v>
      </c>
      <c r="G1268" s="4"/>
      <c r="H1268" s="4"/>
      <c r="I1268" s="4"/>
      <c r="J1268" s="4"/>
    </row>
    <row r="1269" spans="1:10" x14ac:dyDescent="0.2">
      <c r="A1269" t="e">
        <f>LEFT(#REF!,10)</f>
        <v>#REF!</v>
      </c>
      <c r="B1269" s="4" t="e">
        <f>(#REF!-#REF!)/#REF!</f>
        <v>#REF!</v>
      </c>
      <c r="C1269" s="4" t="e">
        <f>(#REF!-#REF!)/#REF!</f>
        <v>#REF!</v>
      </c>
      <c r="D1269" s="4" t="e">
        <f>LN(#REF!/#REF!)</f>
        <v>#REF!</v>
      </c>
      <c r="E1269" s="4" t="e">
        <f t="shared" si="20"/>
        <v>#REF!</v>
      </c>
      <c r="F1269" s="4" t="e" cm="1">
        <f t="array" ref="F1269">AVERAGE(B1269:B2776-$I$4/252)/_xlfn.STDEV.S(B1269:B2776-$I$4)</f>
        <v>#REF!</v>
      </c>
      <c r="G1269" s="4"/>
      <c r="H1269" s="4"/>
      <c r="I1269" s="4"/>
      <c r="J1269" s="4"/>
    </row>
    <row r="1270" spans="1:10" x14ac:dyDescent="0.2">
      <c r="A1270" t="e">
        <f>LEFT(#REF!,10)</f>
        <v>#REF!</v>
      </c>
      <c r="B1270" s="4" t="e">
        <f>(#REF!-#REF!)/#REF!</f>
        <v>#REF!</v>
      </c>
      <c r="C1270" s="4" t="e">
        <f>(#REF!-#REF!)/#REF!</f>
        <v>#REF!</v>
      </c>
      <c r="D1270" s="4" t="e">
        <f>LN(#REF!/#REF!)</f>
        <v>#REF!</v>
      </c>
      <c r="E1270" s="4" t="e">
        <f t="shared" si="20"/>
        <v>#REF!</v>
      </c>
      <c r="F1270" s="4" t="e" cm="1">
        <f t="array" ref="F1270">AVERAGE(B1270:B2777-$I$4/252)/_xlfn.STDEV.S(B1270:B2777-$I$4)</f>
        <v>#REF!</v>
      </c>
      <c r="G1270" s="4"/>
      <c r="H1270" s="4"/>
      <c r="I1270" s="4"/>
      <c r="J1270" s="4"/>
    </row>
    <row r="1271" spans="1:10" x14ac:dyDescent="0.2">
      <c r="A1271" t="e">
        <f>LEFT(#REF!,10)</f>
        <v>#REF!</v>
      </c>
      <c r="B1271" s="4" t="e">
        <f>(#REF!-#REF!)/#REF!</f>
        <v>#REF!</v>
      </c>
      <c r="C1271" s="4" t="e">
        <f>(#REF!-#REF!)/#REF!</f>
        <v>#REF!</v>
      </c>
      <c r="D1271" s="4" t="e">
        <f>LN(#REF!/#REF!)</f>
        <v>#REF!</v>
      </c>
      <c r="E1271" s="4" t="e">
        <f t="shared" si="20"/>
        <v>#REF!</v>
      </c>
      <c r="F1271" s="4" t="e" cm="1">
        <f t="array" ref="F1271">AVERAGE(B1271:B2778-$I$4/252)/_xlfn.STDEV.S(B1271:B2778-$I$4)</f>
        <v>#REF!</v>
      </c>
      <c r="G1271" s="4"/>
      <c r="H1271" s="4"/>
      <c r="I1271" s="4"/>
      <c r="J1271" s="4"/>
    </row>
    <row r="1272" spans="1:10" x14ac:dyDescent="0.2">
      <c r="A1272" t="e">
        <f>LEFT(#REF!,10)</f>
        <v>#REF!</v>
      </c>
      <c r="B1272" s="4" t="e">
        <f>(#REF!-#REF!)/#REF!</f>
        <v>#REF!</v>
      </c>
      <c r="C1272" s="4" t="e">
        <f>(#REF!-#REF!)/#REF!</f>
        <v>#REF!</v>
      </c>
      <c r="D1272" s="4" t="e">
        <f>LN(#REF!/#REF!)</f>
        <v>#REF!</v>
      </c>
      <c r="E1272" s="4" t="e">
        <f t="shared" si="20"/>
        <v>#REF!</v>
      </c>
      <c r="F1272" s="4" t="e" cm="1">
        <f t="array" ref="F1272">AVERAGE(B1272:B2779-$I$4/252)/_xlfn.STDEV.S(B1272:B2779-$I$4)</f>
        <v>#REF!</v>
      </c>
      <c r="G1272" s="4"/>
      <c r="H1272" s="4"/>
      <c r="I1272" s="4"/>
      <c r="J1272" s="4"/>
    </row>
    <row r="1273" spans="1:10" x14ac:dyDescent="0.2">
      <c r="A1273" t="e">
        <f>LEFT(#REF!,10)</f>
        <v>#REF!</v>
      </c>
      <c r="B1273" s="4" t="e">
        <f>(#REF!-#REF!)/#REF!</f>
        <v>#REF!</v>
      </c>
      <c r="C1273" s="4" t="e">
        <f>(#REF!-#REF!)/#REF!</f>
        <v>#REF!</v>
      </c>
      <c r="D1273" s="4" t="e">
        <f>LN(#REF!/#REF!)</f>
        <v>#REF!</v>
      </c>
      <c r="E1273" s="4" t="e">
        <f t="shared" si="20"/>
        <v>#REF!</v>
      </c>
      <c r="F1273" s="4" t="e" cm="1">
        <f t="array" ref="F1273">AVERAGE(B1273:B2780-$I$4/252)/_xlfn.STDEV.S(B1273:B2780-$I$4)</f>
        <v>#REF!</v>
      </c>
      <c r="G1273" s="4"/>
      <c r="H1273" s="4"/>
      <c r="I1273" s="4"/>
      <c r="J1273" s="4"/>
    </row>
    <row r="1274" spans="1:10" x14ac:dyDescent="0.2">
      <c r="A1274" t="e">
        <f>LEFT(#REF!,10)</f>
        <v>#REF!</v>
      </c>
      <c r="B1274" s="4" t="e">
        <f>(#REF!-#REF!)/#REF!</f>
        <v>#REF!</v>
      </c>
      <c r="C1274" s="4" t="e">
        <f>(#REF!-#REF!)/#REF!</f>
        <v>#REF!</v>
      </c>
      <c r="D1274" s="4" t="e">
        <f>LN(#REF!/#REF!)</f>
        <v>#REF!</v>
      </c>
      <c r="E1274" s="4" t="e">
        <f t="shared" si="20"/>
        <v>#REF!</v>
      </c>
      <c r="F1274" s="4" t="e" cm="1">
        <f t="array" ref="F1274">AVERAGE(B1274:B2781-$I$4/252)/_xlfn.STDEV.S(B1274:B2781-$I$4)</f>
        <v>#REF!</v>
      </c>
      <c r="G1274" s="4"/>
      <c r="H1274" s="4"/>
      <c r="I1274" s="4"/>
      <c r="J1274" s="4"/>
    </row>
    <row r="1275" spans="1:10" x14ac:dyDescent="0.2">
      <c r="A1275" t="e">
        <f>LEFT(#REF!,10)</f>
        <v>#REF!</v>
      </c>
      <c r="B1275" s="4" t="e">
        <f>(#REF!-#REF!)/#REF!</f>
        <v>#REF!</v>
      </c>
      <c r="C1275" s="4" t="e">
        <f>(#REF!-#REF!)/#REF!</f>
        <v>#REF!</v>
      </c>
      <c r="D1275" s="4" t="e">
        <f>LN(#REF!/#REF!)</f>
        <v>#REF!</v>
      </c>
      <c r="E1275" s="4" t="e">
        <f t="shared" si="20"/>
        <v>#REF!</v>
      </c>
      <c r="F1275" s="4" t="e" cm="1">
        <f t="array" ref="F1275">AVERAGE(B1275:B2782-$I$4/252)/_xlfn.STDEV.S(B1275:B2782-$I$4)</f>
        <v>#REF!</v>
      </c>
      <c r="G1275" s="4"/>
      <c r="H1275" s="4"/>
      <c r="I1275" s="4"/>
      <c r="J1275" s="4"/>
    </row>
    <row r="1276" spans="1:10" x14ac:dyDescent="0.2">
      <c r="A1276" t="e">
        <f>LEFT(#REF!,10)</f>
        <v>#REF!</v>
      </c>
      <c r="B1276" s="4" t="e">
        <f>(#REF!-#REF!)/#REF!</f>
        <v>#REF!</v>
      </c>
      <c r="C1276" s="4" t="e">
        <f>(#REF!-#REF!)/#REF!</f>
        <v>#REF!</v>
      </c>
      <c r="D1276" s="4" t="e">
        <f>LN(#REF!/#REF!)</f>
        <v>#REF!</v>
      </c>
      <c r="E1276" s="4" t="e">
        <f t="shared" si="20"/>
        <v>#REF!</v>
      </c>
      <c r="F1276" s="4" t="e" cm="1">
        <f t="array" ref="F1276">AVERAGE(B1276:B2783-$I$4/252)/_xlfn.STDEV.S(B1276:B2783-$I$4)</f>
        <v>#REF!</v>
      </c>
      <c r="G1276" s="4"/>
      <c r="H1276" s="4"/>
      <c r="I1276" s="4"/>
      <c r="J1276" s="4"/>
    </row>
    <row r="1277" spans="1:10" x14ac:dyDescent="0.2">
      <c r="A1277" t="e">
        <f>LEFT(#REF!,10)</f>
        <v>#REF!</v>
      </c>
      <c r="B1277" s="4" t="e">
        <f>(#REF!-#REF!)/#REF!</f>
        <v>#REF!</v>
      </c>
      <c r="C1277" s="4" t="e">
        <f>(#REF!-#REF!)/#REF!</f>
        <v>#REF!</v>
      </c>
      <c r="D1277" s="4" t="e">
        <f>LN(#REF!/#REF!)</f>
        <v>#REF!</v>
      </c>
      <c r="E1277" s="4" t="e">
        <f t="shared" si="20"/>
        <v>#REF!</v>
      </c>
      <c r="F1277" s="4" t="e" cm="1">
        <f t="array" ref="F1277">AVERAGE(B1277:B2784-$I$4/252)/_xlfn.STDEV.S(B1277:B2784-$I$4)</f>
        <v>#REF!</v>
      </c>
      <c r="G1277" s="4"/>
      <c r="H1277" s="4"/>
      <c r="I1277" s="4"/>
      <c r="J1277" s="4"/>
    </row>
    <row r="1278" spans="1:10" x14ac:dyDescent="0.2">
      <c r="A1278" t="e">
        <f>LEFT(#REF!,10)</f>
        <v>#REF!</v>
      </c>
      <c r="B1278" s="4" t="e">
        <f>(#REF!-#REF!)/#REF!</f>
        <v>#REF!</v>
      </c>
      <c r="C1278" s="4" t="e">
        <f>(#REF!-#REF!)/#REF!</f>
        <v>#REF!</v>
      </c>
      <c r="D1278" s="4" t="e">
        <f>LN(#REF!/#REF!)</f>
        <v>#REF!</v>
      </c>
      <c r="E1278" s="4" t="e">
        <f t="shared" si="20"/>
        <v>#REF!</v>
      </c>
      <c r="F1278" s="4" t="e" cm="1">
        <f t="array" ref="F1278">AVERAGE(B1278:B2785-$I$4/252)/_xlfn.STDEV.S(B1278:B2785-$I$4)</f>
        <v>#REF!</v>
      </c>
      <c r="G1278" s="4"/>
      <c r="H1278" s="4"/>
      <c r="I1278" s="4"/>
      <c r="J1278" s="4"/>
    </row>
    <row r="1279" spans="1:10" x14ac:dyDescent="0.2">
      <c r="A1279" t="e">
        <f>LEFT(#REF!,10)</f>
        <v>#REF!</v>
      </c>
      <c r="B1279" s="4" t="e">
        <f>(#REF!-#REF!)/#REF!</f>
        <v>#REF!</v>
      </c>
      <c r="C1279" s="4" t="e">
        <f>(#REF!-#REF!)/#REF!</f>
        <v>#REF!</v>
      </c>
      <c r="D1279" s="4" t="e">
        <f>LN(#REF!/#REF!)</f>
        <v>#REF!</v>
      </c>
      <c r="E1279" s="4" t="e">
        <f t="shared" si="20"/>
        <v>#REF!</v>
      </c>
      <c r="F1279" s="4" t="e" cm="1">
        <f t="array" ref="F1279">AVERAGE(B1279:B2786-$I$4/252)/_xlfn.STDEV.S(B1279:B2786-$I$4)</f>
        <v>#REF!</v>
      </c>
      <c r="G1279" s="4"/>
      <c r="H1279" s="4"/>
      <c r="I1279" s="4"/>
      <c r="J1279" s="4"/>
    </row>
    <row r="1280" spans="1:10" x14ac:dyDescent="0.2">
      <c r="A1280" t="e">
        <f>LEFT(#REF!,10)</f>
        <v>#REF!</v>
      </c>
      <c r="B1280" s="4" t="e">
        <f>(#REF!-#REF!)/#REF!</f>
        <v>#REF!</v>
      </c>
      <c r="C1280" s="4" t="e">
        <f>(#REF!-#REF!)/#REF!</f>
        <v>#REF!</v>
      </c>
      <c r="D1280" s="4" t="e">
        <f>LN(#REF!/#REF!)</f>
        <v>#REF!</v>
      </c>
      <c r="E1280" s="4" t="e">
        <f t="shared" si="20"/>
        <v>#REF!</v>
      </c>
      <c r="F1280" s="4" t="e" cm="1">
        <f t="array" ref="F1280">AVERAGE(B1280:B2787-$I$4/252)/_xlfn.STDEV.S(B1280:B2787-$I$4)</f>
        <v>#REF!</v>
      </c>
      <c r="G1280" s="4"/>
      <c r="H1280" s="4"/>
      <c r="I1280" s="4"/>
      <c r="J1280" s="4"/>
    </row>
    <row r="1281" spans="1:10" x14ac:dyDescent="0.2">
      <c r="A1281" t="e">
        <f>LEFT(#REF!,10)</f>
        <v>#REF!</v>
      </c>
      <c r="B1281" s="4" t="e">
        <f>(#REF!-#REF!)/#REF!</f>
        <v>#REF!</v>
      </c>
      <c r="C1281" s="4" t="e">
        <f>(#REF!-#REF!)/#REF!</f>
        <v>#REF!</v>
      </c>
      <c r="D1281" s="4" t="e">
        <f>LN(#REF!/#REF!)</f>
        <v>#REF!</v>
      </c>
      <c r="E1281" s="4" t="e">
        <f t="shared" si="20"/>
        <v>#REF!</v>
      </c>
      <c r="F1281" s="4" t="e" cm="1">
        <f t="array" ref="F1281">AVERAGE(B1281:B2788-$I$4/252)/_xlfn.STDEV.S(B1281:B2788-$I$4)</f>
        <v>#REF!</v>
      </c>
      <c r="G1281" s="4"/>
      <c r="H1281" s="4"/>
      <c r="I1281" s="4"/>
      <c r="J1281" s="4"/>
    </row>
    <row r="1282" spans="1:10" x14ac:dyDescent="0.2">
      <c r="A1282" t="e">
        <f>LEFT(#REF!,10)</f>
        <v>#REF!</v>
      </c>
      <c r="B1282" s="4" t="e">
        <f>(#REF!-#REF!)/#REF!</f>
        <v>#REF!</v>
      </c>
      <c r="C1282" s="4" t="e">
        <f>(#REF!-#REF!)/#REF!</f>
        <v>#REF!</v>
      </c>
      <c r="D1282" s="4" t="e">
        <f>LN(#REF!/#REF!)</f>
        <v>#REF!</v>
      </c>
      <c r="E1282" s="4" t="e">
        <f t="shared" si="20"/>
        <v>#REF!</v>
      </c>
      <c r="F1282" s="4" t="e" cm="1">
        <f t="array" ref="F1282">AVERAGE(B1282:B2789-$I$4/252)/_xlfn.STDEV.S(B1282:B2789-$I$4)</f>
        <v>#REF!</v>
      </c>
      <c r="G1282" s="4"/>
      <c r="H1282" s="4"/>
      <c r="I1282" s="4"/>
      <c r="J1282" s="4"/>
    </row>
    <row r="1283" spans="1:10" x14ac:dyDescent="0.2">
      <c r="A1283" t="e">
        <f>LEFT(#REF!,10)</f>
        <v>#REF!</v>
      </c>
      <c r="B1283" s="4" t="e">
        <f>(#REF!-#REF!)/#REF!</f>
        <v>#REF!</v>
      </c>
      <c r="C1283" s="4" t="e">
        <f>(#REF!-#REF!)/#REF!</f>
        <v>#REF!</v>
      </c>
      <c r="D1283" s="4" t="e">
        <f>LN(#REF!/#REF!)</f>
        <v>#REF!</v>
      </c>
      <c r="E1283" s="4" t="e">
        <f t="shared" si="20"/>
        <v>#REF!</v>
      </c>
      <c r="F1283" s="4" t="e" cm="1">
        <f t="array" ref="F1283">AVERAGE(B1283:B2790-$I$4/252)/_xlfn.STDEV.S(B1283:B2790-$I$4)</f>
        <v>#REF!</v>
      </c>
      <c r="G1283" s="4"/>
      <c r="H1283" s="4"/>
      <c r="I1283" s="4"/>
      <c r="J1283" s="4"/>
    </row>
    <row r="1284" spans="1:10" x14ac:dyDescent="0.2">
      <c r="A1284" t="e">
        <f>LEFT(#REF!,10)</f>
        <v>#REF!</v>
      </c>
      <c r="B1284" s="4" t="e">
        <f>(#REF!-#REF!)/#REF!</f>
        <v>#REF!</v>
      </c>
      <c r="C1284" s="4" t="e">
        <f>(#REF!-#REF!)/#REF!</f>
        <v>#REF!</v>
      </c>
      <c r="D1284" s="4" t="e">
        <f>LN(#REF!/#REF!)</f>
        <v>#REF!</v>
      </c>
      <c r="E1284" s="4" t="e">
        <f t="shared" si="20"/>
        <v>#REF!</v>
      </c>
      <c r="F1284" s="4" t="e" cm="1">
        <f t="array" ref="F1284">AVERAGE(B1284:B2791-$I$4/252)/_xlfn.STDEV.S(B1284:B2791-$I$4)</f>
        <v>#REF!</v>
      </c>
      <c r="G1284" s="4"/>
      <c r="H1284" s="4"/>
      <c r="I1284" s="4"/>
      <c r="J1284" s="4"/>
    </row>
    <row r="1285" spans="1:10" x14ac:dyDescent="0.2">
      <c r="A1285" t="e">
        <f>LEFT(#REF!,10)</f>
        <v>#REF!</v>
      </c>
      <c r="B1285" s="4" t="e">
        <f>(#REF!-#REF!)/#REF!</f>
        <v>#REF!</v>
      </c>
      <c r="C1285" s="4" t="e">
        <f>(#REF!-#REF!)/#REF!</f>
        <v>#REF!</v>
      </c>
      <c r="D1285" s="4" t="e">
        <f>LN(#REF!/#REF!)</f>
        <v>#REF!</v>
      </c>
      <c r="E1285" s="4" t="e">
        <f t="shared" ref="E1285:E1348" si="21">_xlfn.STDEV.S(D1285:D1304)</f>
        <v>#REF!</v>
      </c>
      <c r="F1285" s="4" t="e" cm="1">
        <f t="array" ref="F1285">AVERAGE(B1285:B2792-$I$4/252)/_xlfn.STDEV.S(B1285:B2792-$I$4)</f>
        <v>#REF!</v>
      </c>
      <c r="G1285" s="4"/>
      <c r="H1285" s="4"/>
      <c r="I1285" s="4"/>
      <c r="J1285" s="4"/>
    </row>
    <row r="1286" spans="1:10" x14ac:dyDescent="0.2">
      <c r="A1286" t="e">
        <f>LEFT(#REF!,10)</f>
        <v>#REF!</v>
      </c>
      <c r="B1286" s="4" t="e">
        <f>(#REF!-#REF!)/#REF!</f>
        <v>#REF!</v>
      </c>
      <c r="C1286" s="4" t="e">
        <f>(#REF!-#REF!)/#REF!</f>
        <v>#REF!</v>
      </c>
      <c r="D1286" s="4" t="e">
        <f>LN(#REF!/#REF!)</f>
        <v>#REF!</v>
      </c>
      <c r="E1286" s="4" t="e">
        <f t="shared" si="21"/>
        <v>#REF!</v>
      </c>
      <c r="F1286" s="4" t="e" cm="1">
        <f t="array" ref="F1286">AVERAGE(B1286:B2793-$I$4/252)/_xlfn.STDEV.S(B1286:B2793-$I$4)</f>
        <v>#REF!</v>
      </c>
      <c r="G1286" s="4"/>
      <c r="H1286" s="4"/>
      <c r="I1286" s="4"/>
      <c r="J1286" s="4"/>
    </row>
    <row r="1287" spans="1:10" x14ac:dyDescent="0.2">
      <c r="A1287" t="e">
        <f>LEFT(#REF!,10)</f>
        <v>#REF!</v>
      </c>
      <c r="B1287" s="4" t="e">
        <f>(#REF!-#REF!)/#REF!</f>
        <v>#REF!</v>
      </c>
      <c r="C1287" s="4" t="e">
        <f>(#REF!-#REF!)/#REF!</f>
        <v>#REF!</v>
      </c>
      <c r="D1287" s="4" t="e">
        <f>LN(#REF!/#REF!)</f>
        <v>#REF!</v>
      </c>
      <c r="E1287" s="4" t="e">
        <f t="shared" si="21"/>
        <v>#REF!</v>
      </c>
      <c r="F1287" s="4" t="e" cm="1">
        <f t="array" ref="F1287">AVERAGE(B1287:B2794-$I$4/252)/_xlfn.STDEV.S(B1287:B2794-$I$4)</f>
        <v>#REF!</v>
      </c>
      <c r="G1287" s="4"/>
      <c r="H1287" s="4"/>
      <c r="I1287" s="4"/>
      <c r="J1287" s="4"/>
    </row>
    <row r="1288" spans="1:10" x14ac:dyDescent="0.2">
      <c r="A1288" t="e">
        <f>LEFT(#REF!,10)</f>
        <v>#REF!</v>
      </c>
      <c r="B1288" s="4" t="e">
        <f>(#REF!-#REF!)/#REF!</f>
        <v>#REF!</v>
      </c>
      <c r="C1288" s="4" t="e">
        <f>(#REF!-#REF!)/#REF!</f>
        <v>#REF!</v>
      </c>
      <c r="D1288" s="4" t="e">
        <f>LN(#REF!/#REF!)</f>
        <v>#REF!</v>
      </c>
      <c r="E1288" s="4" t="e">
        <f t="shared" si="21"/>
        <v>#REF!</v>
      </c>
      <c r="F1288" s="4" t="e" cm="1">
        <f t="array" ref="F1288">AVERAGE(B1288:B2795-$I$4/252)/_xlfn.STDEV.S(B1288:B2795-$I$4)</f>
        <v>#REF!</v>
      </c>
      <c r="G1288" s="4"/>
      <c r="H1288" s="4"/>
      <c r="I1288" s="4"/>
      <c r="J1288" s="4"/>
    </row>
    <row r="1289" spans="1:10" x14ac:dyDescent="0.2">
      <c r="A1289" t="e">
        <f>LEFT(#REF!,10)</f>
        <v>#REF!</v>
      </c>
      <c r="B1289" s="4" t="e">
        <f>(#REF!-#REF!)/#REF!</f>
        <v>#REF!</v>
      </c>
      <c r="C1289" s="4" t="e">
        <f>(#REF!-#REF!)/#REF!</f>
        <v>#REF!</v>
      </c>
      <c r="D1289" s="4" t="e">
        <f>LN(#REF!/#REF!)</f>
        <v>#REF!</v>
      </c>
      <c r="E1289" s="4" t="e">
        <f t="shared" si="21"/>
        <v>#REF!</v>
      </c>
      <c r="F1289" s="4" t="e" cm="1">
        <f t="array" ref="F1289">AVERAGE(B1289:B2796-$I$4/252)/_xlfn.STDEV.S(B1289:B2796-$I$4)</f>
        <v>#REF!</v>
      </c>
      <c r="G1289" s="4"/>
      <c r="H1289" s="4"/>
      <c r="I1289" s="4"/>
      <c r="J1289" s="4"/>
    </row>
    <row r="1290" spans="1:10" x14ac:dyDescent="0.2">
      <c r="A1290" t="e">
        <f>LEFT(#REF!,10)</f>
        <v>#REF!</v>
      </c>
      <c r="B1290" s="4" t="e">
        <f>(#REF!-#REF!)/#REF!</f>
        <v>#REF!</v>
      </c>
      <c r="C1290" s="4" t="e">
        <f>(#REF!-#REF!)/#REF!</f>
        <v>#REF!</v>
      </c>
      <c r="D1290" s="4" t="e">
        <f>LN(#REF!/#REF!)</f>
        <v>#REF!</v>
      </c>
      <c r="E1290" s="4" t="e">
        <f t="shared" si="21"/>
        <v>#REF!</v>
      </c>
      <c r="F1290" s="4" t="e" cm="1">
        <f t="array" ref="F1290">AVERAGE(B1290:B2797-$I$4/252)/_xlfn.STDEV.S(B1290:B2797-$I$4)</f>
        <v>#REF!</v>
      </c>
      <c r="G1290" s="4"/>
      <c r="H1290" s="4"/>
      <c r="I1290" s="4"/>
      <c r="J1290" s="4"/>
    </row>
    <row r="1291" spans="1:10" x14ac:dyDescent="0.2">
      <c r="A1291" t="e">
        <f>LEFT(#REF!,10)</f>
        <v>#REF!</v>
      </c>
      <c r="B1291" s="4" t="e">
        <f>(#REF!-#REF!)/#REF!</f>
        <v>#REF!</v>
      </c>
      <c r="C1291" s="4" t="e">
        <f>(#REF!-#REF!)/#REF!</f>
        <v>#REF!</v>
      </c>
      <c r="D1291" s="4" t="e">
        <f>LN(#REF!/#REF!)</f>
        <v>#REF!</v>
      </c>
      <c r="E1291" s="4" t="e">
        <f t="shared" si="21"/>
        <v>#REF!</v>
      </c>
      <c r="F1291" s="4" t="e" cm="1">
        <f t="array" ref="F1291">AVERAGE(B1291:B2798-$I$4/252)/_xlfn.STDEV.S(B1291:B2798-$I$4)</f>
        <v>#REF!</v>
      </c>
      <c r="G1291" s="4"/>
      <c r="H1291" s="4"/>
      <c r="I1291" s="4"/>
      <c r="J1291" s="4"/>
    </row>
    <row r="1292" spans="1:10" x14ac:dyDescent="0.2">
      <c r="A1292" t="e">
        <f>LEFT(#REF!,10)</f>
        <v>#REF!</v>
      </c>
      <c r="B1292" s="4" t="e">
        <f>(#REF!-#REF!)/#REF!</f>
        <v>#REF!</v>
      </c>
      <c r="C1292" s="4" t="e">
        <f>(#REF!-#REF!)/#REF!</f>
        <v>#REF!</v>
      </c>
      <c r="D1292" s="4" t="e">
        <f>LN(#REF!/#REF!)</f>
        <v>#REF!</v>
      </c>
      <c r="E1292" s="4" t="e">
        <f t="shared" si="21"/>
        <v>#REF!</v>
      </c>
      <c r="F1292" s="4" t="e" cm="1">
        <f t="array" ref="F1292">AVERAGE(B1292:B2799-$I$4/252)/_xlfn.STDEV.S(B1292:B2799-$I$4)</f>
        <v>#REF!</v>
      </c>
      <c r="G1292" s="4"/>
      <c r="H1292" s="4"/>
      <c r="I1292" s="4"/>
      <c r="J1292" s="4"/>
    </row>
    <row r="1293" spans="1:10" x14ac:dyDescent="0.2">
      <c r="A1293" t="e">
        <f>LEFT(#REF!,10)</f>
        <v>#REF!</v>
      </c>
      <c r="B1293" s="4" t="e">
        <f>(#REF!-#REF!)/#REF!</f>
        <v>#REF!</v>
      </c>
      <c r="C1293" s="4" t="e">
        <f>(#REF!-#REF!)/#REF!</f>
        <v>#REF!</v>
      </c>
      <c r="D1293" s="4" t="e">
        <f>LN(#REF!/#REF!)</f>
        <v>#REF!</v>
      </c>
      <c r="E1293" s="4" t="e">
        <f t="shared" si="21"/>
        <v>#REF!</v>
      </c>
      <c r="F1293" s="4" t="e" cm="1">
        <f t="array" ref="F1293">AVERAGE(B1293:B2800-$I$4/252)/_xlfn.STDEV.S(B1293:B2800-$I$4)</f>
        <v>#REF!</v>
      </c>
      <c r="G1293" s="4"/>
      <c r="H1293" s="4"/>
      <c r="I1293" s="4"/>
      <c r="J1293" s="4"/>
    </row>
    <row r="1294" spans="1:10" x14ac:dyDescent="0.2">
      <c r="A1294" t="e">
        <f>LEFT(#REF!,10)</f>
        <v>#REF!</v>
      </c>
      <c r="B1294" s="4" t="e">
        <f>(#REF!-#REF!)/#REF!</f>
        <v>#REF!</v>
      </c>
      <c r="C1294" s="4" t="e">
        <f>(#REF!-#REF!)/#REF!</f>
        <v>#REF!</v>
      </c>
      <c r="D1294" s="4" t="e">
        <f>LN(#REF!/#REF!)</f>
        <v>#REF!</v>
      </c>
      <c r="E1294" s="4" t="e">
        <f t="shared" si="21"/>
        <v>#REF!</v>
      </c>
      <c r="F1294" s="4" t="e" cm="1">
        <f t="array" ref="F1294">AVERAGE(B1294:B2801-$I$4/252)/_xlfn.STDEV.S(B1294:B2801-$I$4)</f>
        <v>#REF!</v>
      </c>
      <c r="G1294" s="4"/>
      <c r="H1294" s="4"/>
      <c r="I1294" s="4"/>
      <c r="J1294" s="4"/>
    </row>
    <row r="1295" spans="1:10" x14ac:dyDescent="0.2">
      <c r="A1295" t="e">
        <f>LEFT(#REF!,10)</f>
        <v>#REF!</v>
      </c>
      <c r="B1295" s="4" t="e">
        <f>(#REF!-#REF!)/#REF!</f>
        <v>#REF!</v>
      </c>
      <c r="C1295" s="4" t="e">
        <f>(#REF!-#REF!)/#REF!</f>
        <v>#REF!</v>
      </c>
      <c r="D1295" s="4" t="e">
        <f>LN(#REF!/#REF!)</f>
        <v>#REF!</v>
      </c>
      <c r="E1295" s="4" t="e">
        <f t="shared" si="21"/>
        <v>#REF!</v>
      </c>
      <c r="F1295" s="4" t="e" cm="1">
        <f t="array" ref="F1295">AVERAGE(B1295:B2802-$I$4/252)/_xlfn.STDEV.S(B1295:B2802-$I$4)</f>
        <v>#REF!</v>
      </c>
      <c r="G1295" s="4"/>
      <c r="H1295" s="4"/>
      <c r="I1295" s="4"/>
      <c r="J1295" s="4"/>
    </row>
    <row r="1296" spans="1:10" x14ac:dyDescent="0.2">
      <c r="A1296" t="e">
        <f>LEFT(#REF!,10)</f>
        <v>#REF!</v>
      </c>
      <c r="B1296" s="4" t="e">
        <f>(#REF!-#REF!)/#REF!</f>
        <v>#REF!</v>
      </c>
      <c r="C1296" s="4" t="e">
        <f>(#REF!-#REF!)/#REF!</f>
        <v>#REF!</v>
      </c>
      <c r="D1296" s="4" t="e">
        <f>LN(#REF!/#REF!)</f>
        <v>#REF!</v>
      </c>
      <c r="E1296" s="4" t="e">
        <f t="shared" si="21"/>
        <v>#REF!</v>
      </c>
      <c r="F1296" s="4" t="e" cm="1">
        <f t="array" ref="F1296">AVERAGE(B1296:B2803-$I$4/252)/_xlfn.STDEV.S(B1296:B2803-$I$4)</f>
        <v>#REF!</v>
      </c>
      <c r="G1296" s="4"/>
      <c r="H1296" s="4"/>
      <c r="I1296" s="4"/>
      <c r="J1296" s="4"/>
    </row>
    <row r="1297" spans="1:10" x14ac:dyDescent="0.2">
      <c r="A1297" t="e">
        <f>LEFT(#REF!,10)</f>
        <v>#REF!</v>
      </c>
      <c r="B1297" s="4" t="e">
        <f>(#REF!-#REF!)/#REF!</f>
        <v>#REF!</v>
      </c>
      <c r="C1297" s="4" t="e">
        <f>(#REF!-#REF!)/#REF!</f>
        <v>#REF!</v>
      </c>
      <c r="D1297" s="4" t="e">
        <f>LN(#REF!/#REF!)</f>
        <v>#REF!</v>
      </c>
      <c r="E1297" s="4" t="e">
        <f t="shared" si="21"/>
        <v>#REF!</v>
      </c>
      <c r="F1297" s="4" t="e" cm="1">
        <f t="array" ref="F1297">AVERAGE(B1297:B2804-$I$4/252)/_xlfn.STDEV.S(B1297:B2804-$I$4)</f>
        <v>#REF!</v>
      </c>
      <c r="G1297" s="4"/>
      <c r="H1297" s="4"/>
      <c r="I1297" s="4"/>
      <c r="J1297" s="4"/>
    </row>
    <row r="1298" spans="1:10" x14ac:dyDescent="0.2">
      <c r="A1298" t="e">
        <f>LEFT(#REF!,10)</f>
        <v>#REF!</v>
      </c>
      <c r="B1298" s="4" t="e">
        <f>(#REF!-#REF!)/#REF!</f>
        <v>#REF!</v>
      </c>
      <c r="C1298" s="4" t="e">
        <f>(#REF!-#REF!)/#REF!</f>
        <v>#REF!</v>
      </c>
      <c r="D1298" s="4" t="e">
        <f>LN(#REF!/#REF!)</f>
        <v>#REF!</v>
      </c>
      <c r="E1298" s="4" t="e">
        <f t="shared" si="21"/>
        <v>#REF!</v>
      </c>
      <c r="F1298" s="4" t="e" cm="1">
        <f t="array" ref="F1298">AVERAGE(B1298:B2805-$I$4/252)/_xlfn.STDEV.S(B1298:B2805-$I$4)</f>
        <v>#REF!</v>
      </c>
      <c r="G1298" s="4"/>
      <c r="H1298" s="4"/>
      <c r="I1298" s="4"/>
      <c r="J1298" s="4"/>
    </row>
    <row r="1299" spans="1:10" x14ac:dyDescent="0.2">
      <c r="A1299" t="e">
        <f>LEFT(#REF!,10)</f>
        <v>#REF!</v>
      </c>
      <c r="B1299" s="4" t="e">
        <f>(#REF!-#REF!)/#REF!</f>
        <v>#REF!</v>
      </c>
      <c r="C1299" s="4" t="e">
        <f>(#REF!-#REF!)/#REF!</f>
        <v>#REF!</v>
      </c>
      <c r="D1299" s="4" t="e">
        <f>LN(#REF!/#REF!)</f>
        <v>#REF!</v>
      </c>
      <c r="E1299" s="4" t="e">
        <f t="shared" si="21"/>
        <v>#REF!</v>
      </c>
      <c r="F1299" s="4" t="e" cm="1">
        <f t="array" ref="F1299">AVERAGE(B1299:B2806-$I$4/252)/_xlfn.STDEV.S(B1299:B2806-$I$4)</f>
        <v>#REF!</v>
      </c>
      <c r="G1299" s="4"/>
      <c r="H1299" s="4"/>
      <c r="I1299" s="4"/>
      <c r="J1299" s="4"/>
    </row>
    <row r="1300" spans="1:10" x14ac:dyDescent="0.2">
      <c r="A1300" t="e">
        <f>LEFT(#REF!,10)</f>
        <v>#REF!</v>
      </c>
      <c r="B1300" s="4" t="e">
        <f>(#REF!-#REF!)/#REF!</f>
        <v>#REF!</v>
      </c>
      <c r="C1300" s="4" t="e">
        <f>(#REF!-#REF!)/#REF!</f>
        <v>#REF!</v>
      </c>
      <c r="D1300" s="4" t="e">
        <f>LN(#REF!/#REF!)</f>
        <v>#REF!</v>
      </c>
      <c r="E1300" s="4" t="e">
        <f t="shared" si="21"/>
        <v>#REF!</v>
      </c>
      <c r="F1300" s="4" t="e" cm="1">
        <f t="array" ref="F1300">AVERAGE(B1300:B2807-$I$4/252)/_xlfn.STDEV.S(B1300:B2807-$I$4)</f>
        <v>#REF!</v>
      </c>
      <c r="G1300" s="4"/>
      <c r="H1300" s="4"/>
      <c r="I1300" s="4"/>
      <c r="J1300" s="4"/>
    </row>
    <row r="1301" spans="1:10" x14ac:dyDescent="0.2">
      <c r="A1301" t="e">
        <f>LEFT(#REF!,10)</f>
        <v>#REF!</v>
      </c>
      <c r="B1301" s="4" t="e">
        <f>(#REF!-#REF!)/#REF!</f>
        <v>#REF!</v>
      </c>
      <c r="C1301" s="4" t="e">
        <f>(#REF!-#REF!)/#REF!</f>
        <v>#REF!</v>
      </c>
      <c r="D1301" s="4" t="e">
        <f>LN(#REF!/#REF!)</f>
        <v>#REF!</v>
      </c>
      <c r="E1301" s="4" t="e">
        <f t="shared" si="21"/>
        <v>#REF!</v>
      </c>
      <c r="F1301" s="4" t="e" cm="1">
        <f t="array" ref="F1301">AVERAGE(B1301:B2808-$I$4/252)/_xlfn.STDEV.S(B1301:B2808-$I$4)</f>
        <v>#REF!</v>
      </c>
      <c r="G1301" s="4"/>
      <c r="H1301" s="4"/>
      <c r="I1301" s="4"/>
      <c r="J1301" s="4"/>
    </row>
    <row r="1302" spans="1:10" x14ac:dyDescent="0.2">
      <c r="A1302" t="e">
        <f>LEFT(#REF!,10)</f>
        <v>#REF!</v>
      </c>
      <c r="B1302" s="4" t="e">
        <f>(#REF!-#REF!)/#REF!</f>
        <v>#REF!</v>
      </c>
      <c r="C1302" s="4" t="e">
        <f>(#REF!-#REF!)/#REF!</f>
        <v>#REF!</v>
      </c>
      <c r="D1302" s="4" t="e">
        <f>LN(#REF!/#REF!)</f>
        <v>#REF!</v>
      </c>
      <c r="E1302" s="4" t="e">
        <f t="shared" si="21"/>
        <v>#REF!</v>
      </c>
      <c r="F1302" s="4" t="e" cm="1">
        <f t="array" ref="F1302">AVERAGE(B1302:B2809-$I$4/252)/_xlfn.STDEV.S(B1302:B2809-$I$4)</f>
        <v>#REF!</v>
      </c>
      <c r="G1302" s="4"/>
      <c r="H1302" s="4"/>
      <c r="I1302" s="4"/>
      <c r="J1302" s="4"/>
    </row>
    <row r="1303" spans="1:10" x14ac:dyDescent="0.2">
      <c r="A1303" t="e">
        <f>LEFT(#REF!,10)</f>
        <v>#REF!</v>
      </c>
      <c r="B1303" s="4" t="e">
        <f>(#REF!-#REF!)/#REF!</f>
        <v>#REF!</v>
      </c>
      <c r="C1303" s="4" t="e">
        <f>(#REF!-#REF!)/#REF!</f>
        <v>#REF!</v>
      </c>
      <c r="D1303" s="4" t="e">
        <f>LN(#REF!/#REF!)</f>
        <v>#REF!</v>
      </c>
      <c r="E1303" s="4" t="e">
        <f t="shared" si="21"/>
        <v>#REF!</v>
      </c>
      <c r="F1303" s="4" t="e" cm="1">
        <f t="array" ref="F1303">AVERAGE(B1303:B2810-$I$4/252)/_xlfn.STDEV.S(B1303:B2810-$I$4)</f>
        <v>#REF!</v>
      </c>
      <c r="G1303" s="4"/>
      <c r="H1303" s="4"/>
      <c r="I1303" s="4"/>
      <c r="J1303" s="4"/>
    </row>
    <row r="1304" spans="1:10" x14ac:dyDescent="0.2">
      <c r="A1304" t="e">
        <f>LEFT(#REF!,10)</f>
        <v>#REF!</v>
      </c>
      <c r="B1304" s="4" t="e">
        <f>(#REF!-#REF!)/#REF!</f>
        <v>#REF!</v>
      </c>
      <c r="C1304" s="4" t="e">
        <f>(#REF!-#REF!)/#REF!</f>
        <v>#REF!</v>
      </c>
      <c r="D1304" s="4" t="e">
        <f>LN(#REF!/#REF!)</f>
        <v>#REF!</v>
      </c>
      <c r="E1304" s="4" t="e">
        <f t="shared" si="21"/>
        <v>#REF!</v>
      </c>
      <c r="F1304" s="4" t="e" cm="1">
        <f t="array" ref="F1304">AVERAGE(B1304:B2811-$I$4/252)/_xlfn.STDEV.S(B1304:B2811-$I$4)</f>
        <v>#REF!</v>
      </c>
      <c r="G1304" s="4"/>
      <c r="H1304" s="4"/>
      <c r="I1304" s="4"/>
      <c r="J1304" s="4"/>
    </row>
    <row r="1305" spans="1:10" x14ac:dyDescent="0.2">
      <c r="A1305" t="e">
        <f>LEFT(#REF!,10)</f>
        <v>#REF!</v>
      </c>
      <c r="B1305" s="4" t="e">
        <f>(#REF!-#REF!)/#REF!</f>
        <v>#REF!</v>
      </c>
      <c r="C1305" s="4" t="e">
        <f>(#REF!-#REF!)/#REF!</f>
        <v>#REF!</v>
      </c>
      <c r="D1305" s="4" t="e">
        <f>LN(#REF!/#REF!)</f>
        <v>#REF!</v>
      </c>
      <c r="E1305" s="4" t="e">
        <f t="shared" si="21"/>
        <v>#REF!</v>
      </c>
      <c r="F1305" s="4" t="e" cm="1">
        <f t="array" ref="F1305">AVERAGE(B1305:B2812-$I$4/252)/_xlfn.STDEV.S(B1305:B2812-$I$4)</f>
        <v>#REF!</v>
      </c>
      <c r="G1305" s="4"/>
      <c r="H1305" s="4"/>
      <c r="I1305" s="4"/>
      <c r="J1305" s="4"/>
    </row>
    <row r="1306" spans="1:10" x14ac:dyDescent="0.2">
      <c r="A1306" t="e">
        <f>LEFT(#REF!,10)</f>
        <v>#REF!</v>
      </c>
      <c r="B1306" s="4" t="e">
        <f>(#REF!-#REF!)/#REF!</f>
        <v>#REF!</v>
      </c>
      <c r="C1306" s="4" t="e">
        <f>(#REF!-#REF!)/#REF!</f>
        <v>#REF!</v>
      </c>
      <c r="D1306" s="4" t="e">
        <f>LN(#REF!/#REF!)</f>
        <v>#REF!</v>
      </c>
      <c r="E1306" s="4" t="e">
        <f t="shared" si="21"/>
        <v>#REF!</v>
      </c>
      <c r="F1306" s="4" t="e" cm="1">
        <f t="array" ref="F1306">AVERAGE(B1306:B2813-$I$4/252)/_xlfn.STDEV.S(B1306:B2813-$I$4)</f>
        <v>#REF!</v>
      </c>
      <c r="G1306" s="4"/>
      <c r="H1306" s="4"/>
      <c r="I1306" s="4"/>
      <c r="J1306" s="4"/>
    </row>
    <row r="1307" spans="1:10" x14ac:dyDescent="0.2">
      <c r="A1307" t="e">
        <f>LEFT(#REF!,10)</f>
        <v>#REF!</v>
      </c>
      <c r="B1307" s="4" t="e">
        <f>(#REF!-#REF!)/#REF!</f>
        <v>#REF!</v>
      </c>
      <c r="C1307" s="4" t="e">
        <f>(#REF!-#REF!)/#REF!</f>
        <v>#REF!</v>
      </c>
      <c r="D1307" s="4" t="e">
        <f>LN(#REF!/#REF!)</f>
        <v>#REF!</v>
      </c>
      <c r="E1307" s="4" t="e">
        <f t="shared" si="21"/>
        <v>#REF!</v>
      </c>
      <c r="F1307" s="4" t="e" cm="1">
        <f t="array" ref="F1307">AVERAGE(B1307:B2814-$I$4/252)/_xlfn.STDEV.S(B1307:B2814-$I$4)</f>
        <v>#REF!</v>
      </c>
      <c r="G1307" s="4"/>
      <c r="H1307" s="4"/>
      <c r="I1307" s="4"/>
      <c r="J1307" s="4"/>
    </row>
    <row r="1308" spans="1:10" x14ac:dyDescent="0.2">
      <c r="A1308" t="e">
        <f>LEFT(#REF!,10)</f>
        <v>#REF!</v>
      </c>
      <c r="B1308" s="4" t="e">
        <f>(#REF!-#REF!)/#REF!</f>
        <v>#REF!</v>
      </c>
      <c r="C1308" s="4" t="e">
        <f>(#REF!-#REF!)/#REF!</f>
        <v>#REF!</v>
      </c>
      <c r="D1308" s="4" t="e">
        <f>LN(#REF!/#REF!)</f>
        <v>#REF!</v>
      </c>
      <c r="E1308" s="4" t="e">
        <f t="shared" si="21"/>
        <v>#REF!</v>
      </c>
      <c r="F1308" s="4" t="e" cm="1">
        <f t="array" ref="F1308">AVERAGE(B1308:B2815-$I$4/252)/_xlfn.STDEV.S(B1308:B2815-$I$4)</f>
        <v>#REF!</v>
      </c>
      <c r="G1308" s="4"/>
      <c r="H1308" s="4"/>
      <c r="I1308" s="4"/>
      <c r="J1308" s="4"/>
    </row>
    <row r="1309" spans="1:10" x14ac:dyDescent="0.2">
      <c r="A1309" t="e">
        <f>LEFT(#REF!,10)</f>
        <v>#REF!</v>
      </c>
      <c r="B1309" s="4" t="e">
        <f>(#REF!-#REF!)/#REF!</f>
        <v>#REF!</v>
      </c>
      <c r="C1309" s="4" t="e">
        <f>(#REF!-#REF!)/#REF!</f>
        <v>#REF!</v>
      </c>
      <c r="D1309" s="4" t="e">
        <f>LN(#REF!/#REF!)</f>
        <v>#REF!</v>
      </c>
      <c r="E1309" s="4" t="e">
        <f t="shared" si="21"/>
        <v>#REF!</v>
      </c>
      <c r="F1309" s="4" t="e" cm="1">
        <f t="array" ref="F1309">AVERAGE(B1309:B2816-$I$4/252)/_xlfn.STDEV.S(B1309:B2816-$I$4)</f>
        <v>#REF!</v>
      </c>
      <c r="G1309" s="4"/>
      <c r="H1309" s="4"/>
      <c r="I1309" s="4"/>
      <c r="J1309" s="4"/>
    </row>
    <row r="1310" spans="1:10" x14ac:dyDescent="0.2">
      <c r="A1310" t="e">
        <f>LEFT(#REF!,10)</f>
        <v>#REF!</v>
      </c>
      <c r="B1310" s="4" t="e">
        <f>(#REF!-#REF!)/#REF!</f>
        <v>#REF!</v>
      </c>
      <c r="C1310" s="4" t="e">
        <f>(#REF!-#REF!)/#REF!</f>
        <v>#REF!</v>
      </c>
      <c r="D1310" s="4" t="e">
        <f>LN(#REF!/#REF!)</f>
        <v>#REF!</v>
      </c>
      <c r="E1310" s="4" t="e">
        <f t="shared" si="21"/>
        <v>#REF!</v>
      </c>
      <c r="F1310" s="4" t="e" cm="1">
        <f t="array" ref="F1310">AVERAGE(B1310:B2817-$I$4/252)/_xlfn.STDEV.S(B1310:B2817-$I$4)</f>
        <v>#REF!</v>
      </c>
      <c r="G1310" s="4"/>
      <c r="H1310" s="4"/>
      <c r="I1310" s="4"/>
      <c r="J1310" s="4"/>
    </row>
    <row r="1311" spans="1:10" x14ac:dyDescent="0.2">
      <c r="A1311" t="e">
        <f>LEFT(#REF!,10)</f>
        <v>#REF!</v>
      </c>
      <c r="B1311" s="4" t="e">
        <f>(#REF!-#REF!)/#REF!</f>
        <v>#REF!</v>
      </c>
      <c r="C1311" s="4" t="e">
        <f>(#REF!-#REF!)/#REF!</f>
        <v>#REF!</v>
      </c>
      <c r="D1311" s="4" t="e">
        <f>LN(#REF!/#REF!)</f>
        <v>#REF!</v>
      </c>
      <c r="E1311" s="4" t="e">
        <f t="shared" si="21"/>
        <v>#REF!</v>
      </c>
      <c r="F1311" s="4" t="e" cm="1">
        <f t="array" ref="F1311">AVERAGE(B1311:B2818-$I$4/252)/_xlfn.STDEV.S(B1311:B2818-$I$4)</f>
        <v>#REF!</v>
      </c>
      <c r="G1311" s="4"/>
      <c r="H1311" s="4"/>
      <c r="I1311" s="4"/>
      <c r="J1311" s="4"/>
    </row>
    <row r="1312" spans="1:10" x14ac:dyDescent="0.2">
      <c r="A1312" t="e">
        <f>LEFT(#REF!,10)</f>
        <v>#REF!</v>
      </c>
      <c r="B1312" s="4" t="e">
        <f>(#REF!-#REF!)/#REF!</f>
        <v>#REF!</v>
      </c>
      <c r="C1312" s="4" t="e">
        <f>(#REF!-#REF!)/#REF!</f>
        <v>#REF!</v>
      </c>
      <c r="D1312" s="4" t="e">
        <f>LN(#REF!/#REF!)</f>
        <v>#REF!</v>
      </c>
      <c r="E1312" s="4" t="e">
        <f t="shared" si="21"/>
        <v>#REF!</v>
      </c>
      <c r="F1312" s="4" t="e" cm="1">
        <f t="array" ref="F1312">AVERAGE(B1312:B2819-$I$4/252)/_xlfn.STDEV.S(B1312:B2819-$I$4)</f>
        <v>#REF!</v>
      </c>
      <c r="G1312" s="4"/>
      <c r="H1312" s="4"/>
      <c r="I1312" s="4"/>
      <c r="J1312" s="4"/>
    </row>
    <row r="1313" spans="1:10" x14ac:dyDescent="0.2">
      <c r="A1313" t="e">
        <f>LEFT(#REF!,10)</f>
        <v>#REF!</v>
      </c>
      <c r="B1313" s="4" t="e">
        <f>(#REF!-#REF!)/#REF!</f>
        <v>#REF!</v>
      </c>
      <c r="C1313" s="4" t="e">
        <f>(#REF!-#REF!)/#REF!</f>
        <v>#REF!</v>
      </c>
      <c r="D1313" s="4" t="e">
        <f>LN(#REF!/#REF!)</f>
        <v>#REF!</v>
      </c>
      <c r="E1313" s="4" t="e">
        <f t="shared" si="21"/>
        <v>#REF!</v>
      </c>
      <c r="F1313" s="4" t="e" cm="1">
        <f t="array" ref="F1313">AVERAGE(B1313:B2820-$I$4/252)/_xlfn.STDEV.S(B1313:B2820-$I$4)</f>
        <v>#REF!</v>
      </c>
      <c r="G1313" s="4"/>
      <c r="H1313" s="4"/>
      <c r="I1313" s="4"/>
      <c r="J1313" s="4"/>
    </row>
    <row r="1314" spans="1:10" x14ac:dyDescent="0.2">
      <c r="A1314" t="e">
        <f>LEFT(#REF!,10)</f>
        <v>#REF!</v>
      </c>
      <c r="B1314" s="4" t="e">
        <f>(#REF!-#REF!)/#REF!</f>
        <v>#REF!</v>
      </c>
      <c r="C1314" s="4" t="e">
        <f>(#REF!-#REF!)/#REF!</f>
        <v>#REF!</v>
      </c>
      <c r="D1314" s="4" t="e">
        <f>LN(#REF!/#REF!)</f>
        <v>#REF!</v>
      </c>
      <c r="E1314" s="4" t="e">
        <f t="shared" si="21"/>
        <v>#REF!</v>
      </c>
      <c r="F1314" s="4" t="e" cm="1">
        <f t="array" ref="F1314">AVERAGE(B1314:B2821-$I$4/252)/_xlfn.STDEV.S(B1314:B2821-$I$4)</f>
        <v>#REF!</v>
      </c>
      <c r="G1314" s="4"/>
      <c r="H1314" s="4"/>
      <c r="I1314" s="4"/>
      <c r="J1314" s="4"/>
    </row>
    <row r="1315" spans="1:10" x14ac:dyDescent="0.2">
      <c r="A1315" t="e">
        <f>LEFT(#REF!,10)</f>
        <v>#REF!</v>
      </c>
      <c r="B1315" s="4" t="e">
        <f>(#REF!-#REF!)/#REF!</f>
        <v>#REF!</v>
      </c>
      <c r="C1315" s="4" t="e">
        <f>(#REF!-#REF!)/#REF!</f>
        <v>#REF!</v>
      </c>
      <c r="D1315" s="4" t="e">
        <f>LN(#REF!/#REF!)</f>
        <v>#REF!</v>
      </c>
      <c r="E1315" s="4" t="e">
        <f t="shared" si="21"/>
        <v>#REF!</v>
      </c>
      <c r="F1315" s="4" t="e" cm="1">
        <f t="array" ref="F1315">AVERAGE(B1315:B2822-$I$4/252)/_xlfn.STDEV.S(B1315:B2822-$I$4)</f>
        <v>#REF!</v>
      </c>
      <c r="G1315" s="4"/>
      <c r="H1315" s="4"/>
      <c r="I1315" s="4"/>
      <c r="J1315" s="4"/>
    </row>
    <row r="1316" spans="1:10" x14ac:dyDescent="0.2">
      <c r="A1316" t="e">
        <f>LEFT(#REF!,10)</f>
        <v>#REF!</v>
      </c>
      <c r="B1316" s="4" t="e">
        <f>(#REF!-#REF!)/#REF!</f>
        <v>#REF!</v>
      </c>
      <c r="C1316" s="4" t="e">
        <f>(#REF!-#REF!)/#REF!</f>
        <v>#REF!</v>
      </c>
      <c r="D1316" s="4" t="e">
        <f>LN(#REF!/#REF!)</f>
        <v>#REF!</v>
      </c>
      <c r="E1316" s="4" t="e">
        <f t="shared" si="21"/>
        <v>#REF!</v>
      </c>
      <c r="F1316" s="4" t="e" cm="1">
        <f t="array" ref="F1316">AVERAGE(B1316:B2823-$I$4/252)/_xlfn.STDEV.S(B1316:B2823-$I$4)</f>
        <v>#REF!</v>
      </c>
      <c r="G1316" s="4"/>
      <c r="H1316" s="4"/>
      <c r="I1316" s="4"/>
      <c r="J1316" s="4"/>
    </row>
    <row r="1317" spans="1:10" x14ac:dyDescent="0.2">
      <c r="A1317" t="e">
        <f>LEFT(#REF!,10)</f>
        <v>#REF!</v>
      </c>
      <c r="B1317" s="4" t="e">
        <f>(#REF!-#REF!)/#REF!</f>
        <v>#REF!</v>
      </c>
      <c r="C1317" s="4" t="e">
        <f>(#REF!-#REF!)/#REF!</f>
        <v>#REF!</v>
      </c>
      <c r="D1317" s="4" t="e">
        <f>LN(#REF!/#REF!)</f>
        <v>#REF!</v>
      </c>
      <c r="E1317" s="4" t="e">
        <f t="shared" si="21"/>
        <v>#REF!</v>
      </c>
      <c r="F1317" s="4" t="e" cm="1">
        <f t="array" ref="F1317">AVERAGE(B1317:B2824-$I$4/252)/_xlfn.STDEV.S(B1317:B2824-$I$4)</f>
        <v>#REF!</v>
      </c>
      <c r="G1317" s="4"/>
      <c r="H1317" s="4"/>
      <c r="I1317" s="4"/>
      <c r="J1317" s="4"/>
    </row>
    <row r="1318" spans="1:10" x14ac:dyDescent="0.2">
      <c r="A1318" t="e">
        <f>LEFT(#REF!,10)</f>
        <v>#REF!</v>
      </c>
      <c r="B1318" s="4" t="e">
        <f>(#REF!-#REF!)/#REF!</f>
        <v>#REF!</v>
      </c>
      <c r="C1318" s="4" t="e">
        <f>(#REF!-#REF!)/#REF!</f>
        <v>#REF!</v>
      </c>
      <c r="D1318" s="4" t="e">
        <f>LN(#REF!/#REF!)</f>
        <v>#REF!</v>
      </c>
      <c r="E1318" s="4" t="e">
        <f t="shared" si="21"/>
        <v>#REF!</v>
      </c>
      <c r="F1318" s="4" t="e" cm="1">
        <f t="array" ref="F1318">AVERAGE(B1318:B2825-$I$4/252)/_xlfn.STDEV.S(B1318:B2825-$I$4)</f>
        <v>#REF!</v>
      </c>
      <c r="G1318" s="4"/>
      <c r="H1318" s="4"/>
      <c r="I1318" s="4"/>
      <c r="J1318" s="4"/>
    </row>
    <row r="1319" spans="1:10" x14ac:dyDescent="0.2">
      <c r="A1319" t="e">
        <f>LEFT(#REF!,10)</f>
        <v>#REF!</v>
      </c>
      <c r="B1319" s="4" t="e">
        <f>(#REF!-#REF!)/#REF!</f>
        <v>#REF!</v>
      </c>
      <c r="C1319" s="4" t="e">
        <f>(#REF!-#REF!)/#REF!</f>
        <v>#REF!</v>
      </c>
      <c r="D1319" s="4" t="e">
        <f>LN(#REF!/#REF!)</f>
        <v>#REF!</v>
      </c>
      <c r="E1319" s="4" t="e">
        <f t="shared" si="21"/>
        <v>#REF!</v>
      </c>
      <c r="F1319" s="4" t="e" cm="1">
        <f t="array" ref="F1319">AVERAGE(B1319:B2826-$I$4/252)/_xlfn.STDEV.S(B1319:B2826-$I$4)</f>
        <v>#REF!</v>
      </c>
      <c r="G1319" s="4"/>
      <c r="H1319" s="4"/>
      <c r="I1319" s="4"/>
      <c r="J1319" s="4"/>
    </row>
    <row r="1320" spans="1:10" x14ac:dyDescent="0.2">
      <c r="A1320" t="e">
        <f>LEFT(#REF!,10)</f>
        <v>#REF!</v>
      </c>
      <c r="B1320" s="4" t="e">
        <f>(#REF!-#REF!)/#REF!</f>
        <v>#REF!</v>
      </c>
      <c r="C1320" s="4" t="e">
        <f>(#REF!-#REF!)/#REF!</f>
        <v>#REF!</v>
      </c>
      <c r="D1320" s="4" t="e">
        <f>LN(#REF!/#REF!)</f>
        <v>#REF!</v>
      </c>
      <c r="E1320" s="4" t="e">
        <f t="shared" si="21"/>
        <v>#REF!</v>
      </c>
      <c r="F1320" s="4" t="e" cm="1">
        <f t="array" ref="F1320">AVERAGE(B1320:B2827-$I$4/252)/_xlfn.STDEV.S(B1320:B2827-$I$4)</f>
        <v>#REF!</v>
      </c>
      <c r="G1320" s="4"/>
      <c r="H1320" s="4"/>
      <c r="I1320" s="4"/>
      <c r="J1320" s="4"/>
    </row>
    <row r="1321" spans="1:10" x14ac:dyDescent="0.2">
      <c r="A1321" t="e">
        <f>LEFT(#REF!,10)</f>
        <v>#REF!</v>
      </c>
      <c r="B1321" s="4" t="e">
        <f>(#REF!-#REF!)/#REF!</f>
        <v>#REF!</v>
      </c>
      <c r="C1321" s="4" t="e">
        <f>(#REF!-#REF!)/#REF!</f>
        <v>#REF!</v>
      </c>
      <c r="D1321" s="4" t="e">
        <f>LN(#REF!/#REF!)</f>
        <v>#REF!</v>
      </c>
      <c r="E1321" s="4" t="e">
        <f t="shared" si="21"/>
        <v>#REF!</v>
      </c>
      <c r="F1321" s="4" t="e" cm="1">
        <f t="array" ref="F1321">AVERAGE(B1321:B2828-$I$4/252)/_xlfn.STDEV.S(B1321:B2828-$I$4)</f>
        <v>#REF!</v>
      </c>
      <c r="G1321" s="4"/>
      <c r="H1321" s="4"/>
      <c r="I1321" s="4"/>
      <c r="J1321" s="4"/>
    </row>
    <row r="1322" spans="1:10" x14ac:dyDescent="0.2">
      <c r="A1322" t="e">
        <f>LEFT(#REF!,10)</f>
        <v>#REF!</v>
      </c>
      <c r="B1322" s="4" t="e">
        <f>(#REF!-#REF!)/#REF!</f>
        <v>#REF!</v>
      </c>
      <c r="C1322" s="4" t="e">
        <f>(#REF!-#REF!)/#REF!</f>
        <v>#REF!</v>
      </c>
      <c r="D1322" s="4" t="e">
        <f>LN(#REF!/#REF!)</f>
        <v>#REF!</v>
      </c>
      <c r="E1322" s="4" t="e">
        <f t="shared" si="21"/>
        <v>#REF!</v>
      </c>
      <c r="F1322" s="4" t="e" cm="1">
        <f t="array" ref="F1322">AVERAGE(B1322:B2829-$I$4/252)/_xlfn.STDEV.S(B1322:B2829-$I$4)</f>
        <v>#REF!</v>
      </c>
      <c r="G1322" s="4"/>
      <c r="H1322" s="4"/>
      <c r="I1322" s="4"/>
      <c r="J1322" s="4"/>
    </row>
    <row r="1323" spans="1:10" x14ac:dyDescent="0.2">
      <c r="A1323" t="e">
        <f>LEFT(#REF!,10)</f>
        <v>#REF!</v>
      </c>
      <c r="B1323" s="4" t="e">
        <f>(#REF!-#REF!)/#REF!</f>
        <v>#REF!</v>
      </c>
      <c r="C1323" s="4" t="e">
        <f>(#REF!-#REF!)/#REF!</f>
        <v>#REF!</v>
      </c>
      <c r="D1323" s="4" t="e">
        <f>LN(#REF!/#REF!)</f>
        <v>#REF!</v>
      </c>
      <c r="E1323" s="4" t="e">
        <f t="shared" si="21"/>
        <v>#REF!</v>
      </c>
      <c r="F1323" s="4" t="e" cm="1">
        <f t="array" ref="F1323">AVERAGE(B1323:B2830-$I$4/252)/_xlfn.STDEV.S(B1323:B2830-$I$4)</f>
        <v>#REF!</v>
      </c>
      <c r="G1323" s="4"/>
      <c r="H1323" s="4"/>
      <c r="I1323" s="4"/>
      <c r="J1323" s="4"/>
    </row>
    <row r="1324" spans="1:10" x14ac:dyDescent="0.2">
      <c r="A1324" t="e">
        <f>LEFT(#REF!,10)</f>
        <v>#REF!</v>
      </c>
      <c r="B1324" s="4" t="e">
        <f>(#REF!-#REF!)/#REF!</f>
        <v>#REF!</v>
      </c>
      <c r="C1324" s="4" t="e">
        <f>(#REF!-#REF!)/#REF!</f>
        <v>#REF!</v>
      </c>
      <c r="D1324" s="4" t="e">
        <f>LN(#REF!/#REF!)</f>
        <v>#REF!</v>
      </c>
      <c r="E1324" s="4" t="e">
        <f t="shared" si="21"/>
        <v>#REF!</v>
      </c>
      <c r="F1324" s="4" t="e" cm="1">
        <f t="array" ref="F1324">AVERAGE(B1324:B2831-$I$4/252)/_xlfn.STDEV.S(B1324:B2831-$I$4)</f>
        <v>#REF!</v>
      </c>
      <c r="G1324" s="4"/>
      <c r="H1324" s="4"/>
      <c r="I1324" s="4"/>
      <c r="J1324" s="4"/>
    </row>
    <row r="1325" spans="1:10" x14ac:dyDescent="0.2">
      <c r="A1325" t="e">
        <f>LEFT(#REF!,10)</f>
        <v>#REF!</v>
      </c>
      <c r="B1325" s="4" t="e">
        <f>(#REF!-#REF!)/#REF!</f>
        <v>#REF!</v>
      </c>
      <c r="C1325" s="4" t="e">
        <f>(#REF!-#REF!)/#REF!</f>
        <v>#REF!</v>
      </c>
      <c r="D1325" s="4" t="e">
        <f>LN(#REF!/#REF!)</f>
        <v>#REF!</v>
      </c>
      <c r="E1325" s="4" t="e">
        <f t="shared" si="21"/>
        <v>#REF!</v>
      </c>
      <c r="F1325" s="4" t="e" cm="1">
        <f t="array" ref="F1325">AVERAGE(B1325:B2832-$I$4/252)/_xlfn.STDEV.S(B1325:B2832-$I$4)</f>
        <v>#REF!</v>
      </c>
      <c r="G1325" s="4"/>
      <c r="H1325" s="4"/>
      <c r="I1325" s="4"/>
      <c r="J1325" s="4"/>
    </row>
    <row r="1326" spans="1:10" x14ac:dyDescent="0.2">
      <c r="A1326" t="e">
        <f>LEFT(#REF!,10)</f>
        <v>#REF!</v>
      </c>
      <c r="B1326" s="4" t="e">
        <f>(#REF!-#REF!)/#REF!</f>
        <v>#REF!</v>
      </c>
      <c r="C1326" s="4" t="e">
        <f>(#REF!-#REF!)/#REF!</f>
        <v>#REF!</v>
      </c>
      <c r="D1326" s="4" t="e">
        <f>LN(#REF!/#REF!)</f>
        <v>#REF!</v>
      </c>
      <c r="E1326" s="4" t="e">
        <f t="shared" si="21"/>
        <v>#REF!</v>
      </c>
      <c r="F1326" s="4" t="e" cm="1">
        <f t="array" ref="F1326">AVERAGE(B1326:B2833-$I$4/252)/_xlfn.STDEV.S(B1326:B2833-$I$4)</f>
        <v>#REF!</v>
      </c>
      <c r="G1326" s="4"/>
      <c r="H1326" s="4"/>
      <c r="I1326" s="4"/>
      <c r="J1326" s="4"/>
    </row>
    <row r="1327" spans="1:10" x14ac:dyDescent="0.2">
      <c r="A1327" t="e">
        <f>LEFT(#REF!,10)</f>
        <v>#REF!</v>
      </c>
      <c r="B1327" s="4" t="e">
        <f>(#REF!-#REF!)/#REF!</f>
        <v>#REF!</v>
      </c>
      <c r="C1327" s="4" t="e">
        <f>(#REF!-#REF!)/#REF!</f>
        <v>#REF!</v>
      </c>
      <c r="D1327" s="4" t="e">
        <f>LN(#REF!/#REF!)</f>
        <v>#REF!</v>
      </c>
      <c r="E1327" s="4" t="e">
        <f t="shared" si="21"/>
        <v>#REF!</v>
      </c>
      <c r="F1327" s="4" t="e" cm="1">
        <f t="array" ref="F1327">AVERAGE(B1327:B2834-$I$4/252)/_xlfn.STDEV.S(B1327:B2834-$I$4)</f>
        <v>#REF!</v>
      </c>
      <c r="G1327" s="4"/>
      <c r="H1327" s="4"/>
      <c r="I1327" s="4"/>
      <c r="J1327" s="4"/>
    </row>
    <row r="1328" spans="1:10" x14ac:dyDescent="0.2">
      <c r="A1328" t="e">
        <f>LEFT(#REF!,10)</f>
        <v>#REF!</v>
      </c>
      <c r="B1328" s="4" t="e">
        <f>(#REF!-#REF!)/#REF!</f>
        <v>#REF!</v>
      </c>
      <c r="C1328" s="4" t="e">
        <f>(#REF!-#REF!)/#REF!</f>
        <v>#REF!</v>
      </c>
      <c r="D1328" s="4" t="e">
        <f>LN(#REF!/#REF!)</f>
        <v>#REF!</v>
      </c>
      <c r="E1328" s="4" t="e">
        <f t="shared" si="21"/>
        <v>#REF!</v>
      </c>
      <c r="F1328" s="4" t="e" cm="1">
        <f t="array" ref="F1328">AVERAGE(B1328:B2835-$I$4/252)/_xlfn.STDEV.S(B1328:B2835-$I$4)</f>
        <v>#REF!</v>
      </c>
      <c r="G1328" s="4"/>
      <c r="H1328" s="4"/>
      <c r="I1328" s="4"/>
      <c r="J1328" s="4"/>
    </row>
    <row r="1329" spans="1:10" x14ac:dyDescent="0.2">
      <c r="A1329" t="e">
        <f>LEFT(#REF!,10)</f>
        <v>#REF!</v>
      </c>
      <c r="B1329" s="4" t="e">
        <f>(#REF!-#REF!)/#REF!</f>
        <v>#REF!</v>
      </c>
      <c r="C1329" s="4" t="e">
        <f>(#REF!-#REF!)/#REF!</f>
        <v>#REF!</v>
      </c>
      <c r="D1329" s="4" t="e">
        <f>LN(#REF!/#REF!)</f>
        <v>#REF!</v>
      </c>
      <c r="E1329" s="4" t="e">
        <f t="shared" si="21"/>
        <v>#REF!</v>
      </c>
      <c r="F1329" s="4" t="e" cm="1">
        <f t="array" ref="F1329">AVERAGE(B1329:B2836-$I$4/252)/_xlfn.STDEV.S(B1329:B2836-$I$4)</f>
        <v>#REF!</v>
      </c>
      <c r="G1329" s="4"/>
      <c r="H1329" s="4"/>
      <c r="I1329" s="4"/>
      <c r="J1329" s="4"/>
    </row>
    <row r="1330" spans="1:10" x14ac:dyDescent="0.2">
      <c r="A1330" t="e">
        <f>LEFT(#REF!,10)</f>
        <v>#REF!</v>
      </c>
      <c r="B1330" s="4" t="e">
        <f>(#REF!-#REF!)/#REF!</f>
        <v>#REF!</v>
      </c>
      <c r="C1330" s="4" t="e">
        <f>(#REF!-#REF!)/#REF!</f>
        <v>#REF!</v>
      </c>
      <c r="D1330" s="4" t="e">
        <f>LN(#REF!/#REF!)</f>
        <v>#REF!</v>
      </c>
      <c r="E1330" s="4" t="e">
        <f t="shared" si="21"/>
        <v>#REF!</v>
      </c>
      <c r="F1330" s="4" t="e" cm="1">
        <f t="array" ref="F1330">AVERAGE(B1330:B2837-$I$4/252)/_xlfn.STDEV.S(B1330:B2837-$I$4)</f>
        <v>#REF!</v>
      </c>
      <c r="G1330" s="4"/>
      <c r="H1330" s="4"/>
      <c r="I1330" s="4"/>
      <c r="J1330" s="4"/>
    </row>
    <row r="1331" spans="1:10" x14ac:dyDescent="0.2">
      <c r="A1331" t="e">
        <f>LEFT(#REF!,10)</f>
        <v>#REF!</v>
      </c>
      <c r="B1331" s="4" t="e">
        <f>(#REF!-#REF!)/#REF!</f>
        <v>#REF!</v>
      </c>
      <c r="C1331" s="4" t="e">
        <f>(#REF!-#REF!)/#REF!</f>
        <v>#REF!</v>
      </c>
      <c r="D1331" s="4" t="e">
        <f>LN(#REF!/#REF!)</f>
        <v>#REF!</v>
      </c>
      <c r="E1331" s="4" t="e">
        <f t="shared" si="21"/>
        <v>#REF!</v>
      </c>
      <c r="F1331" s="4" t="e" cm="1">
        <f t="array" ref="F1331">AVERAGE(B1331:B2838-$I$4/252)/_xlfn.STDEV.S(B1331:B2838-$I$4)</f>
        <v>#REF!</v>
      </c>
      <c r="G1331" s="4"/>
      <c r="H1331" s="4"/>
      <c r="I1331" s="4"/>
      <c r="J1331" s="4"/>
    </row>
    <row r="1332" spans="1:10" x14ac:dyDescent="0.2">
      <c r="A1332" t="e">
        <f>LEFT(#REF!,10)</f>
        <v>#REF!</v>
      </c>
      <c r="B1332" s="4" t="e">
        <f>(#REF!-#REF!)/#REF!</f>
        <v>#REF!</v>
      </c>
      <c r="C1332" s="4" t="e">
        <f>(#REF!-#REF!)/#REF!</f>
        <v>#REF!</v>
      </c>
      <c r="D1332" s="4" t="e">
        <f>LN(#REF!/#REF!)</f>
        <v>#REF!</v>
      </c>
      <c r="E1332" s="4" t="e">
        <f t="shared" si="21"/>
        <v>#REF!</v>
      </c>
      <c r="F1332" s="4" t="e" cm="1">
        <f t="array" ref="F1332">AVERAGE(B1332:B2839-$I$4/252)/_xlfn.STDEV.S(B1332:B2839-$I$4)</f>
        <v>#REF!</v>
      </c>
      <c r="G1332" s="4"/>
      <c r="H1332" s="4"/>
      <c r="I1332" s="4"/>
      <c r="J1332" s="4"/>
    </row>
    <row r="1333" spans="1:10" x14ac:dyDescent="0.2">
      <c r="A1333" t="e">
        <f>LEFT(#REF!,10)</f>
        <v>#REF!</v>
      </c>
      <c r="B1333" s="4" t="e">
        <f>(#REF!-#REF!)/#REF!</f>
        <v>#REF!</v>
      </c>
      <c r="C1333" s="4" t="e">
        <f>(#REF!-#REF!)/#REF!</f>
        <v>#REF!</v>
      </c>
      <c r="D1333" s="4" t="e">
        <f>LN(#REF!/#REF!)</f>
        <v>#REF!</v>
      </c>
      <c r="E1333" s="4" t="e">
        <f t="shared" si="21"/>
        <v>#REF!</v>
      </c>
      <c r="F1333" s="4" t="e" cm="1">
        <f t="array" ref="F1333">AVERAGE(B1333:B2840-$I$4/252)/_xlfn.STDEV.S(B1333:B2840-$I$4)</f>
        <v>#REF!</v>
      </c>
      <c r="G1333" s="4"/>
      <c r="H1333" s="4"/>
      <c r="I1333" s="4"/>
      <c r="J1333" s="4"/>
    </row>
    <row r="1334" spans="1:10" x14ac:dyDescent="0.2">
      <c r="A1334" t="e">
        <f>LEFT(#REF!,10)</f>
        <v>#REF!</v>
      </c>
      <c r="B1334" s="4" t="e">
        <f>(#REF!-#REF!)/#REF!</f>
        <v>#REF!</v>
      </c>
      <c r="C1334" s="4" t="e">
        <f>(#REF!-#REF!)/#REF!</f>
        <v>#REF!</v>
      </c>
      <c r="D1334" s="4" t="e">
        <f>LN(#REF!/#REF!)</f>
        <v>#REF!</v>
      </c>
      <c r="E1334" s="4" t="e">
        <f t="shared" si="21"/>
        <v>#REF!</v>
      </c>
      <c r="F1334" s="4" t="e" cm="1">
        <f t="array" ref="F1334">AVERAGE(B1334:B2841-$I$4/252)/_xlfn.STDEV.S(B1334:B2841-$I$4)</f>
        <v>#REF!</v>
      </c>
      <c r="G1334" s="4"/>
      <c r="H1334" s="4"/>
      <c r="I1334" s="4"/>
      <c r="J1334" s="4"/>
    </row>
    <row r="1335" spans="1:10" x14ac:dyDescent="0.2">
      <c r="A1335" t="e">
        <f>LEFT(#REF!,10)</f>
        <v>#REF!</v>
      </c>
      <c r="B1335" s="4" t="e">
        <f>(#REF!-#REF!)/#REF!</f>
        <v>#REF!</v>
      </c>
      <c r="C1335" s="4" t="e">
        <f>(#REF!-#REF!)/#REF!</f>
        <v>#REF!</v>
      </c>
      <c r="D1335" s="4" t="e">
        <f>LN(#REF!/#REF!)</f>
        <v>#REF!</v>
      </c>
      <c r="E1335" s="4" t="e">
        <f t="shared" si="21"/>
        <v>#REF!</v>
      </c>
      <c r="F1335" s="4" t="e" cm="1">
        <f t="array" ref="F1335">AVERAGE(B1335:B2842-$I$4/252)/_xlfn.STDEV.S(B1335:B2842-$I$4)</f>
        <v>#REF!</v>
      </c>
      <c r="G1335" s="4"/>
      <c r="H1335" s="4"/>
      <c r="I1335" s="4"/>
      <c r="J1335" s="4"/>
    </row>
    <row r="1336" spans="1:10" x14ac:dyDescent="0.2">
      <c r="A1336" t="e">
        <f>LEFT(#REF!,10)</f>
        <v>#REF!</v>
      </c>
      <c r="B1336" s="4" t="e">
        <f>(#REF!-#REF!)/#REF!</f>
        <v>#REF!</v>
      </c>
      <c r="C1336" s="4" t="e">
        <f>(#REF!-#REF!)/#REF!</f>
        <v>#REF!</v>
      </c>
      <c r="D1336" s="4" t="e">
        <f>LN(#REF!/#REF!)</f>
        <v>#REF!</v>
      </c>
      <c r="E1336" s="4" t="e">
        <f t="shared" si="21"/>
        <v>#REF!</v>
      </c>
      <c r="F1336" s="4" t="e" cm="1">
        <f t="array" ref="F1336">AVERAGE(B1336:B2843-$I$4/252)/_xlfn.STDEV.S(B1336:B2843-$I$4)</f>
        <v>#REF!</v>
      </c>
      <c r="G1336" s="4"/>
      <c r="H1336" s="4"/>
      <c r="I1336" s="4"/>
      <c r="J1336" s="4"/>
    </row>
    <row r="1337" spans="1:10" x14ac:dyDescent="0.2">
      <c r="A1337" t="e">
        <f>LEFT(#REF!,10)</f>
        <v>#REF!</v>
      </c>
      <c r="B1337" s="4" t="e">
        <f>(#REF!-#REF!)/#REF!</f>
        <v>#REF!</v>
      </c>
      <c r="C1337" s="4" t="e">
        <f>(#REF!-#REF!)/#REF!</f>
        <v>#REF!</v>
      </c>
      <c r="D1337" s="4" t="e">
        <f>LN(#REF!/#REF!)</f>
        <v>#REF!</v>
      </c>
      <c r="E1337" s="4" t="e">
        <f t="shared" si="21"/>
        <v>#REF!</v>
      </c>
      <c r="F1337" s="4" t="e" cm="1">
        <f t="array" ref="F1337">AVERAGE(B1337:B2844-$I$4/252)/_xlfn.STDEV.S(B1337:B2844-$I$4)</f>
        <v>#REF!</v>
      </c>
      <c r="G1337" s="4"/>
      <c r="H1337" s="4"/>
      <c r="I1337" s="4"/>
      <c r="J1337" s="4"/>
    </row>
    <row r="1338" spans="1:10" x14ac:dyDescent="0.2">
      <c r="A1338" t="e">
        <f>LEFT(#REF!,10)</f>
        <v>#REF!</v>
      </c>
      <c r="B1338" s="4" t="e">
        <f>(#REF!-#REF!)/#REF!</f>
        <v>#REF!</v>
      </c>
      <c r="C1338" s="4" t="e">
        <f>(#REF!-#REF!)/#REF!</f>
        <v>#REF!</v>
      </c>
      <c r="D1338" s="4" t="e">
        <f>LN(#REF!/#REF!)</f>
        <v>#REF!</v>
      </c>
      <c r="E1338" s="4" t="e">
        <f t="shared" si="21"/>
        <v>#REF!</v>
      </c>
      <c r="F1338" s="4" t="e" cm="1">
        <f t="array" ref="F1338">AVERAGE(B1338:B2845-$I$4/252)/_xlfn.STDEV.S(B1338:B2845-$I$4)</f>
        <v>#REF!</v>
      </c>
      <c r="G1338" s="4"/>
      <c r="H1338" s="4"/>
      <c r="I1338" s="4"/>
      <c r="J1338" s="4"/>
    </row>
    <row r="1339" spans="1:10" x14ac:dyDescent="0.2">
      <c r="A1339" t="e">
        <f>LEFT(#REF!,10)</f>
        <v>#REF!</v>
      </c>
      <c r="B1339" s="4" t="e">
        <f>(#REF!-#REF!)/#REF!</f>
        <v>#REF!</v>
      </c>
      <c r="C1339" s="4" t="e">
        <f>(#REF!-#REF!)/#REF!</f>
        <v>#REF!</v>
      </c>
      <c r="D1339" s="4" t="e">
        <f>LN(#REF!/#REF!)</f>
        <v>#REF!</v>
      </c>
      <c r="E1339" s="4" t="e">
        <f t="shared" si="21"/>
        <v>#REF!</v>
      </c>
      <c r="F1339" s="4" t="e" cm="1">
        <f t="array" ref="F1339">AVERAGE(B1339:B2846-$I$4/252)/_xlfn.STDEV.S(B1339:B2846-$I$4)</f>
        <v>#REF!</v>
      </c>
      <c r="G1339" s="4"/>
      <c r="H1339" s="4"/>
      <c r="I1339" s="4"/>
      <c r="J1339" s="4"/>
    </row>
    <row r="1340" spans="1:10" x14ac:dyDescent="0.2">
      <c r="A1340" t="e">
        <f>LEFT(#REF!,10)</f>
        <v>#REF!</v>
      </c>
      <c r="B1340" s="4" t="e">
        <f>(#REF!-#REF!)/#REF!</f>
        <v>#REF!</v>
      </c>
      <c r="C1340" s="4" t="e">
        <f>(#REF!-#REF!)/#REF!</f>
        <v>#REF!</v>
      </c>
      <c r="D1340" s="4" t="e">
        <f>LN(#REF!/#REF!)</f>
        <v>#REF!</v>
      </c>
      <c r="E1340" s="4" t="e">
        <f t="shared" si="21"/>
        <v>#REF!</v>
      </c>
      <c r="F1340" s="4" t="e" cm="1">
        <f t="array" ref="F1340">AVERAGE(B1340:B2847-$I$4/252)/_xlfn.STDEV.S(B1340:B2847-$I$4)</f>
        <v>#REF!</v>
      </c>
      <c r="G1340" s="4"/>
      <c r="H1340" s="4"/>
      <c r="I1340" s="4"/>
      <c r="J1340" s="4"/>
    </row>
    <row r="1341" spans="1:10" x14ac:dyDescent="0.2">
      <c r="A1341" t="e">
        <f>LEFT(#REF!,10)</f>
        <v>#REF!</v>
      </c>
      <c r="B1341" s="4" t="e">
        <f>(#REF!-#REF!)/#REF!</f>
        <v>#REF!</v>
      </c>
      <c r="C1341" s="4" t="e">
        <f>(#REF!-#REF!)/#REF!</f>
        <v>#REF!</v>
      </c>
      <c r="D1341" s="4" t="e">
        <f>LN(#REF!/#REF!)</f>
        <v>#REF!</v>
      </c>
      <c r="E1341" s="4" t="e">
        <f t="shared" si="21"/>
        <v>#REF!</v>
      </c>
      <c r="F1341" s="4" t="e" cm="1">
        <f t="array" ref="F1341">AVERAGE(B1341:B2848-$I$4/252)/_xlfn.STDEV.S(B1341:B2848-$I$4)</f>
        <v>#REF!</v>
      </c>
      <c r="G1341" s="4"/>
      <c r="H1341" s="4"/>
      <c r="I1341" s="4"/>
      <c r="J1341" s="4"/>
    </row>
    <row r="1342" spans="1:10" x14ac:dyDescent="0.2">
      <c r="A1342" t="e">
        <f>LEFT(#REF!,10)</f>
        <v>#REF!</v>
      </c>
      <c r="B1342" s="4" t="e">
        <f>(#REF!-#REF!)/#REF!</f>
        <v>#REF!</v>
      </c>
      <c r="C1342" s="4" t="e">
        <f>(#REF!-#REF!)/#REF!</f>
        <v>#REF!</v>
      </c>
      <c r="D1342" s="4" t="e">
        <f>LN(#REF!/#REF!)</f>
        <v>#REF!</v>
      </c>
      <c r="E1342" s="4" t="e">
        <f t="shared" si="21"/>
        <v>#REF!</v>
      </c>
      <c r="F1342" s="4" t="e" cm="1">
        <f t="array" ref="F1342">AVERAGE(B1342:B2849-$I$4/252)/_xlfn.STDEV.S(B1342:B2849-$I$4)</f>
        <v>#REF!</v>
      </c>
      <c r="G1342" s="4"/>
      <c r="H1342" s="4"/>
      <c r="I1342" s="4"/>
      <c r="J1342" s="4"/>
    </row>
    <row r="1343" spans="1:10" x14ac:dyDescent="0.2">
      <c r="A1343" t="e">
        <f>LEFT(#REF!,10)</f>
        <v>#REF!</v>
      </c>
      <c r="B1343" s="4" t="e">
        <f>(#REF!-#REF!)/#REF!</f>
        <v>#REF!</v>
      </c>
      <c r="C1343" s="4" t="e">
        <f>(#REF!-#REF!)/#REF!</f>
        <v>#REF!</v>
      </c>
      <c r="D1343" s="4" t="e">
        <f>LN(#REF!/#REF!)</f>
        <v>#REF!</v>
      </c>
      <c r="E1343" s="4" t="e">
        <f t="shared" si="21"/>
        <v>#REF!</v>
      </c>
      <c r="F1343" s="4" t="e" cm="1">
        <f t="array" ref="F1343">AVERAGE(B1343:B2850-$I$4/252)/_xlfn.STDEV.S(B1343:B2850-$I$4)</f>
        <v>#REF!</v>
      </c>
      <c r="G1343" s="4"/>
      <c r="H1343" s="4"/>
      <c r="I1343" s="4"/>
      <c r="J1343" s="4"/>
    </row>
    <row r="1344" spans="1:10" x14ac:dyDescent="0.2">
      <c r="A1344" t="e">
        <f>LEFT(#REF!,10)</f>
        <v>#REF!</v>
      </c>
      <c r="B1344" s="4" t="e">
        <f>(#REF!-#REF!)/#REF!</f>
        <v>#REF!</v>
      </c>
      <c r="C1344" s="4" t="e">
        <f>(#REF!-#REF!)/#REF!</f>
        <v>#REF!</v>
      </c>
      <c r="D1344" s="4" t="e">
        <f>LN(#REF!/#REF!)</f>
        <v>#REF!</v>
      </c>
      <c r="E1344" s="4" t="e">
        <f t="shared" si="21"/>
        <v>#REF!</v>
      </c>
      <c r="F1344" s="4" t="e" cm="1">
        <f t="array" ref="F1344">AVERAGE(B1344:B2851-$I$4/252)/_xlfn.STDEV.S(B1344:B2851-$I$4)</f>
        <v>#REF!</v>
      </c>
      <c r="G1344" s="4"/>
      <c r="H1344" s="4"/>
      <c r="I1344" s="4"/>
      <c r="J1344" s="4"/>
    </row>
    <row r="1345" spans="1:10" x14ac:dyDescent="0.2">
      <c r="A1345" t="e">
        <f>LEFT(#REF!,10)</f>
        <v>#REF!</v>
      </c>
      <c r="B1345" s="4" t="e">
        <f>(#REF!-#REF!)/#REF!</f>
        <v>#REF!</v>
      </c>
      <c r="C1345" s="4" t="e">
        <f>(#REF!-#REF!)/#REF!</f>
        <v>#REF!</v>
      </c>
      <c r="D1345" s="4" t="e">
        <f>LN(#REF!/#REF!)</f>
        <v>#REF!</v>
      </c>
      <c r="E1345" s="4" t="e">
        <f t="shared" si="21"/>
        <v>#REF!</v>
      </c>
      <c r="F1345" s="4" t="e" cm="1">
        <f t="array" ref="F1345">AVERAGE(B1345:B2852-$I$4/252)/_xlfn.STDEV.S(B1345:B2852-$I$4)</f>
        <v>#REF!</v>
      </c>
      <c r="G1345" s="4"/>
      <c r="H1345" s="4"/>
      <c r="I1345" s="4"/>
      <c r="J1345" s="4"/>
    </row>
    <row r="1346" spans="1:10" x14ac:dyDescent="0.2">
      <c r="A1346" t="e">
        <f>LEFT(#REF!,10)</f>
        <v>#REF!</v>
      </c>
      <c r="B1346" s="4" t="e">
        <f>(#REF!-#REF!)/#REF!</f>
        <v>#REF!</v>
      </c>
      <c r="C1346" s="4" t="e">
        <f>(#REF!-#REF!)/#REF!</f>
        <v>#REF!</v>
      </c>
      <c r="D1346" s="4" t="e">
        <f>LN(#REF!/#REF!)</f>
        <v>#REF!</v>
      </c>
      <c r="E1346" s="4" t="e">
        <f t="shared" si="21"/>
        <v>#REF!</v>
      </c>
      <c r="F1346" s="4" t="e" cm="1">
        <f t="array" ref="F1346">AVERAGE(B1346:B2853-$I$4/252)/_xlfn.STDEV.S(B1346:B2853-$I$4)</f>
        <v>#REF!</v>
      </c>
      <c r="G1346" s="4"/>
      <c r="H1346" s="4"/>
      <c r="I1346" s="4"/>
      <c r="J1346" s="4"/>
    </row>
    <row r="1347" spans="1:10" x14ac:dyDescent="0.2">
      <c r="A1347" t="e">
        <f>LEFT(#REF!,10)</f>
        <v>#REF!</v>
      </c>
      <c r="B1347" s="4" t="e">
        <f>(#REF!-#REF!)/#REF!</f>
        <v>#REF!</v>
      </c>
      <c r="C1347" s="4" t="e">
        <f>(#REF!-#REF!)/#REF!</f>
        <v>#REF!</v>
      </c>
      <c r="D1347" s="4" t="e">
        <f>LN(#REF!/#REF!)</f>
        <v>#REF!</v>
      </c>
      <c r="E1347" s="4" t="e">
        <f t="shared" si="21"/>
        <v>#REF!</v>
      </c>
      <c r="F1347" s="4" t="e" cm="1">
        <f t="array" ref="F1347">AVERAGE(B1347:B2854-$I$4/252)/_xlfn.STDEV.S(B1347:B2854-$I$4)</f>
        <v>#REF!</v>
      </c>
      <c r="G1347" s="4"/>
      <c r="H1347" s="4"/>
      <c r="I1347" s="4"/>
      <c r="J1347" s="4"/>
    </row>
    <row r="1348" spans="1:10" x14ac:dyDescent="0.2">
      <c r="A1348" t="e">
        <f>LEFT(#REF!,10)</f>
        <v>#REF!</v>
      </c>
      <c r="B1348" s="4" t="e">
        <f>(#REF!-#REF!)/#REF!</f>
        <v>#REF!</v>
      </c>
      <c r="C1348" s="4" t="e">
        <f>(#REF!-#REF!)/#REF!</f>
        <v>#REF!</v>
      </c>
      <c r="D1348" s="4" t="e">
        <f>LN(#REF!/#REF!)</f>
        <v>#REF!</v>
      </c>
      <c r="E1348" s="4" t="e">
        <f t="shared" si="21"/>
        <v>#REF!</v>
      </c>
      <c r="F1348" s="4" t="e" cm="1">
        <f t="array" ref="F1348">AVERAGE(B1348:B2855-$I$4/252)/_xlfn.STDEV.S(B1348:B2855-$I$4)</f>
        <v>#REF!</v>
      </c>
      <c r="G1348" s="4"/>
      <c r="H1348" s="4"/>
      <c r="I1348" s="4"/>
      <c r="J1348" s="4"/>
    </row>
    <row r="1349" spans="1:10" x14ac:dyDescent="0.2">
      <c r="A1349" t="e">
        <f>LEFT(#REF!,10)</f>
        <v>#REF!</v>
      </c>
      <c r="B1349" s="4" t="e">
        <f>(#REF!-#REF!)/#REF!</f>
        <v>#REF!</v>
      </c>
      <c r="C1349" s="4" t="e">
        <f>(#REF!-#REF!)/#REF!</f>
        <v>#REF!</v>
      </c>
      <c r="D1349" s="4" t="e">
        <f>LN(#REF!/#REF!)</f>
        <v>#REF!</v>
      </c>
      <c r="E1349" s="4" t="e">
        <f t="shared" ref="E1349:E1412" si="22">_xlfn.STDEV.S(D1349:D1368)</f>
        <v>#REF!</v>
      </c>
      <c r="F1349" s="4" t="e" cm="1">
        <f t="array" ref="F1349">AVERAGE(B1349:B2856-$I$4/252)/_xlfn.STDEV.S(B1349:B2856-$I$4)</f>
        <v>#REF!</v>
      </c>
      <c r="G1349" s="4"/>
      <c r="H1349" s="4"/>
      <c r="I1349" s="4"/>
      <c r="J1349" s="4"/>
    </row>
    <row r="1350" spans="1:10" x14ac:dyDescent="0.2">
      <c r="A1350" t="e">
        <f>LEFT(#REF!,10)</f>
        <v>#REF!</v>
      </c>
      <c r="B1350" s="4" t="e">
        <f>(#REF!-#REF!)/#REF!</f>
        <v>#REF!</v>
      </c>
      <c r="C1350" s="4" t="e">
        <f>(#REF!-#REF!)/#REF!</f>
        <v>#REF!</v>
      </c>
      <c r="D1350" s="4" t="e">
        <f>LN(#REF!/#REF!)</f>
        <v>#REF!</v>
      </c>
      <c r="E1350" s="4" t="e">
        <f t="shared" si="22"/>
        <v>#REF!</v>
      </c>
      <c r="F1350" s="4" t="e" cm="1">
        <f t="array" ref="F1350">AVERAGE(B1350:B2857-$I$4/252)/_xlfn.STDEV.S(B1350:B2857-$I$4)</f>
        <v>#REF!</v>
      </c>
      <c r="G1350" s="4"/>
      <c r="H1350" s="4"/>
      <c r="I1350" s="4"/>
      <c r="J1350" s="4"/>
    </row>
    <row r="1351" spans="1:10" x14ac:dyDescent="0.2">
      <c r="A1351" t="e">
        <f>LEFT(#REF!,10)</f>
        <v>#REF!</v>
      </c>
      <c r="B1351" s="4" t="e">
        <f>(#REF!-#REF!)/#REF!</f>
        <v>#REF!</v>
      </c>
      <c r="C1351" s="4" t="e">
        <f>(#REF!-#REF!)/#REF!</f>
        <v>#REF!</v>
      </c>
      <c r="D1351" s="4" t="e">
        <f>LN(#REF!/#REF!)</f>
        <v>#REF!</v>
      </c>
      <c r="E1351" s="4" t="e">
        <f t="shared" si="22"/>
        <v>#REF!</v>
      </c>
      <c r="F1351" s="4" t="e" cm="1">
        <f t="array" ref="F1351">AVERAGE(B1351:B2858-$I$4/252)/_xlfn.STDEV.S(B1351:B2858-$I$4)</f>
        <v>#REF!</v>
      </c>
      <c r="G1351" s="4"/>
      <c r="H1351" s="4"/>
      <c r="I1351" s="4"/>
      <c r="J1351" s="4"/>
    </row>
    <row r="1352" spans="1:10" x14ac:dyDescent="0.2">
      <c r="A1352" t="e">
        <f>LEFT(#REF!,10)</f>
        <v>#REF!</v>
      </c>
      <c r="B1352" s="4" t="e">
        <f>(#REF!-#REF!)/#REF!</f>
        <v>#REF!</v>
      </c>
      <c r="C1352" s="4" t="e">
        <f>(#REF!-#REF!)/#REF!</f>
        <v>#REF!</v>
      </c>
      <c r="D1352" s="4" t="e">
        <f>LN(#REF!/#REF!)</f>
        <v>#REF!</v>
      </c>
      <c r="E1352" s="4" t="e">
        <f t="shared" si="22"/>
        <v>#REF!</v>
      </c>
      <c r="F1352" s="4" t="e" cm="1">
        <f t="array" ref="F1352">AVERAGE(B1352:B2859-$I$4/252)/_xlfn.STDEV.S(B1352:B2859-$I$4)</f>
        <v>#REF!</v>
      </c>
      <c r="G1352" s="4"/>
      <c r="H1352" s="4"/>
      <c r="I1352" s="4"/>
      <c r="J1352" s="4"/>
    </row>
    <row r="1353" spans="1:10" x14ac:dyDescent="0.2">
      <c r="A1353" t="e">
        <f>LEFT(#REF!,10)</f>
        <v>#REF!</v>
      </c>
      <c r="B1353" s="4" t="e">
        <f>(#REF!-#REF!)/#REF!</f>
        <v>#REF!</v>
      </c>
      <c r="C1353" s="4" t="e">
        <f>(#REF!-#REF!)/#REF!</f>
        <v>#REF!</v>
      </c>
      <c r="D1353" s="4" t="e">
        <f>LN(#REF!/#REF!)</f>
        <v>#REF!</v>
      </c>
      <c r="E1353" s="4" t="e">
        <f t="shared" si="22"/>
        <v>#REF!</v>
      </c>
      <c r="F1353" s="4" t="e" cm="1">
        <f t="array" ref="F1353">AVERAGE(B1353:B2860-$I$4/252)/_xlfn.STDEV.S(B1353:B2860-$I$4)</f>
        <v>#REF!</v>
      </c>
      <c r="G1353" s="4"/>
      <c r="H1353" s="4"/>
      <c r="I1353" s="4"/>
      <c r="J1353" s="4"/>
    </row>
    <row r="1354" spans="1:10" x14ac:dyDescent="0.2">
      <c r="A1354" t="e">
        <f>LEFT(#REF!,10)</f>
        <v>#REF!</v>
      </c>
      <c r="B1354" s="4" t="e">
        <f>(#REF!-#REF!)/#REF!</f>
        <v>#REF!</v>
      </c>
      <c r="C1354" s="4" t="e">
        <f>(#REF!-#REF!)/#REF!</f>
        <v>#REF!</v>
      </c>
      <c r="D1354" s="4" t="e">
        <f>LN(#REF!/#REF!)</f>
        <v>#REF!</v>
      </c>
      <c r="E1354" s="4" t="e">
        <f t="shared" si="22"/>
        <v>#REF!</v>
      </c>
      <c r="F1354" s="4" t="e" cm="1">
        <f t="array" ref="F1354">AVERAGE(B1354:B2861-$I$4/252)/_xlfn.STDEV.S(B1354:B2861-$I$4)</f>
        <v>#REF!</v>
      </c>
      <c r="G1354" s="4"/>
      <c r="H1354" s="4"/>
      <c r="I1354" s="4"/>
      <c r="J1354" s="4"/>
    </row>
    <row r="1355" spans="1:10" x14ac:dyDescent="0.2">
      <c r="A1355" t="e">
        <f>LEFT(#REF!,10)</f>
        <v>#REF!</v>
      </c>
      <c r="B1355" s="4" t="e">
        <f>(#REF!-#REF!)/#REF!</f>
        <v>#REF!</v>
      </c>
      <c r="C1355" s="4" t="e">
        <f>(#REF!-#REF!)/#REF!</f>
        <v>#REF!</v>
      </c>
      <c r="D1355" s="4" t="e">
        <f>LN(#REF!/#REF!)</f>
        <v>#REF!</v>
      </c>
      <c r="E1355" s="4" t="e">
        <f t="shared" si="22"/>
        <v>#REF!</v>
      </c>
      <c r="F1355" s="4" t="e" cm="1">
        <f t="array" ref="F1355">AVERAGE(B1355:B2862-$I$4/252)/_xlfn.STDEV.S(B1355:B2862-$I$4)</f>
        <v>#REF!</v>
      </c>
      <c r="G1355" s="4"/>
      <c r="H1355" s="4"/>
      <c r="I1355" s="4"/>
      <c r="J1355" s="4"/>
    </row>
    <row r="1356" spans="1:10" x14ac:dyDescent="0.2">
      <c r="A1356" t="e">
        <f>LEFT(#REF!,10)</f>
        <v>#REF!</v>
      </c>
      <c r="B1356" s="4" t="e">
        <f>(#REF!-#REF!)/#REF!</f>
        <v>#REF!</v>
      </c>
      <c r="C1356" s="4" t="e">
        <f>(#REF!-#REF!)/#REF!</f>
        <v>#REF!</v>
      </c>
      <c r="D1356" s="4" t="e">
        <f>LN(#REF!/#REF!)</f>
        <v>#REF!</v>
      </c>
      <c r="E1356" s="4" t="e">
        <f t="shared" si="22"/>
        <v>#REF!</v>
      </c>
      <c r="F1356" s="4" t="e" cm="1">
        <f t="array" ref="F1356">AVERAGE(B1356:B2863-$I$4/252)/_xlfn.STDEV.S(B1356:B2863-$I$4)</f>
        <v>#REF!</v>
      </c>
      <c r="G1356" s="4"/>
      <c r="H1356" s="4"/>
      <c r="I1356" s="4"/>
      <c r="J1356" s="4"/>
    </row>
    <row r="1357" spans="1:10" x14ac:dyDescent="0.2">
      <c r="A1357" t="e">
        <f>LEFT(#REF!,10)</f>
        <v>#REF!</v>
      </c>
      <c r="B1357" s="4" t="e">
        <f>(#REF!-#REF!)/#REF!</f>
        <v>#REF!</v>
      </c>
      <c r="C1357" s="4" t="e">
        <f>(#REF!-#REF!)/#REF!</f>
        <v>#REF!</v>
      </c>
      <c r="D1357" s="4" t="e">
        <f>LN(#REF!/#REF!)</f>
        <v>#REF!</v>
      </c>
      <c r="E1357" s="4" t="e">
        <f t="shared" si="22"/>
        <v>#REF!</v>
      </c>
      <c r="F1357" s="4" t="e" cm="1">
        <f t="array" ref="F1357">AVERAGE(B1357:B2864-$I$4/252)/_xlfn.STDEV.S(B1357:B2864-$I$4)</f>
        <v>#REF!</v>
      </c>
      <c r="G1357" s="4"/>
      <c r="H1357" s="4"/>
      <c r="I1357" s="4"/>
      <c r="J1357" s="4"/>
    </row>
    <row r="1358" spans="1:10" x14ac:dyDescent="0.2">
      <c r="A1358" t="e">
        <f>LEFT(#REF!,10)</f>
        <v>#REF!</v>
      </c>
      <c r="B1358" s="4" t="e">
        <f>(#REF!-#REF!)/#REF!</f>
        <v>#REF!</v>
      </c>
      <c r="C1358" s="4" t="e">
        <f>(#REF!-#REF!)/#REF!</f>
        <v>#REF!</v>
      </c>
      <c r="D1358" s="4" t="e">
        <f>LN(#REF!/#REF!)</f>
        <v>#REF!</v>
      </c>
      <c r="E1358" s="4" t="e">
        <f t="shared" si="22"/>
        <v>#REF!</v>
      </c>
      <c r="F1358" s="4" t="e" cm="1">
        <f t="array" ref="F1358">AVERAGE(B1358:B2865-$I$4/252)/_xlfn.STDEV.S(B1358:B2865-$I$4)</f>
        <v>#REF!</v>
      </c>
      <c r="G1358" s="4"/>
      <c r="H1358" s="4"/>
      <c r="I1358" s="4"/>
      <c r="J1358" s="4"/>
    </row>
    <row r="1359" spans="1:10" x14ac:dyDescent="0.2">
      <c r="A1359" t="e">
        <f>LEFT(#REF!,10)</f>
        <v>#REF!</v>
      </c>
      <c r="B1359" s="4" t="e">
        <f>(#REF!-#REF!)/#REF!</f>
        <v>#REF!</v>
      </c>
      <c r="C1359" s="4" t="e">
        <f>(#REF!-#REF!)/#REF!</f>
        <v>#REF!</v>
      </c>
      <c r="D1359" s="4" t="e">
        <f>LN(#REF!/#REF!)</f>
        <v>#REF!</v>
      </c>
      <c r="E1359" s="4" t="e">
        <f t="shared" si="22"/>
        <v>#REF!</v>
      </c>
      <c r="F1359" s="4" t="e" cm="1">
        <f t="array" ref="F1359">AVERAGE(B1359:B2866-$I$4/252)/_xlfn.STDEV.S(B1359:B2866-$I$4)</f>
        <v>#REF!</v>
      </c>
      <c r="G1359" s="4"/>
      <c r="H1359" s="4"/>
      <c r="I1359" s="4"/>
      <c r="J1359" s="4"/>
    </row>
    <row r="1360" spans="1:10" x14ac:dyDescent="0.2">
      <c r="A1360" t="e">
        <f>LEFT(#REF!,10)</f>
        <v>#REF!</v>
      </c>
      <c r="B1360" s="4" t="e">
        <f>(#REF!-#REF!)/#REF!</f>
        <v>#REF!</v>
      </c>
      <c r="C1360" s="4" t="e">
        <f>(#REF!-#REF!)/#REF!</f>
        <v>#REF!</v>
      </c>
      <c r="D1360" s="4" t="e">
        <f>LN(#REF!/#REF!)</f>
        <v>#REF!</v>
      </c>
      <c r="E1360" s="4" t="e">
        <f t="shared" si="22"/>
        <v>#REF!</v>
      </c>
      <c r="F1360" s="4" t="e" cm="1">
        <f t="array" ref="F1360">AVERAGE(B1360:B2867-$I$4/252)/_xlfn.STDEV.S(B1360:B2867-$I$4)</f>
        <v>#REF!</v>
      </c>
      <c r="G1360" s="4"/>
      <c r="H1360" s="4"/>
      <c r="I1360" s="4"/>
      <c r="J1360" s="4"/>
    </row>
    <row r="1361" spans="1:10" x14ac:dyDescent="0.2">
      <c r="A1361" t="e">
        <f>LEFT(#REF!,10)</f>
        <v>#REF!</v>
      </c>
      <c r="B1361" s="4" t="e">
        <f>(#REF!-#REF!)/#REF!</f>
        <v>#REF!</v>
      </c>
      <c r="C1361" s="4" t="e">
        <f>(#REF!-#REF!)/#REF!</f>
        <v>#REF!</v>
      </c>
      <c r="D1361" s="4" t="e">
        <f>LN(#REF!/#REF!)</f>
        <v>#REF!</v>
      </c>
      <c r="E1361" s="4" t="e">
        <f t="shared" si="22"/>
        <v>#REF!</v>
      </c>
      <c r="F1361" s="4" t="e" cm="1">
        <f t="array" ref="F1361">AVERAGE(B1361:B2868-$I$4/252)/_xlfn.STDEV.S(B1361:B2868-$I$4)</f>
        <v>#REF!</v>
      </c>
      <c r="G1361" s="4"/>
      <c r="H1361" s="4"/>
      <c r="I1361" s="4"/>
      <c r="J1361" s="4"/>
    </row>
    <row r="1362" spans="1:10" x14ac:dyDescent="0.2">
      <c r="A1362" t="e">
        <f>LEFT(#REF!,10)</f>
        <v>#REF!</v>
      </c>
      <c r="B1362" s="4" t="e">
        <f>(#REF!-#REF!)/#REF!</f>
        <v>#REF!</v>
      </c>
      <c r="C1362" s="4" t="e">
        <f>(#REF!-#REF!)/#REF!</f>
        <v>#REF!</v>
      </c>
      <c r="D1362" s="4" t="e">
        <f>LN(#REF!/#REF!)</f>
        <v>#REF!</v>
      </c>
      <c r="E1362" s="4" t="e">
        <f t="shared" si="22"/>
        <v>#REF!</v>
      </c>
      <c r="F1362" s="4" t="e" cm="1">
        <f t="array" ref="F1362">AVERAGE(B1362:B2869-$I$4/252)/_xlfn.STDEV.S(B1362:B2869-$I$4)</f>
        <v>#REF!</v>
      </c>
      <c r="G1362" s="4"/>
      <c r="H1362" s="4"/>
      <c r="I1362" s="4"/>
      <c r="J1362" s="4"/>
    </row>
    <row r="1363" spans="1:10" x14ac:dyDescent="0.2">
      <c r="A1363" t="e">
        <f>LEFT(#REF!,10)</f>
        <v>#REF!</v>
      </c>
      <c r="B1363" s="4" t="e">
        <f>(#REF!-#REF!)/#REF!</f>
        <v>#REF!</v>
      </c>
      <c r="C1363" s="4" t="e">
        <f>(#REF!-#REF!)/#REF!</f>
        <v>#REF!</v>
      </c>
      <c r="D1363" s="4" t="e">
        <f>LN(#REF!/#REF!)</f>
        <v>#REF!</v>
      </c>
      <c r="E1363" s="4" t="e">
        <f t="shared" si="22"/>
        <v>#REF!</v>
      </c>
      <c r="F1363" s="4" t="e" cm="1">
        <f t="array" ref="F1363">AVERAGE(B1363:B2870-$I$4/252)/_xlfn.STDEV.S(B1363:B2870-$I$4)</f>
        <v>#REF!</v>
      </c>
      <c r="G1363" s="4"/>
      <c r="H1363" s="4"/>
      <c r="I1363" s="4"/>
      <c r="J1363" s="4"/>
    </row>
    <row r="1364" spans="1:10" x14ac:dyDescent="0.2">
      <c r="A1364" t="e">
        <f>LEFT(#REF!,10)</f>
        <v>#REF!</v>
      </c>
      <c r="B1364" s="4" t="e">
        <f>(#REF!-#REF!)/#REF!</f>
        <v>#REF!</v>
      </c>
      <c r="C1364" s="4" t="e">
        <f>(#REF!-#REF!)/#REF!</f>
        <v>#REF!</v>
      </c>
      <c r="D1364" s="4" t="e">
        <f>LN(#REF!/#REF!)</f>
        <v>#REF!</v>
      </c>
      <c r="E1364" s="4" t="e">
        <f t="shared" si="22"/>
        <v>#REF!</v>
      </c>
      <c r="F1364" s="4" t="e" cm="1">
        <f t="array" ref="F1364">AVERAGE(B1364:B2871-$I$4/252)/_xlfn.STDEV.S(B1364:B2871-$I$4)</f>
        <v>#REF!</v>
      </c>
      <c r="G1364" s="4"/>
      <c r="H1364" s="4"/>
      <c r="I1364" s="4"/>
      <c r="J1364" s="4"/>
    </row>
    <row r="1365" spans="1:10" x14ac:dyDescent="0.2">
      <c r="A1365" t="e">
        <f>LEFT(#REF!,10)</f>
        <v>#REF!</v>
      </c>
      <c r="B1365" s="4" t="e">
        <f>(#REF!-#REF!)/#REF!</f>
        <v>#REF!</v>
      </c>
      <c r="C1365" s="4" t="e">
        <f>(#REF!-#REF!)/#REF!</f>
        <v>#REF!</v>
      </c>
      <c r="D1365" s="4" t="e">
        <f>LN(#REF!/#REF!)</f>
        <v>#REF!</v>
      </c>
      <c r="E1365" s="4" t="e">
        <f t="shared" si="22"/>
        <v>#REF!</v>
      </c>
      <c r="F1365" s="4" t="e" cm="1">
        <f t="array" ref="F1365">AVERAGE(B1365:B2872-$I$4/252)/_xlfn.STDEV.S(B1365:B2872-$I$4)</f>
        <v>#REF!</v>
      </c>
      <c r="G1365" s="4"/>
      <c r="H1365" s="4"/>
      <c r="I1365" s="4"/>
      <c r="J1365" s="4"/>
    </row>
    <row r="1366" spans="1:10" x14ac:dyDescent="0.2">
      <c r="A1366" t="e">
        <f>LEFT(#REF!,10)</f>
        <v>#REF!</v>
      </c>
      <c r="B1366" s="4" t="e">
        <f>(#REF!-#REF!)/#REF!</f>
        <v>#REF!</v>
      </c>
      <c r="C1366" s="4" t="e">
        <f>(#REF!-#REF!)/#REF!</f>
        <v>#REF!</v>
      </c>
      <c r="D1366" s="4" t="e">
        <f>LN(#REF!/#REF!)</f>
        <v>#REF!</v>
      </c>
      <c r="E1366" s="4" t="e">
        <f t="shared" si="22"/>
        <v>#REF!</v>
      </c>
      <c r="F1366" s="4" t="e" cm="1">
        <f t="array" ref="F1366">AVERAGE(B1366:B2873-$I$4/252)/_xlfn.STDEV.S(B1366:B2873-$I$4)</f>
        <v>#REF!</v>
      </c>
      <c r="G1366" s="4"/>
      <c r="H1366" s="4"/>
      <c r="I1366" s="4"/>
      <c r="J1366" s="4"/>
    </row>
    <row r="1367" spans="1:10" x14ac:dyDescent="0.2">
      <c r="A1367" t="e">
        <f>LEFT(#REF!,10)</f>
        <v>#REF!</v>
      </c>
      <c r="B1367" s="4" t="e">
        <f>(#REF!-#REF!)/#REF!</f>
        <v>#REF!</v>
      </c>
      <c r="C1367" s="4" t="e">
        <f>(#REF!-#REF!)/#REF!</f>
        <v>#REF!</v>
      </c>
      <c r="D1367" s="4" t="e">
        <f>LN(#REF!/#REF!)</f>
        <v>#REF!</v>
      </c>
      <c r="E1367" s="4" t="e">
        <f t="shared" si="22"/>
        <v>#REF!</v>
      </c>
      <c r="F1367" s="4" t="e" cm="1">
        <f t="array" ref="F1367">AVERAGE(B1367:B2874-$I$4/252)/_xlfn.STDEV.S(B1367:B2874-$I$4)</f>
        <v>#REF!</v>
      </c>
      <c r="G1367" s="4"/>
      <c r="H1367" s="4"/>
      <c r="I1367" s="4"/>
      <c r="J1367" s="4"/>
    </row>
    <row r="1368" spans="1:10" x14ac:dyDescent="0.2">
      <c r="A1368" t="e">
        <f>LEFT(#REF!,10)</f>
        <v>#REF!</v>
      </c>
      <c r="B1368" s="4" t="e">
        <f>(#REF!-#REF!)/#REF!</f>
        <v>#REF!</v>
      </c>
      <c r="C1368" s="4" t="e">
        <f>(#REF!-#REF!)/#REF!</f>
        <v>#REF!</v>
      </c>
      <c r="D1368" s="4" t="e">
        <f>LN(#REF!/#REF!)</f>
        <v>#REF!</v>
      </c>
      <c r="E1368" s="4" t="e">
        <f t="shared" si="22"/>
        <v>#REF!</v>
      </c>
      <c r="F1368" s="4" t="e" cm="1">
        <f t="array" ref="F1368">AVERAGE(B1368:B2875-$I$4/252)/_xlfn.STDEV.S(B1368:B2875-$I$4)</f>
        <v>#REF!</v>
      </c>
      <c r="G1368" s="4"/>
      <c r="H1368" s="4"/>
      <c r="I1368" s="4"/>
      <c r="J1368" s="4"/>
    </row>
    <row r="1369" spans="1:10" x14ac:dyDescent="0.2">
      <c r="A1369" t="e">
        <f>LEFT(#REF!,10)</f>
        <v>#REF!</v>
      </c>
      <c r="B1369" s="4" t="e">
        <f>(#REF!-#REF!)/#REF!</f>
        <v>#REF!</v>
      </c>
      <c r="C1369" s="4" t="e">
        <f>(#REF!-#REF!)/#REF!</f>
        <v>#REF!</v>
      </c>
      <c r="D1369" s="4" t="e">
        <f>LN(#REF!/#REF!)</f>
        <v>#REF!</v>
      </c>
      <c r="E1369" s="4" t="e">
        <f t="shared" si="22"/>
        <v>#REF!</v>
      </c>
      <c r="F1369" s="4" t="e" cm="1">
        <f t="array" ref="F1369">AVERAGE(B1369:B2876-$I$4/252)/_xlfn.STDEV.S(B1369:B2876-$I$4)</f>
        <v>#REF!</v>
      </c>
      <c r="G1369" s="4"/>
      <c r="H1369" s="4"/>
      <c r="I1369" s="4"/>
      <c r="J1369" s="4"/>
    </row>
    <row r="1370" spans="1:10" x14ac:dyDescent="0.2">
      <c r="A1370" t="e">
        <f>LEFT(#REF!,10)</f>
        <v>#REF!</v>
      </c>
      <c r="B1370" s="4" t="e">
        <f>(#REF!-#REF!)/#REF!</f>
        <v>#REF!</v>
      </c>
      <c r="C1370" s="4" t="e">
        <f>(#REF!-#REF!)/#REF!</f>
        <v>#REF!</v>
      </c>
      <c r="D1370" s="4" t="e">
        <f>LN(#REF!/#REF!)</f>
        <v>#REF!</v>
      </c>
      <c r="E1370" s="4" t="e">
        <f t="shared" si="22"/>
        <v>#REF!</v>
      </c>
      <c r="F1370" s="4" t="e" cm="1">
        <f t="array" ref="F1370">AVERAGE(B1370:B2877-$I$4/252)/_xlfn.STDEV.S(B1370:B2877-$I$4)</f>
        <v>#REF!</v>
      </c>
      <c r="G1370" s="4"/>
      <c r="H1370" s="4"/>
      <c r="I1370" s="4"/>
      <c r="J1370" s="4"/>
    </row>
    <row r="1371" spans="1:10" x14ac:dyDescent="0.2">
      <c r="A1371" t="e">
        <f>LEFT(#REF!,10)</f>
        <v>#REF!</v>
      </c>
      <c r="B1371" s="4" t="e">
        <f>(#REF!-#REF!)/#REF!</f>
        <v>#REF!</v>
      </c>
      <c r="C1371" s="4" t="e">
        <f>(#REF!-#REF!)/#REF!</f>
        <v>#REF!</v>
      </c>
      <c r="D1371" s="4" t="e">
        <f>LN(#REF!/#REF!)</f>
        <v>#REF!</v>
      </c>
      <c r="E1371" s="4" t="e">
        <f t="shared" si="22"/>
        <v>#REF!</v>
      </c>
      <c r="F1371" s="4" t="e" cm="1">
        <f t="array" ref="F1371">AVERAGE(B1371:B2878-$I$4/252)/_xlfn.STDEV.S(B1371:B2878-$I$4)</f>
        <v>#REF!</v>
      </c>
      <c r="G1371" s="4"/>
      <c r="H1371" s="4"/>
      <c r="I1371" s="4"/>
      <c r="J1371" s="4"/>
    </row>
    <row r="1372" spans="1:10" x14ac:dyDescent="0.2">
      <c r="A1372" t="e">
        <f>LEFT(#REF!,10)</f>
        <v>#REF!</v>
      </c>
      <c r="B1372" s="4" t="e">
        <f>(#REF!-#REF!)/#REF!</f>
        <v>#REF!</v>
      </c>
      <c r="C1372" s="4" t="e">
        <f>(#REF!-#REF!)/#REF!</f>
        <v>#REF!</v>
      </c>
      <c r="D1372" s="4" t="e">
        <f>LN(#REF!/#REF!)</f>
        <v>#REF!</v>
      </c>
      <c r="E1372" s="4" t="e">
        <f t="shared" si="22"/>
        <v>#REF!</v>
      </c>
      <c r="F1372" s="4" t="e" cm="1">
        <f t="array" ref="F1372">AVERAGE(B1372:B2879-$I$4/252)/_xlfn.STDEV.S(B1372:B2879-$I$4)</f>
        <v>#REF!</v>
      </c>
      <c r="G1372" s="4"/>
      <c r="H1372" s="4"/>
      <c r="I1372" s="4"/>
      <c r="J1372" s="4"/>
    </row>
    <row r="1373" spans="1:10" x14ac:dyDescent="0.2">
      <c r="A1373" t="e">
        <f>LEFT(#REF!,10)</f>
        <v>#REF!</v>
      </c>
      <c r="B1373" s="4" t="e">
        <f>(#REF!-#REF!)/#REF!</f>
        <v>#REF!</v>
      </c>
      <c r="C1373" s="4" t="e">
        <f>(#REF!-#REF!)/#REF!</f>
        <v>#REF!</v>
      </c>
      <c r="D1373" s="4" t="e">
        <f>LN(#REF!/#REF!)</f>
        <v>#REF!</v>
      </c>
      <c r="E1373" s="4" t="e">
        <f t="shared" si="22"/>
        <v>#REF!</v>
      </c>
      <c r="F1373" s="4" t="e" cm="1">
        <f t="array" ref="F1373">AVERAGE(B1373:B2880-$I$4/252)/_xlfn.STDEV.S(B1373:B2880-$I$4)</f>
        <v>#REF!</v>
      </c>
      <c r="G1373" s="4"/>
      <c r="H1373" s="4"/>
      <c r="I1373" s="4"/>
      <c r="J1373" s="4"/>
    </row>
    <row r="1374" spans="1:10" x14ac:dyDescent="0.2">
      <c r="A1374" t="e">
        <f>LEFT(#REF!,10)</f>
        <v>#REF!</v>
      </c>
      <c r="B1374" s="4" t="e">
        <f>(#REF!-#REF!)/#REF!</f>
        <v>#REF!</v>
      </c>
      <c r="C1374" s="4" t="e">
        <f>(#REF!-#REF!)/#REF!</f>
        <v>#REF!</v>
      </c>
      <c r="D1374" s="4" t="e">
        <f>LN(#REF!/#REF!)</f>
        <v>#REF!</v>
      </c>
      <c r="E1374" s="4" t="e">
        <f t="shared" si="22"/>
        <v>#REF!</v>
      </c>
      <c r="F1374" s="4" t="e" cm="1">
        <f t="array" ref="F1374">AVERAGE(B1374:B2881-$I$4/252)/_xlfn.STDEV.S(B1374:B2881-$I$4)</f>
        <v>#REF!</v>
      </c>
      <c r="G1374" s="4"/>
      <c r="H1374" s="4"/>
      <c r="I1374" s="4"/>
      <c r="J1374" s="4"/>
    </row>
    <row r="1375" spans="1:10" x14ac:dyDescent="0.2">
      <c r="A1375" t="e">
        <f>LEFT(#REF!,10)</f>
        <v>#REF!</v>
      </c>
      <c r="B1375" s="4" t="e">
        <f>(#REF!-#REF!)/#REF!</f>
        <v>#REF!</v>
      </c>
      <c r="C1375" s="4" t="e">
        <f>(#REF!-#REF!)/#REF!</f>
        <v>#REF!</v>
      </c>
      <c r="D1375" s="4" t="e">
        <f>LN(#REF!/#REF!)</f>
        <v>#REF!</v>
      </c>
      <c r="E1375" s="4" t="e">
        <f t="shared" si="22"/>
        <v>#REF!</v>
      </c>
      <c r="F1375" s="4" t="e" cm="1">
        <f t="array" ref="F1375">AVERAGE(B1375:B2882-$I$4/252)/_xlfn.STDEV.S(B1375:B2882-$I$4)</f>
        <v>#REF!</v>
      </c>
      <c r="G1375" s="4"/>
      <c r="H1375" s="4"/>
      <c r="I1375" s="4"/>
      <c r="J1375" s="4"/>
    </row>
    <row r="1376" spans="1:10" x14ac:dyDescent="0.2">
      <c r="A1376" t="e">
        <f>LEFT(#REF!,10)</f>
        <v>#REF!</v>
      </c>
      <c r="B1376" s="4" t="e">
        <f>(#REF!-#REF!)/#REF!</f>
        <v>#REF!</v>
      </c>
      <c r="C1376" s="4" t="e">
        <f>(#REF!-#REF!)/#REF!</f>
        <v>#REF!</v>
      </c>
      <c r="D1376" s="4" t="e">
        <f>LN(#REF!/#REF!)</f>
        <v>#REF!</v>
      </c>
      <c r="E1376" s="4" t="e">
        <f t="shared" si="22"/>
        <v>#REF!</v>
      </c>
      <c r="F1376" s="4" t="e" cm="1">
        <f t="array" ref="F1376">AVERAGE(B1376:B2883-$I$4/252)/_xlfn.STDEV.S(B1376:B2883-$I$4)</f>
        <v>#REF!</v>
      </c>
      <c r="G1376" s="4"/>
      <c r="H1376" s="4"/>
      <c r="I1376" s="4"/>
      <c r="J1376" s="4"/>
    </row>
    <row r="1377" spans="1:10" x14ac:dyDescent="0.2">
      <c r="A1377" t="e">
        <f>LEFT(#REF!,10)</f>
        <v>#REF!</v>
      </c>
      <c r="B1377" s="4" t="e">
        <f>(#REF!-#REF!)/#REF!</f>
        <v>#REF!</v>
      </c>
      <c r="C1377" s="4" t="e">
        <f>(#REF!-#REF!)/#REF!</f>
        <v>#REF!</v>
      </c>
      <c r="D1377" s="4" t="e">
        <f>LN(#REF!/#REF!)</f>
        <v>#REF!</v>
      </c>
      <c r="E1377" s="4" t="e">
        <f t="shared" si="22"/>
        <v>#REF!</v>
      </c>
      <c r="F1377" s="4" t="e" cm="1">
        <f t="array" ref="F1377">AVERAGE(B1377:B2884-$I$4/252)/_xlfn.STDEV.S(B1377:B2884-$I$4)</f>
        <v>#REF!</v>
      </c>
      <c r="G1377" s="4"/>
      <c r="H1377" s="4"/>
      <c r="I1377" s="4"/>
      <c r="J1377" s="4"/>
    </row>
    <row r="1378" spans="1:10" x14ac:dyDescent="0.2">
      <c r="A1378" t="e">
        <f>LEFT(#REF!,10)</f>
        <v>#REF!</v>
      </c>
      <c r="B1378" s="4" t="e">
        <f>(#REF!-#REF!)/#REF!</f>
        <v>#REF!</v>
      </c>
      <c r="C1378" s="4" t="e">
        <f>(#REF!-#REF!)/#REF!</f>
        <v>#REF!</v>
      </c>
      <c r="D1378" s="4" t="e">
        <f>LN(#REF!/#REF!)</f>
        <v>#REF!</v>
      </c>
      <c r="E1378" s="4" t="e">
        <f t="shared" si="22"/>
        <v>#REF!</v>
      </c>
      <c r="F1378" s="4" t="e" cm="1">
        <f t="array" ref="F1378">AVERAGE(B1378:B2885-$I$4/252)/_xlfn.STDEV.S(B1378:B2885-$I$4)</f>
        <v>#REF!</v>
      </c>
      <c r="G1378" s="4"/>
      <c r="H1378" s="4"/>
      <c r="I1378" s="4"/>
      <c r="J1378" s="4"/>
    </row>
    <row r="1379" spans="1:10" x14ac:dyDescent="0.2">
      <c r="A1379" t="e">
        <f>LEFT(#REF!,10)</f>
        <v>#REF!</v>
      </c>
      <c r="B1379" s="4" t="e">
        <f>(#REF!-#REF!)/#REF!</f>
        <v>#REF!</v>
      </c>
      <c r="C1379" s="4" t="e">
        <f>(#REF!-#REF!)/#REF!</f>
        <v>#REF!</v>
      </c>
      <c r="D1379" s="4" t="e">
        <f>LN(#REF!/#REF!)</f>
        <v>#REF!</v>
      </c>
      <c r="E1379" s="4" t="e">
        <f t="shared" si="22"/>
        <v>#REF!</v>
      </c>
      <c r="F1379" s="4" t="e" cm="1">
        <f t="array" ref="F1379">AVERAGE(B1379:B2886-$I$4/252)/_xlfn.STDEV.S(B1379:B2886-$I$4)</f>
        <v>#REF!</v>
      </c>
      <c r="G1379" s="4"/>
      <c r="H1379" s="4"/>
      <c r="I1379" s="4"/>
      <c r="J1379" s="4"/>
    </row>
    <row r="1380" spans="1:10" x14ac:dyDescent="0.2">
      <c r="A1380" t="e">
        <f>LEFT(#REF!,10)</f>
        <v>#REF!</v>
      </c>
      <c r="B1380" s="4" t="e">
        <f>(#REF!-#REF!)/#REF!</f>
        <v>#REF!</v>
      </c>
      <c r="C1380" s="4" t="e">
        <f>(#REF!-#REF!)/#REF!</f>
        <v>#REF!</v>
      </c>
      <c r="D1380" s="4" t="e">
        <f>LN(#REF!/#REF!)</f>
        <v>#REF!</v>
      </c>
      <c r="E1380" s="4" t="e">
        <f t="shared" si="22"/>
        <v>#REF!</v>
      </c>
      <c r="F1380" s="4" t="e" cm="1">
        <f t="array" ref="F1380">AVERAGE(B1380:B2887-$I$4/252)/_xlfn.STDEV.S(B1380:B2887-$I$4)</f>
        <v>#REF!</v>
      </c>
      <c r="G1380" s="4"/>
      <c r="H1380" s="4"/>
      <c r="I1380" s="4"/>
      <c r="J1380" s="4"/>
    </row>
    <row r="1381" spans="1:10" x14ac:dyDescent="0.2">
      <c r="A1381" t="e">
        <f>LEFT(#REF!,10)</f>
        <v>#REF!</v>
      </c>
      <c r="B1381" s="4" t="e">
        <f>(#REF!-#REF!)/#REF!</f>
        <v>#REF!</v>
      </c>
      <c r="C1381" s="4" t="e">
        <f>(#REF!-#REF!)/#REF!</f>
        <v>#REF!</v>
      </c>
      <c r="D1381" s="4" t="e">
        <f>LN(#REF!/#REF!)</f>
        <v>#REF!</v>
      </c>
      <c r="E1381" s="4" t="e">
        <f t="shared" si="22"/>
        <v>#REF!</v>
      </c>
      <c r="F1381" s="4" t="e" cm="1">
        <f t="array" ref="F1381">AVERAGE(B1381:B2888-$I$4/252)/_xlfn.STDEV.S(B1381:B2888-$I$4)</f>
        <v>#REF!</v>
      </c>
      <c r="G1381" s="4"/>
      <c r="H1381" s="4"/>
      <c r="I1381" s="4"/>
      <c r="J1381" s="4"/>
    </row>
    <row r="1382" spans="1:10" x14ac:dyDescent="0.2">
      <c r="A1382" t="e">
        <f>LEFT(#REF!,10)</f>
        <v>#REF!</v>
      </c>
      <c r="B1382" s="4" t="e">
        <f>(#REF!-#REF!)/#REF!</f>
        <v>#REF!</v>
      </c>
      <c r="C1382" s="4" t="e">
        <f>(#REF!-#REF!)/#REF!</f>
        <v>#REF!</v>
      </c>
      <c r="D1382" s="4" t="e">
        <f>LN(#REF!/#REF!)</f>
        <v>#REF!</v>
      </c>
      <c r="E1382" s="4" t="e">
        <f t="shared" si="22"/>
        <v>#REF!</v>
      </c>
      <c r="F1382" s="4" t="e" cm="1">
        <f t="array" ref="F1382">AVERAGE(B1382:B2889-$I$4/252)/_xlfn.STDEV.S(B1382:B2889-$I$4)</f>
        <v>#REF!</v>
      </c>
      <c r="G1382" s="4"/>
      <c r="H1382" s="4"/>
      <c r="I1382" s="4"/>
      <c r="J1382" s="4"/>
    </row>
    <row r="1383" spans="1:10" x14ac:dyDescent="0.2">
      <c r="A1383" t="e">
        <f>LEFT(#REF!,10)</f>
        <v>#REF!</v>
      </c>
      <c r="B1383" s="4" t="e">
        <f>(#REF!-#REF!)/#REF!</f>
        <v>#REF!</v>
      </c>
      <c r="C1383" s="4" t="e">
        <f>(#REF!-#REF!)/#REF!</f>
        <v>#REF!</v>
      </c>
      <c r="D1383" s="4" t="e">
        <f>LN(#REF!/#REF!)</f>
        <v>#REF!</v>
      </c>
      <c r="E1383" s="4" t="e">
        <f t="shared" si="22"/>
        <v>#REF!</v>
      </c>
      <c r="F1383" s="4" t="e" cm="1">
        <f t="array" ref="F1383">AVERAGE(B1383:B2890-$I$4/252)/_xlfn.STDEV.S(B1383:B2890-$I$4)</f>
        <v>#REF!</v>
      </c>
      <c r="G1383" s="4"/>
      <c r="H1383" s="4"/>
      <c r="I1383" s="4"/>
      <c r="J1383" s="4"/>
    </row>
    <row r="1384" spans="1:10" x14ac:dyDescent="0.2">
      <c r="A1384" t="e">
        <f>LEFT(#REF!,10)</f>
        <v>#REF!</v>
      </c>
      <c r="B1384" s="4" t="e">
        <f>(#REF!-#REF!)/#REF!</f>
        <v>#REF!</v>
      </c>
      <c r="C1384" s="4" t="e">
        <f>(#REF!-#REF!)/#REF!</f>
        <v>#REF!</v>
      </c>
      <c r="D1384" s="4" t="e">
        <f>LN(#REF!/#REF!)</f>
        <v>#REF!</v>
      </c>
      <c r="E1384" s="4" t="e">
        <f t="shared" si="22"/>
        <v>#REF!</v>
      </c>
      <c r="F1384" s="4" t="e" cm="1">
        <f t="array" ref="F1384">AVERAGE(B1384:B2891-$I$4/252)/_xlfn.STDEV.S(B1384:B2891-$I$4)</f>
        <v>#REF!</v>
      </c>
      <c r="G1384" s="4"/>
      <c r="H1384" s="4"/>
      <c r="I1384" s="4"/>
      <c r="J1384" s="4"/>
    </row>
    <row r="1385" spans="1:10" x14ac:dyDescent="0.2">
      <c r="A1385" t="e">
        <f>LEFT(#REF!,10)</f>
        <v>#REF!</v>
      </c>
      <c r="B1385" s="4" t="e">
        <f>(#REF!-#REF!)/#REF!</f>
        <v>#REF!</v>
      </c>
      <c r="C1385" s="4" t="e">
        <f>(#REF!-#REF!)/#REF!</f>
        <v>#REF!</v>
      </c>
      <c r="D1385" s="4" t="e">
        <f>LN(#REF!/#REF!)</f>
        <v>#REF!</v>
      </c>
      <c r="E1385" s="4" t="e">
        <f t="shared" si="22"/>
        <v>#REF!</v>
      </c>
      <c r="F1385" s="4" t="e" cm="1">
        <f t="array" ref="F1385">AVERAGE(B1385:B2892-$I$4/252)/_xlfn.STDEV.S(B1385:B2892-$I$4)</f>
        <v>#REF!</v>
      </c>
      <c r="G1385" s="4"/>
      <c r="H1385" s="4"/>
      <c r="I1385" s="4"/>
      <c r="J1385" s="4"/>
    </row>
    <row r="1386" spans="1:10" x14ac:dyDescent="0.2">
      <c r="A1386" t="e">
        <f>LEFT(#REF!,10)</f>
        <v>#REF!</v>
      </c>
      <c r="B1386" s="4" t="e">
        <f>(#REF!-#REF!)/#REF!</f>
        <v>#REF!</v>
      </c>
      <c r="C1386" s="4" t="e">
        <f>(#REF!-#REF!)/#REF!</f>
        <v>#REF!</v>
      </c>
      <c r="D1386" s="4" t="e">
        <f>LN(#REF!/#REF!)</f>
        <v>#REF!</v>
      </c>
      <c r="E1386" s="4" t="e">
        <f t="shared" si="22"/>
        <v>#REF!</v>
      </c>
      <c r="F1386" s="4" t="e" cm="1">
        <f t="array" ref="F1386">AVERAGE(B1386:B2893-$I$4/252)/_xlfn.STDEV.S(B1386:B2893-$I$4)</f>
        <v>#REF!</v>
      </c>
      <c r="G1386" s="4"/>
      <c r="H1386" s="4"/>
      <c r="I1386" s="4"/>
      <c r="J1386" s="4"/>
    </row>
    <row r="1387" spans="1:10" x14ac:dyDescent="0.2">
      <c r="A1387" t="e">
        <f>LEFT(#REF!,10)</f>
        <v>#REF!</v>
      </c>
      <c r="B1387" s="4" t="e">
        <f>(#REF!-#REF!)/#REF!</f>
        <v>#REF!</v>
      </c>
      <c r="C1387" s="4" t="e">
        <f>(#REF!-#REF!)/#REF!</f>
        <v>#REF!</v>
      </c>
      <c r="D1387" s="4" t="e">
        <f>LN(#REF!/#REF!)</f>
        <v>#REF!</v>
      </c>
      <c r="E1387" s="4" t="e">
        <f t="shared" si="22"/>
        <v>#REF!</v>
      </c>
      <c r="F1387" s="4" t="e" cm="1">
        <f t="array" ref="F1387">AVERAGE(B1387:B2894-$I$4/252)/_xlfn.STDEV.S(B1387:B2894-$I$4)</f>
        <v>#REF!</v>
      </c>
      <c r="G1387" s="4"/>
      <c r="H1387" s="4"/>
      <c r="I1387" s="4"/>
      <c r="J1387" s="4"/>
    </row>
    <row r="1388" spans="1:10" x14ac:dyDescent="0.2">
      <c r="A1388" t="e">
        <f>LEFT(#REF!,10)</f>
        <v>#REF!</v>
      </c>
      <c r="B1388" s="4" t="e">
        <f>(#REF!-#REF!)/#REF!</f>
        <v>#REF!</v>
      </c>
      <c r="C1388" s="4" t="e">
        <f>(#REF!-#REF!)/#REF!</f>
        <v>#REF!</v>
      </c>
      <c r="D1388" s="4" t="e">
        <f>LN(#REF!/#REF!)</f>
        <v>#REF!</v>
      </c>
      <c r="E1388" s="4" t="e">
        <f t="shared" si="22"/>
        <v>#REF!</v>
      </c>
      <c r="F1388" s="4" t="e" cm="1">
        <f t="array" ref="F1388">AVERAGE(B1388:B2895-$I$4/252)/_xlfn.STDEV.S(B1388:B2895-$I$4)</f>
        <v>#REF!</v>
      </c>
      <c r="G1388" s="4"/>
      <c r="H1388" s="4"/>
      <c r="I1388" s="4"/>
      <c r="J1388" s="4"/>
    </row>
    <row r="1389" spans="1:10" x14ac:dyDescent="0.2">
      <c r="A1389" t="e">
        <f>LEFT(#REF!,10)</f>
        <v>#REF!</v>
      </c>
      <c r="B1389" s="4" t="e">
        <f>(#REF!-#REF!)/#REF!</f>
        <v>#REF!</v>
      </c>
      <c r="C1389" s="4" t="e">
        <f>(#REF!-#REF!)/#REF!</f>
        <v>#REF!</v>
      </c>
      <c r="D1389" s="4" t="e">
        <f>LN(#REF!/#REF!)</f>
        <v>#REF!</v>
      </c>
      <c r="E1389" s="4" t="e">
        <f t="shared" si="22"/>
        <v>#REF!</v>
      </c>
      <c r="F1389" s="4" t="e" cm="1">
        <f t="array" ref="F1389">AVERAGE(B1389:B2896-$I$4/252)/_xlfn.STDEV.S(B1389:B2896-$I$4)</f>
        <v>#REF!</v>
      </c>
      <c r="G1389" s="4"/>
      <c r="H1389" s="4"/>
      <c r="I1389" s="4"/>
      <c r="J1389" s="4"/>
    </row>
    <row r="1390" spans="1:10" x14ac:dyDescent="0.2">
      <c r="A1390" t="e">
        <f>LEFT(#REF!,10)</f>
        <v>#REF!</v>
      </c>
      <c r="B1390" s="4" t="e">
        <f>(#REF!-#REF!)/#REF!</f>
        <v>#REF!</v>
      </c>
      <c r="C1390" s="4" t="e">
        <f>(#REF!-#REF!)/#REF!</f>
        <v>#REF!</v>
      </c>
      <c r="D1390" s="4" t="e">
        <f>LN(#REF!/#REF!)</f>
        <v>#REF!</v>
      </c>
      <c r="E1390" s="4" t="e">
        <f t="shared" si="22"/>
        <v>#REF!</v>
      </c>
      <c r="F1390" s="4" t="e" cm="1">
        <f t="array" ref="F1390">AVERAGE(B1390:B2897-$I$4/252)/_xlfn.STDEV.S(B1390:B2897-$I$4)</f>
        <v>#REF!</v>
      </c>
      <c r="G1390" s="4"/>
      <c r="H1390" s="4"/>
      <c r="I1390" s="4"/>
      <c r="J1390" s="4"/>
    </row>
    <row r="1391" spans="1:10" x14ac:dyDescent="0.2">
      <c r="A1391" t="e">
        <f>LEFT(#REF!,10)</f>
        <v>#REF!</v>
      </c>
      <c r="B1391" s="4" t="e">
        <f>(#REF!-#REF!)/#REF!</f>
        <v>#REF!</v>
      </c>
      <c r="C1391" s="4" t="e">
        <f>(#REF!-#REF!)/#REF!</f>
        <v>#REF!</v>
      </c>
      <c r="D1391" s="4" t="e">
        <f>LN(#REF!/#REF!)</f>
        <v>#REF!</v>
      </c>
      <c r="E1391" s="4" t="e">
        <f t="shared" si="22"/>
        <v>#REF!</v>
      </c>
      <c r="F1391" s="4" t="e" cm="1">
        <f t="array" ref="F1391">AVERAGE(B1391:B2898-$I$4/252)/_xlfn.STDEV.S(B1391:B2898-$I$4)</f>
        <v>#REF!</v>
      </c>
      <c r="G1391" s="4"/>
      <c r="H1391" s="4"/>
      <c r="I1391" s="4"/>
      <c r="J1391" s="4"/>
    </row>
    <row r="1392" spans="1:10" x14ac:dyDescent="0.2">
      <c r="A1392" t="e">
        <f>LEFT(#REF!,10)</f>
        <v>#REF!</v>
      </c>
      <c r="B1392" s="4" t="e">
        <f>(#REF!-#REF!)/#REF!</f>
        <v>#REF!</v>
      </c>
      <c r="C1392" s="4" t="e">
        <f>(#REF!-#REF!)/#REF!</f>
        <v>#REF!</v>
      </c>
      <c r="D1392" s="4" t="e">
        <f>LN(#REF!/#REF!)</f>
        <v>#REF!</v>
      </c>
      <c r="E1392" s="4" t="e">
        <f t="shared" si="22"/>
        <v>#REF!</v>
      </c>
      <c r="F1392" s="4" t="e" cm="1">
        <f t="array" ref="F1392">AVERAGE(B1392:B2899-$I$4/252)/_xlfn.STDEV.S(B1392:B2899-$I$4)</f>
        <v>#REF!</v>
      </c>
      <c r="G1392" s="4"/>
      <c r="H1392" s="4"/>
      <c r="I1392" s="4"/>
      <c r="J1392" s="4"/>
    </row>
    <row r="1393" spans="1:10" x14ac:dyDescent="0.2">
      <c r="A1393" t="e">
        <f>LEFT(#REF!,10)</f>
        <v>#REF!</v>
      </c>
      <c r="B1393" s="4" t="e">
        <f>(#REF!-#REF!)/#REF!</f>
        <v>#REF!</v>
      </c>
      <c r="C1393" s="4" t="e">
        <f>(#REF!-#REF!)/#REF!</f>
        <v>#REF!</v>
      </c>
      <c r="D1393" s="4" t="e">
        <f>LN(#REF!/#REF!)</f>
        <v>#REF!</v>
      </c>
      <c r="E1393" s="4" t="e">
        <f t="shared" si="22"/>
        <v>#REF!</v>
      </c>
      <c r="F1393" s="4" t="e" cm="1">
        <f t="array" ref="F1393">AVERAGE(B1393:B2900-$I$4/252)/_xlfn.STDEV.S(B1393:B2900-$I$4)</f>
        <v>#REF!</v>
      </c>
      <c r="G1393" s="4"/>
      <c r="H1393" s="4"/>
      <c r="I1393" s="4"/>
      <c r="J1393" s="4"/>
    </row>
    <row r="1394" spans="1:10" x14ac:dyDescent="0.2">
      <c r="A1394" t="e">
        <f>LEFT(#REF!,10)</f>
        <v>#REF!</v>
      </c>
      <c r="B1394" s="4" t="e">
        <f>(#REF!-#REF!)/#REF!</f>
        <v>#REF!</v>
      </c>
      <c r="C1394" s="4" t="e">
        <f>(#REF!-#REF!)/#REF!</f>
        <v>#REF!</v>
      </c>
      <c r="D1394" s="4" t="e">
        <f>LN(#REF!/#REF!)</f>
        <v>#REF!</v>
      </c>
      <c r="E1394" s="4" t="e">
        <f t="shared" si="22"/>
        <v>#REF!</v>
      </c>
      <c r="F1394" s="4" t="e" cm="1">
        <f t="array" ref="F1394">AVERAGE(B1394:B2901-$I$4/252)/_xlfn.STDEV.S(B1394:B2901-$I$4)</f>
        <v>#REF!</v>
      </c>
      <c r="G1394" s="4"/>
      <c r="H1394" s="4"/>
      <c r="I1394" s="4"/>
      <c r="J1394" s="4"/>
    </row>
    <row r="1395" spans="1:10" x14ac:dyDescent="0.2">
      <c r="A1395" t="e">
        <f>LEFT(#REF!,10)</f>
        <v>#REF!</v>
      </c>
      <c r="B1395" s="4" t="e">
        <f>(#REF!-#REF!)/#REF!</f>
        <v>#REF!</v>
      </c>
      <c r="C1395" s="4" t="e">
        <f>(#REF!-#REF!)/#REF!</f>
        <v>#REF!</v>
      </c>
      <c r="D1395" s="4" t="e">
        <f>LN(#REF!/#REF!)</f>
        <v>#REF!</v>
      </c>
      <c r="E1395" s="4" t="e">
        <f t="shared" si="22"/>
        <v>#REF!</v>
      </c>
      <c r="F1395" s="4" t="e" cm="1">
        <f t="array" ref="F1395">AVERAGE(B1395:B2902-$I$4/252)/_xlfn.STDEV.S(B1395:B2902-$I$4)</f>
        <v>#REF!</v>
      </c>
      <c r="G1395" s="4"/>
      <c r="H1395" s="4"/>
      <c r="I1395" s="4"/>
      <c r="J1395" s="4"/>
    </row>
    <row r="1396" spans="1:10" x14ac:dyDescent="0.2">
      <c r="A1396" t="e">
        <f>LEFT(#REF!,10)</f>
        <v>#REF!</v>
      </c>
      <c r="B1396" s="4" t="e">
        <f>(#REF!-#REF!)/#REF!</f>
        <v>#REF!</v>
      </c>
      <c r="C1396" s="4" t="e">
        <f>(#REF!-#REF!)/#REF!</f>
        <v>#REF!</v>
      </c>
      <c r="D1396" s="4" t="e">
        <f>LN(#REF!/#REF!)</f>
        <v>#REF!</v>
      </c>
      <c r="E1396" s="4" t="e">
        <f t="shared" si="22"/>
        <v>#REF!</v>
      </c>
      <c r="F1396" s="4" t="e" cm="1">
        <f t="array" ref="F1396">AVERAGE(B1396:B2903-$I$4/252)/_xlfn.STDEV.S(B1396:B2903-$I$4)</f>
        <v>#REF!</v>
      </c>
      <c r="G1396" s="4"/>
      <c r="H1396" s="4"/>
      <c r="I1396" s="4"/>
      <c r="J1396" s="4"/>
    </row>
    <row r="1397" spans="1:10" x14ac:dyDescent="0.2">
      <c r="A1397" t="e">
        <f>LEFT(#REF!,10)</f>
        <v>#REF!</v>
      </c>
      <c r="B1397" s="4" t="e">
        <f>(#REF!-#REF!)/#REF!</f>
        <v>#REF!</v>
      </c>
      <c r="C1397" s="4" t="e">
        <f>(#REF!-#REF!)/#REF!</f>
        <v>#REF!</v>
      </c>
      <c r="D1397" s="4" t="e">
        <f>LN(#REF!/#REF!)</f>
        <v>#REF!</v>
      </c>
      <c r="E1397" s="4" t="e">
        <f t="shared" si="22"/>
        <v>#REF!</v>
      </c>
      <c r="F1397" s="4" t="e" cm="1">
        <f t="array" ref="F1397">AVERAGE(B1397:B2904-$I$4/252)/_xlfn.STDEV.S(B1397:B2904-$I$4)</f>
        <v>#REF!</v>
      </c>
      <c r="G1397" s="4"/>
      <c r="H1397" s="4"/>
      <c r="I1397" s="4"/>
      <c r="J1397" s="4"/>
    </row>
    <row r="1398" spans="1:10" x14ac:dyDescent="0.2">
      <c r="A1398" t="e">
        <f>LEFT(#REF!,10)</f>
        <v>#REF!</v>
      </c>
      <c r="B1398" s="4" t="e">
        <f>(#REF!-#REF!)/#REF!</f>
        <v>#REF!</v>
      </c>
      <c r="C1398" s="4" t="e">
        <f>(#REF!-#REF!)/#REF!</f>
        <v>#REF!</v>
      </c>
      <c r="D1398" s="4" t="e">
        <f>LN(#REF!/#REF!)</f>
        <v>#REF!</v>
      </c>
      <c r="E1398" s="4" t="e">
        <f t="shared" si="22"/>
        <v>#REF!</v>
      </c>
      <c r="F1398" s="4" t="e" cm="1">
        <f t="array" ref="F1398">AVERAGE(B1398:B2905-$I$4/252)/_xlfn.STDEV.S(B1398:B2905-$I$4)</f>
        <v>#REF!</v>
      </c>
      <c r="G1398" s="4"/>
      <c r="H1398" s="4"/>
      <c r="I1398" s="4"/>
      <c r="J1398" s="4"/>
    </row>
    <row r="1399" spans="1:10" x14ac:dyDescent="0.2">
      <c r="A1399" t="e">
        <f>LEFT(#REF!,10)</f>
        <v>#REF!</v>
      </c>
      <c r="B1399" s="4" t="e">
        <f>(#REF!-#REF!)/#REF!</f>
        <v>#REF!</v>
      </c>
      <c r="C1399" s="4" t="e">
        <f>(#REF!-#REF!)/#REF!</f>
        <v>#REF!</v>
      </c>
      <c r="D1399" s="4" t="e">
        <f>LN(#REF!/#REF!)</f>
        <v>#REF!</v>
      </c>
      <c r="E1399" s="4" t="e">
        <f t="shared" si="22"/>
        <v>#REF!</v>
      </c>
      <c r="F1399" s="4" t="e" cm="1">
        <f t="array" ref="F1399">AVERAGE(B1399:B2906-$I$4/252)/_xlfn.STDEV.S(B1399:B2906-$I$4)</f>
        <v>#REF!</v>
      </c>
      <c r="G1399" s="4"/>
      <c r="H1399" s="4"/>
      <c r="I1399" s="4"/>
      <c r="J1399" s="4"/>
    </row>
    <row r="1400" spans="1:10" x14ac:dyDescent="0.2">
      <c r="A1400" t="e">
        <f>LEFT(#REF!,10)</f>
        <v>#REF!</v>
      </c>
      <c r="B1400" s="4" t="e">
        <f>(#REF!-#REF!)/#REF!</f>
        <v>#REF!</v>
      </c>
      <c r="C1400" s="4" t="e">
        <f>(#REF!-#REF!)/#REF!</f>
        <v>#REF!</v>
      </c>
      <c r="D1400" s="4" t="e">
        <f>LN(#REF!/#REF!)</f>
        <v>#REF!</v>
      </c>
      <c r="E1400" s="4" t="e">
        <f t="shared" si="22"/>
        <v>#REF!</v>
      </c>
      <c r="F1400" s="4" t="e" cm="1">
        <f t="array" ref="F1400">AVERAGE(B1400:B2907-$I$4/252)/_xlfn.STDEV.S(B1400:B2907-$I$4)</f>
        <v>#REF!</v>
      </c>
      <c r="G1400" s="4"/>
      <c r="H1400" s="4"/>
      <c r="I1400" s="4"/>
      <c r="J1400" s="4"/>
    </row>
    <row r="1401" spans="1:10" x14ac:dyDescent="0.2">
      <c r="A1401" t="e">
        <f>LEFT(#REF!,10)</f>
        <v>#REF!</v>
      </c>
      <c r="B1401" s="4" t="e">
        <f>(#REF!-#REF!)/#REF!</f>
        <v>#REF!</v>
      </c>
      <c r="C1401" s="4" t="e">
        <f>(#REF!-#REF!)/#REF!</f>
        <v>#REF!</v>
      </c>
      <c r="D1401" s="4" t="e">
        <f>LN(#REF!/#REF!)</f>
        <v>#REF!</v>
      </c>
      <c r="E1401" s="4" t="e">
        <f t="shared" si="22"/>
        <v>#REF!</v>
      </c>
      <c r="F1401" s="4" t="e" cm="1">
        <f t="array" ref="F1401">AVERAGE(B1401:B2908-$I$4/252)/_xlfn.STDEV.S(B1401:B2908-$I$4)</f>
        <v>#REF!</v>
      </c>
      <c r="G1401" s="4"/>
      <c r="H1401" s="4"/>
      <c r="I1401" s="4"/>
      <c r="J1401" s="4"/>
    </row>
    <row r="1402" spans="1:10" x14ac:dyDescent="0.2">
      <c r="A1402" t="e">
        <f>LEFT(#REF!,10)</f>
        <v>#REF!</v>
      </c>
      <c r="B1402" s="4" t="e">
        <f>(#REF!-#REF!)/#REF!</f>
        <v>#REF!</v>
      </c>
      <c r="C1402" s="4" t="e">
        <f>(#REF!-#REF!)/#REF!</f>
        <v>#REF!</v>
      </c>
      <c r="D1402" s="4" t="e">
        <f>LN(#REF!/#REF!)</f>
        <v>#REF!</v>
      </c>
      <c r="E1402" s="4" t="e">
        <f t="shared" si="22"/>
        <v>#REF!</v>
      </c>
      <c r="F1402" s="4" t="e" cm="1">
        <f t="array" ref="F1402">AVERAGE(B1402:B2909-$I$4/252)/_xlfn.STDEV.S(B1402:B2909-$I$4)</f>
        <v>#REF!</v>
      </c>
      <c r="G1402" s="4"/>
      <c r="H1402" s="4"/>
      <c r="I1402" s="4"/>
      <c r="J1402" s="4"/>
    </row>
    <row r="1403" spans="1:10" x14ac:dyDescent="0.2">
      <c r="A1403" t="e">
        <f>LEFT(#REF!,10)</f>
        <v>#REF!</v>
      </c>
      <c r="B1403" s="4" t="e">
        <f>(#REF!-#REF!)/#REF!</f>
        <v>#REF!</v>
      </c>
      <c r="C1403" s="4" t="e">
        <f>(#REF!-#REF!)/#REF!</f>
        <v>#REF!</v>
      </c>
      <c r="D1403" s="4" t="e">
        <f>LN(#REF!/#REF!)</f>
        <v>#REF!</v>
      </c>
      <c r="E1403" s="4" t="e">
        <f t="shared" si="22"/>
        <v>#REF!</v>
      </c>
      <c r="F1403" s="4" t="e" cm="1">
        <f t="array" ref="F1403">AVERAGE(B1403:B2910-$I$4/252)/_xlfn.STDEV.S(B1403:B2910-$I$4)</f>
        <v>#REF!</v>
      </c>
      <c r="G1403" s="4"/>
      <c r="H1403" s="4"/>
      <c r="I1403" s="4"/>
      <c r="J1403" s="4"/>
    </row>
    <row r="1404" spans="1:10" x14ac:dyDescent="0.2">
      <c r="A1404" t="e">
        <f>LEFT(#REF!,10)</f>
        <v>#REF!</v>
      </c>
      <c r="B1404" s="4" t="e">
        <f>(#REF!-#REF!)/#REF!</f>
        <v>#REF!</v>
      </c>
      <c r="C1404" s="4" t="e">
        <f>(#REF!-#REF!)/#REF!</f>
        <v>#REF!</v>
      </c>
      <c r="D1404" s="4" t="e">
        <f>LN(#REF!/#REF!)</f>
        <v>#REF!</v>
      </c>
      <c r="E1404" s="4" t="e">
        <f t="shared" si="22"/>
        <v>#REF!</v>
      </c>
      <c r="F1404" s="4" t="e" cm="1">
        <f t="array" ref="F1404">AVERAGE(B1404:B2911-$I$4/252)/_xlfn.STDEV.S(B1404:B2911-$I$4)</f>
        <v>#REF!</v>
      </c>
      <c r="G1404" s="4"/>
      <c r="H1404" s="4"/>
      <c r="I1404" s="4"/>
      <c r="J1404" s="4"/>
    </row>
    <row r="1405" spans="1:10" x14ac:dyDescent="0.2">
      <c r="A1405" t="e">
        <f>LEFT(#REF!,10)</f>
        <v>#REF!</v>
      </c>
      <c r="B1405" s="4" t="e">
        <f>(#REF!-#REF!)/#REF!</f>
        <v>#REF!</v>
      </c>
      <c r="C1405" s="4" t="e">
        <f>(#REF!-#REF!)/#REF!</f>
        <v>#REF!</v>
      </c>
      <c r="D1405" s="4" t="e">
        <f>LN(#REF!/#REF!)</f>
        <v>#REF!</v>
      </c>
      <c r="E1405" s="4" t="e">
        <f t="shared" si="22"/>
        <v>#REF!</v>
      </c>
      <c r="F1405" s="4" t="e" cm="1">
        <f t="array" ref="F1405">AVERAGE(B1405:B2912-$I$4/252)/_xlfn.STDEV.S(B1405:B2912-$I$4)</f>
        <v>#REF!</v>
      </c>
      <c r="G1405" s="4"/>
      <c r="H1405" s="4"/>
      <c r="I1405" s="4"/>
      <c r="J1405" s="4"/>
    </row>
    <row r="1406" spans="1:10" x14ac:dyDescent="0.2">
      <c r="A1406" t="e">
        <f>LEFT(#REF!,10)</f>
        <v>#REF!</v>
      </c>
      <c r="B1406" s="4" t="e">
        <f>(#REF!-#REF!)/#REF!</f>
        <v>#REF!</v>
      </c>
      <c r="C1406" s="4" t="e">
        <f>(#REF!-#REF!)/#REF!</f>
        <v>#REF!</v>
      </c>
      <c r="D1406" s="4" t="e">
        <f>LN(#REF!/#REF!)</f>
        <v>#REF!</v>
      </c>
      <c r="E1406" s="4" t="e">
        <f t="shared" si="22"/>
        <v>#REF!</v>
      </c>
      <c r="F1406" s="4" t="e" cm="1">
        <f t="array" ref="F1406">AVERAGE(B1406:B2913-$I$4/252)/_xlfn.STDEV.S(B1406:B2913-$I$4)</f>
        <v>#REF!</v>
      </c>
      <c r="G1406" s="4"/>
      <c r="H1406" s="4"/>
      <c r="I1406" s="4"/>
      <c r="J1406" s="4"/>
    </row>
    <row r="1407" spans="1:10" x14ac:dyDescent="0.2">
      <c r="A1407" t="e">
        <f>LEFT(#REF!,10)</f>
        <v>#REF!</v>
      </c>
      <c r="B1407" s="4" t="e">
        <f>(#REF!-#REF!)/#REF!</f>
        <v>#REF!</v>
      </c>
      <c r="C1407" s="4" t="e">
        <f>(#REF!-#REF!)/#REF!</f>
        <v>#REF!</v>
      </c>
      <c r="D1407" s="4" t="e">
        <f>LN(#REF!/#REF!)</f>
        <v>#REF!</v>
      </c>
      <c r="E1407" s="4" t="e">
        <f t="shared" si="22"/>
        <v>#REF!</v>
      </c>
      <c r="F1407" s="4" t="e" cm="1">
        <f t="array" ref="F1407">AVERAGE(B1407:B2914-$I$4/252)/_xlfn.STDEV.S(B1407:B2914-$I$4)</f>
        <v>#REF!</v>
      </c>
      <c r="G1407" s="4"/>
      <c r="H1407" s="4"/>
      <c r="I1407" s="4"/>
      <c r="J1407" s="4"/>
    </row>
    <row r="1408" spans="1:10" x14ac:dyDescent="0.2">
      <c r="A1408" t="e">
        <f>LEFT(#REF!,10)</f>
        <v>#REF!</v>
      </c>
      <c r="B1408" s="4" t="e">
        <f>(#REF!-#REF!)/#REF!</f>
        <v>#REF!</v>
      </c>
      <c r="C1408" s="4" t="e">
        <f>(#REF!-#REF!)/#REF!</f>
        <v>#REF!</v>
      </c>
      <c r="D1408" s="4" t="e">
        <f>LN(#REF!/#REF!)</f>
        <v>#REF!</v>
      </c>
      <c r="E1408" s="4" t="e">
        <f t="shared" si="22"/>
        <v>#REF!</v>
      </c>
      <c r="F1408" s="4" t="e" cm="1">
        <f t="array" ref="F1408">AVERAGE(B1408:B2915-$I$4/252)/_xlfn.STDEV.S(B1408:B2915-$I$4)</f>
        <v>#REF!</v>
      </c>
      <c r="G1408" s="4"/>
      <c r="H1408" s="4"/>
      <c r="I1408" s="4"/>
      <c r="J1408" s="4"/>
    </row>
    <row r="1409" spans="1:10" x14ac:dyDescent="0.2">
      <c r="A1409" t="e">
        <f>LEFT(#REF!,10)</f>
        <v>#REF!</v>
      </c>
      <c r="B1409" s="4" t="e">
        <f>(#REF!-#REF!)/#REF!</f>
        <v>#REF!</v>
      </c>
      <c r="C1409" s="4" t="e">
        <f>(#REF!-#REF!)/#REF!</f>
        <v>#REF!</v>
      </c>
      <c r="D1409" s="4" t="e">
        <f>LN(#REF!/#REF!)</f>
        <v>#REF!</v>
      </c>
      <c r="E1409" s="4" t="e">
        <f t="shared" si="22"/>
        <v>#REF!</v>
      </c>
      <c r="F1409" s="4" t="e" cm="1">
        <f t="array" ref="F1409">AVERAGE(B1409:B2916-$I$4/252)/_xlfn.STDEV.S(B1409:B2916-$I$4)</f>
        <v>#REF!</v>
      </c>
      <c r="G1409" s="4"/>
      <c r="H1409" s="4"/>
      <c r="I1409" s="4"/>
      <c r="J1409" s="4"/>
    </row>
    <row r="1410" spans="1:10" x14ac:dyDescent="0.2">
      <c r="A1410" t="e">
        <f>LEFT(#REF!,10)</f>
        <v>#REF!</v>
      </c>
      <c r="B1410" s="4" t="e">
        <f>(#REF!-#REF!)/#REF!</f>
        <v>#REF!</v>
      </c>
      <c r="C1410" s="4" t="e">
        <f>(#REF!-#REF!)/#REF!</f>
        <v>#REF!</v>
      </c>
      <c r="D1410" s="4" t="e">
        <f>LN(#REF!/#REF!)</f>
        <v>#REF!</v>
      </c>
      <c r="E1410" s="4" t="e">
        <f t="shared" si="22"/>
        <v>#REF!</v>
      </c>
      <c r="F1410" s="4" t="e" cm="1">
        <f t="array" ref="F1410">AVERAGE(B1410:B2917-$I$4/252)/_xlfn.STDEV.S(B1410:B2917-$I$4)</f>
        <v>#REF!</v>
      </c>
      <c r="G1410" s="4"/>
      <c r="H1410" s="4"/>
      <c r="I1410" s="4"/>
      <c r="J1410" s="4"/>
    </row>
    <row r="1411" spans="1:10" x14ac:dyDescent="0.2">
      <c r="A1411" t="e">
        <f>LEFT(#REF!,10)</f>
        <v>#REF!</v>
      </c>
      <c r="B1411" s="4" t="e">
        <f>(#REF!-#REF!)/#REF!</f>
        <v>#REF!</v>
      </c>
      <c r="C1411" s="4" t="e">
        <f>(#REF!-#REF!)/#REF!</f>
        <v>#REF!</v>
      </c>
      <c r="D1411" s="4" t="e">
        <f>LN(#REF!/#REF!)</f>
        <v>#REF!</v>
      </c>
      <c r="E1411" s="4" t="e">
        <f t="shared" si="22"/>
        <v>#REF!</v>
      </c>
      <c r="F1411" s="4" t="e" cm="1">
        <f t="array" ref="F1411">AVERAGE(B1411:B2918-$I$4/252)/_xlfn.STDEV.S(B1411:B2918-$I$4)</f>
        <v>#REF!</v>
      </c>
      <c r="G1411" s="4"/>
      <c r="H1411" s="4"/>
      <c r="I1411" s="4"/>
      <c r="J1411" s="4"/>
    </row>
    <row r="1412" spans="1:10" x14ac:dyDescent="0.2">
      <c r="A1412" t="e">
        <f>LEFT(#REF!,10)</f>
        <v>#REF!</v>
      </c>
      <c r="B1412" s="4" t="e">
        <f>(#REF!-#REF!)/#REF!</f>
        <v>#REF!</v>
      </c>
      <c r="C1412" s="4" t="e">
        <f>(#REF!-#REF!)/#REF!</f>
        <v>#REF!</v>
      </c>
      <c r="D1412" s="4" t="e">
        <f>LN(#REF!/#REF!)</f>
        <v>#REF!</v>
      </c>
      <c r="E1412" s="4" t="e">
        <f t="shared" si="22"/>
        <v>#REF!</v>
      </c>
      <c r="F1412" s="4" t="e" cm="1">
        <f t="array" ref="F1412">AVERAGE(B1412:B2919-$I$4/252)/_xlfn.STDEV.S(B1412:B2919-$I$4)</f>
        <v>#REF!</v>
      </c>
      <c r="G1412" s="4"/>
      <c r="H1412" s="4"/>
      <c r="I1412" s="4"/>
      <c r="J1412" s="4"/>
    </row>
    <row r="1413" spans="1:10" x14ac:dyDescent="0.2">
      <c r="A1413" t="e">
        <f>LEFT(#REF!,10)</f>
        <v>#REF!</v>
      </c>
      <c r="B1413" s="4" t="e">
        <f>(#REF!-#REF!)/#REF!</f>
        <v>#REF!</v>
      </c>
      <c r="C1413" s="4" t="e">
        <f>(#REF!-#REF!)/#REF!</f>
        <v>#REF!</v>
      </c>
      <c r="D1413" s="4" t="e">
        <f>LN(#REF!/#REF!)</f>
        <v>#REF!</v>
      </c>
      <c r="E1413" s="4" t="e">
        <f t="shared" ref="E1413:E1476" si="23">_xlfn.STDEV.S(D1413:D1432)</f>
        <v>#REF!</v>
      </c>
      <c r="F1413" s="4" t="e" cm="1">
        <f t="array" ref="F1413">AVERAGE(B1413:B2920-$I$4/252)/_xlfn.STDEV.S(B1413:B2920-$I$4)</f>
        <v>#REF!</v>
      </c>
      <c r="G1413" s="4"/>
      <c r="H1413" s="4"/>
      <c r="I1413" s="4"/>
      <c r="J1413" s="4"/>
    </row>
    <row r="1414" spans="1:10" x14ac:dyDescent="0.2">
      <c r="A1414" t="e">
        <f>LEFT(#REF!,10)</f>
        <v>#REF!</v>
      </c>
      <c r="B1414" s="4" t="e">
        <f>(#REF!-#REF!)/#REF!</f>
        <v>#REF!</v>
      </c>
      <c r="C1414" s="4" t="e">
        <f>(#REF!-#REF!)/#REF!</f>
        <v>#REF!</v>
      </c>
      <c r="D1414" s="4" t="e">
        <f>LN(#REF!/#REF!)</f>
        <v>#REF!</v>
      </c>
      <c r="E1414" s="4" t="e">
        <f t="shared" si="23"/>
        <v>#REF!</v>
      </c>
      <c r="F1414" s="4" t="e" cm="1">
        <f t="array" ref="F1414">AVERAGE(B1414:B2921-$I$4/252)/_xlfn.STDEV.S(B1414:B2921-$I$4)</f>
        <v>#REF!</v>
      </c>
      <c r="G1414" s="4"/>
      <c r="H1414" s="4"/>
      <c r="I1414" s="4"/>
      <c r="J1414" s="4"/>
    </row>
    <row r="1415" spans="1:10" x14ac:dyDescent="0.2">
      <c r="A1415" t="e">
        <f>LEFT(#REF!,10)</f>
        <v>#REF!</v>
      </c>
      <c r="B1415" s="4" t="e">
        <f>(#REF!-#REF!)/#REF!</f>
        <v>#REF!</v>
      </c>
      <c r="C1415" s="4" t="e">
        <f>(#REF!-#REF!)/#REF!</f>
        <v>#REF!</v>
      </c>
      <c r="D1415" s="4" t="e">
        <f>LN(#REF!/#REF!)</f>
        <v>#REF!</v>
      </c>
      <c r="E1415" s="4" t="e">
        <f t="shared" si="23"/>
        <v>#REF!</v>
      </c>
      <c r="F1415" s="4" t="e" cm="1">
        <f t="array" ref="F1415">AVERAGE(B1415:B2922-$I$4/252)/_xlfn.STDEV.S(B1415:B2922-$I$4)</f>
        <v>#REF!</v>
      </c>
      <c r="G1415" s="4"/>
      <c r="H1415" s="4"/>
      <c r="I1415" s="4"/>
      <c r="J1415" s="4"/>
    </row>
    <row r="1416" spans="1:10" x14ac:dyDescent="0.2">
      <c r="A1416" t="e">
        <f>LEFT(#REF!,10)</f>
        <v>#REF!</v>
      </c>
      <c r="B1416" s="4" t="e">
        <f>(#REF!-#REF!)/#REF!</f>
        <v>#REF!</v>
      </c>
      <c r="C1416" s="4" t="e">
        <f>(#REF!-#REF!)/#REF!</f>
        <v>#REF!</v>
      </c>
      <c r="D1416" s="4" t="e">
        <f>LN(#REF!/#REF!)</f>
        <v>#REF!</v>
      </c>
      <c r="E1416" s="4" t="e">
        <f t="shared" si="23"/>
        <v>#REF!</v>
      </c>
      <c r="F1416" s="4" t="e" cm="1">
        <f t="array" ref="F1416">AVERAGE(B1416:B2923-$I$4/252)/_xlfn.STDEV.S(B1416:B2923-$I$4)</f>
        <v>#REF!</v>
      </c>
      <c r="G1416" s="4"/>
      <c r="H1416" s="4"/>
      <c r="I1416" s="4"/>
      <c r="J1416" s="4"/>
    </row>
    <row r="1417" spans="1:10" x14ac:dyDescent="0.2">
      <c r="A1417" t="e">
        <f>LEFT(#REF!,10)</f>
        <v>#REF!</v>
      </c>
      <c r="B1417" s="4" t="e">
        <f>(#REF!-#REF!)/#REF!</f>
        <v>#REF!</v>
      </c>
      <c r="C1417" s="4" t="e">
        <f>(#REF!-#REF!)/#REF!</f>
        <v>#REF!</v>
      </c>
      <c r="D1417" s="4" t="e">
        <f>LN(#REF!/#REF!)</f>
        <v>#REF!</v>
      </c>
      <c r="E1417" s="4" t="e">
        <f t="shared" si="23"/>
        <v>#REF!</v>
      </c>
      <c r="F1417" s="4" t="e" cm="1">
        <f t="array" ref="F1417">AVERAGE(B1417:B2924-$I$4/252)/_xlfn.STDEV.S(B1417:B2924-$I$4)</f>
        <v>#REF!</v>
      </c>
      <c r="G1417" s="4"/>
      <c r="H1417" s="4"/>
      <c r="I1417" s="4"/>
      <c r="J1417" s="4"/>
    </row>
    <row r="1418" spans="1:10" x14ac:dyDescent="0.2">
      <c r="A1418" t="e">
        <f>LEFT(#REF!,10)</f>
        <v>#REF!</v>
      </c>
      <c r="B1418" s="4" t="e">
        <f>(#REF!-#REF!)/#REF!</f>
        <v>#REF!</v>
      </c>
      <c r="C1418" s="4" t="e">
        <f>(#REF!-#REF!)/#REF!</f>
        <v>#REF!</v>
      </c>
      <c r="D1418" s="4" t="e">
        <f>LN(#REF!/#REF!)</f>
        <v>#REF!</v>
      </c>
      <c r="E1418" s="4" t="e">
        <f t="shared" si="23"/>
        <v>#REF!</v>
      </c>
      <c r="F1418" s="4" t="e" cm="1">
        <f t="array" ref="F1418">AVERAGE(B1418:B2925-$I$4/252)/_xlfn.STDEV.S(B1418:B2925-$I$4)</f>
        <v>#REF!</v>
      </c>
      <c r="G1418" s="4"/>
      <c r="H1418" s="4"/>
      <c r="I1418" s="4"/>
      <c r="J1418" s="4"/>
    </row>
    <row r="1419" spans="1:10" x14ac:dyDescent="0.2">
      <c r="A1419" t="e">
        <f>LEFT(#REF!,10)</f>
        <v>#REF!</v>
      </c>
      <c r="B1419" s="4" t="e">
        <f>(#REF!-#REF!)/#REF!</f>
        <v>#REF!</v>
      </c>
      <c r="C1419" s="4" t="e">
        <f>(#REF!-#REF!)/#REF!</f>
        <v>#REF!</v>
      </c>
      <c r="D1419" s="4" t="e">
        <f>LN(#REF!/#REF!)</f>
        <v>#REF!</v>
      </c>
      <c r="E1419" s="4" t="e">
        <f t="shared" si="23"/>
        <v>#REF!</v>
      </c>
      <c r="F1419" s="4" t="e" cm="1">
        <f t="array" ref="F1419">AVERAGE(B1419:B2926-$I$4/252)/_xlfn.STDEV.S(B1419:B2926-$I$4)</f>
        <v>#REF!</v>
      </c>
      <c r="G1419" s="4"/>
      <c r="H1419" s="4"/>
      <c r="I1419" s="4"/>
      <c r="J1419" s="4"/>
    </row>
    <row r="1420" spans="1:10" x14ac:dyDescent="0.2">
      <c r="A1420" t="e">
        <f>LEFT(#REF!,10)</f>
        <v>#REF!</v>
      </c>
      <c r="B1420" s="4" t="e">
        <f>(#REF!-#REF!)/#REF!</f>
        <v>#REF!</v>
      </c>
      <c r="C1420" s="4" t="e">
        <f>(#REF!-#REF!)/#REF!</f>
        <v>#REF!</v>
      </c>
      <c r="D1420" s="4" t="e">
        <f>LN(#REF!/#REF!)</f>
        <v>#REF!</v>
      </c>
      <c r="E1420" s="4" t="e">
        <f t="shared" si="23"/>
        <v>#REF!</v>
      </c>
      <c r="F1420" s="4" t="e" cm="1">
        <f t="array" ref="F1420">AVERAGE(B1420:B2927-$I$4/252)/_xlfn.STDEV.S(B1420:B2927-$I$4)</f>
        <v>#REF!</v>
      </c>
      <c r="G1420" s="4"/>
      <c r="H1420" s="4"/>
      <c r="I1420" s="4"/>
      <c r="J1420" s="4"/>
    </row>
    <row r="1421" spans="1:10" x14ac:dyDescent="0.2">
      <c r="A1421" t="e">
        <f>LEFT(#REF!,10)</f>
        <v>#REF!</v>
      </c>
      <c r="B1421" s="4" t="e">
        <f>(#REF!-#REF!)/#REF!</f>
        <v>#REF!</v>
      </c>
      <c r="C1421" s="4" t="e">
        <f>(#REF!-#REF!)/#REF!</f>
        <v>#REF!</v>
      </c>
      <c r="D1421" s="4" t="e">
        <f>LN(#REF!/#REF!)</f>
        <v>#REF!</v>
      </c>
      <c r="E1421" s="4" t="e">
        <f t="shared" si="23"/>
        <v>#REF!</v>
      </c>
      <c r="F1421" s="4" t="e" cm="1">
        <f t="array" ref="F1421">AVERAGE(B1421:B2928-$I$4/252)/_xlfn.STDEV.S(B1421:B2928-$I$4)</f>
        <v>#REF!</v>
      </c>
      <c r="G1421" s="4"/>
      <c r="H1421" s="4"/>
      <c r="I1421" s="4"/>
      <c r="J1421" s="4"/>
    </row>
    <row r="1422" spans="1:10" x14ac:dyDescent="0.2">
      <c r="A1422" t="e">
        <f>LEFT(#REF!,10)</f>
        <v>#REF!</v>
      </c>
      <c r="B1422" s="4" t="e">
        <f>(#REF!-#REF!)/#REF!</f>
        <v>#REF!</v>
      </c>
      <c r="C1422" s="4" t="e">
        <f>(#REF!-#REF!)/#REF!</f>
        <v>#REF!</v>
      </c>
      <c r="D1422" s="4" t="e">
        <f>LN(#REF!/#REF!)</f>
        <v>#REF!</v>
      </c>
      <c r="E1422" s="4" t="e">
        <f t="shared" si="23"/>
        <v>#REF!</v>
      </c>
      <c r="F1422" s="4" t="e" cm="1">
        <f t="array" ref="F1422">AVERAGE(B1422:B2929-$I$4/252)/_xlfn.STDEV.S(B1422:B2929-$I$4)</f>
        <v>#REF!</v>
      </c>
      <c r="G1422" s="4"/>
      <c r="H1422" s="4"/>
      <c r="I1422" s="4"/>
      <c r="J1422" s="4"/>
    </row>
    <row r="1423" spans="1:10" x14ac:dyDescent="0.2">
      <c r="A1423" t="e">
        <f>LEFT(#REF!,10)</f>
        <v>#REF!</v>
      </c>
      <c r="B1423" s="4" t="e">
        <f>(#REF!-#REF!)/#REF!</f>
        <v>#REF!</v>
      </c>
      <c r="C1423" s="4" t="e">
        <f>(#REF!-#REF!)/#REF!</f>
        <v>#REF!</v>
      </c>
      <c r="D1423" s="4" t="e">
        <f>LN(#REF!/#REF!)</f>
        <v>#REF!</v>
      </c>
      <c r="E1423" s="4" t="e">
        <f t="shared" si="23"/>
        <v>#REF!</v>
      </c>
      <c r="F1423" s="4" t="e" cm="1">
        <f t="array" ref="F1423">AVERAGE(B1423:B2930-$I$4/252)/_xlfn.STDEV.S(B1423:B2930-$I$4)</f>
        <v>#REF!</v>
      </c>
      <c r="G1423" s="4"/>
      <c r="H1423" s="4"/>
      <c r="I1423" s="4"/>
      <c r="J1423" s="4"/>
    </row>
    <row r="1424" spans="1:10" x14ac:dyDescent="0.2">
      <c r="A1424" t="e">
        <f>LEFT(#REF!,10)</f>
        <v>#REF!</v>
      </c>
      <c r="B1424" s="4" t="e">
        <f>(#REF!-#REF!)/#REF!</f>
        <v>#REF!</v>
      </c>
      <c r="C1424" s="4" t="e">
        <f>(#REF!-#REF!)/#REF!</f>
        <v>#REF!</v>
      </c>
      <c r="D1424" s="4" t="e">
        <f>LN(#REF!/#REF!)</f>
        <v>#REF!</v>
      </c>
      <c r="E1424" s="4" t="e">
        <f t="shared" si="23"/>
        <v>#REF!</v>
      </c>
      <c r="F1424" s="4" t="e" cm="1">
        <f t="array" ref="F1424">AVERAGE(B1424:B2931-$I$4/252)/_xlfn.STDEV.S(B1424:B2931-$I$4)</f>
        <v>#REF!</v>
      </c>
      <c r="G1424" s="4"/>
      <c r="H1424" s="4"/>
      <c r="I1424" s="4"/>
      <c r="J1424" s="4"/>
    </row>
    <row r="1425" spans="1:10" x14ac:dyDescent="0.2">
      <c r="A1425" t="e">
        <f>LEFT(#REF!,10)</f>
        <v>#REF!</v>
      </c>
      <c r="B1425" s="4" t="e">
        <f>(#REF!-#REF!)/#REF!</f>
        <v>#REF!</v>
      </c>
      <c r="C1425" s="4" t="e">
        <f>(#REF!-#REF!)/#REF!</f>
        <v>#REF!</v>
      </c>
      <c r="D1425" s="4" t="e">
        <f>LN(#REF!/#REF!)</f>
        <v>#REF!</v>
      </c>
      <c r="E1425" s="4" t="e">
        <f t="shared" si="23"/>
        <v>#REF!</v>
      </c>
      <c r="F1425" s="4" t="e" cm="1">
        <f t="array" ref="F1425">AVERAGE(B1425:B2932-$I$4/252)/_xlfn.STDEV.S(B1425:B2932-$I$4)</f>
        <v>#REF!</v>
      </c>
      <c r="G1425" s="4"/>
      <c r="H1425" s="4"/>
      <c r="I1425" s="4"/>
      <c r="J1425" s="4"/>
    </row>
    <row r="1426" spans="1:10" x14ac:dyDescent="0.2">
      <c r="A1426" t="e">
        <f>LEFT(#REF!,10)</f>
        <v>#REF!</v>
      </c>
      <c r="B1426" s="4" t="e">
        <f>(#REF!-#REF!)/#REF!</f>
        <v>#REF!</v>
      </c>
      <c r="C1426" s="4" t="e">
        <f>(#REF!-#REF!)/#REF!</f>
        <v>#REF!</v>
      </c>
      <c r="D1426" s="4" t="e">
        <f>LN(#REF!/#REF!)</f>
        <v>#REF!</v>
      </c>
      <c r="E1426" s="4" t="e">
        <f t="shared" si="23"/>
        <v>#REF!</v>
      </c>
      <c r="F1426" s="4" t="e" cm="1">
        <f t="array" ref="F1426">AVERAGE(B1426:B2933-$I$4/252)/_xlfn.STDEV.S(B1426:B2933-$I$4)</f>
        <v>#REF!</v>
      </c>
      <c r="G1426" s="4"/>
      <c r="H1426" s="4"/>
      <c r="I1426" s="4"/>
      <c r="J1426" s="4"/>
    </row>
    <row r="1427" spans="1:10" x14ac:dyDescent="0.2">
      <c r="A1427" t="e">
        <f>LEFT(#REF!,10)</f>
        <v>#REF!</v>
      </c>
      <c r="B1427" s="4" t="e">
        <f>(#REF!-#REF!)/#REF!</f>
        <v>#REF!</v>
      </c>
      <c r="C1427" s="4" t="e">
        <f>(#REF!-#REF!)/#REF!</f>
        <v>#REF!</v>
      </c>
      <c r="D1427" s="4" t="e">
        <f>LN(#REF!/#REF!)</f>
        <v>#REF!</v>
      </c>
      <c r="E1427" s="4" t="e">
        <f t="shared" si="23"/>
        <v>#REF!</v>
      </c>
      <c r="F1427" s="4" t="e" cm="1">
        <f t="array" ref="F1427">AVERAGE(B1427:B2934-$I$4/252)/_xlfn.STDEV.S(B1427:B2934-$I$4)</f>
        <v>#REF!</v>
      </c>
      <c r="G1427" s="4"/>
      <c r="H1427" s="4"/>
      <c r="I1427" s="4"/>
      <c r="J1427" s="4"/>
    </row>
    <row r="1428" spans="1:10" x14ac:dyDescent="0.2">
      <c r="A1428" t="e">
        <f>LEFT(#REF!,10)</f>
        <v>#REF!</v>
      </c>
      <c r="B1428" s="4" t="e">
        <f>(#REF!-#REF!)/#REF!</f>
        <v>#REF!</v>
      </c>
      <c r="C1428" s="4" t="e">
        <f>(#REF!-#REF!)/#REF!</f>
        <v>#REF!</v>
      </c>
      <c r="D1428" s="4" t="e">
        <f>LN(#REF!/#REF!)</f>
        <v>#REF!</v>
      </c>
      <c r="E1428" s="4" t="e">
        <f t="shared" si="23"/>
        <v>#REF!</v>
      </c>
      <c r="F1428" s="4" t="e" cm="1">
        <f t="array" ref="F1428">AVERAGE(B1428:B2935-$I$4/252)/_xlfn.STDEV.S(B1428:B2935-$I$4)</f>
        <v>#REF!</v>
      </c>
      <c r="G1428" s="4"/>
      <c r="H1428" s="4"/>
      <c r="I1428" s="4"/>
      <c r="J1428" s="4"/>
    </row>
    <row r="1429" spans="1:10" x14ac:dyDescent="0.2">
      <c r="A1429" t="e">
        <f>LEFT(#REF!,10)</f>
        <v>#REF!</v>
      </c>
      <c r="B1429" s="4" t="e">
        <f>(#REF!-#REF!)/#REF!</f>
        <v>#REF!</v>
      </c>
      <c r="C1429" s="4" t="e">
        <f>(#REF!-#REF!)/#REF!</f>
        <v>#REF!</v>
      </c>
      <c r="D1429" s="4" t="e">
        <f>LN(#REF!/#REF!)</f>
        <v>#REF!</v>
      </c>
      <c r="E1429" s="4" t="e">
        <f t="shared" si="23"/>
        <v>#REF!</v>
      </c>
      <c r="F1429" s="4" t="e" cm="1">
        <f t="array" ref="F1429">AVERAGE(B1429:B2936-$I$4/252)/_xlfn.STDEV.S(B1429:B2936-$I$4)</f>
        <v>#REF!</v>
      </c>
      <c r="G1429" s="4"/>
      <c r="H1429" s="4"/>
      <c r="I1429" s="4"/>
      <c r="J1429" s="4"/>
    </row>
    <row r="1430" spans="1:10" x14ac:dyDescent="0.2">
      <c r="A1430" t="e">
        <f>LEFT(#REF!,10)</f>
        <v>#REF!</v>
      </c>
      <c r="B1430" s="4" t="e">
        <f>(#REF!-#REF!)/#REF!</f>
        <v>#REF!</v>
      </c>
      <c r="C1430" s="4" t="e">
        <f>(#REF!-#REF!)/#REF!</f>
        <v>#REF!</v>
      </c>
      <c r="D1430" s="4" t="e">
        <f>LN(#REF!/#REF!)</f>
        <v>#REF!</v>
      </c>
      <c r="E1430" s="4" t="e">
        <f t="shared" si="23"/>
        <v>#REF!</v>
      </c>
      <c r="F1430" s="4" t="e" cm="1">
        <f t="array" ref="F1430">AVERAGE(B1430:B2937-$I$4/252)/_xlfn.STDEV.S(B1430:B2937-$I$4)</f>
        <v>#REF!</v>
      </c>
      <c r="G1430" s="4"/>
      <c r="H1430" s="4"/>
      <c r="I1430" s="4"/>
      <c r="J1430" s="4"/>
    </row>
    <row r="1431" spans="1:10" x14ac:dyDescent="0.2">
      <c r="A1431" t="e">
        <f>LEFT(#REF!,10)</f>
        <v>#REF!</v>
      </c>
      <c r="B1431" s="4" t="e">
        <f>(#REF!-#REF!)/#REF!</f>
        <v>#REF!</v>
      </c>
      <c r="C1431" s="4" t="e">
        <f>(#REF!-#REF!)/#REF!</f>
        <v>#REF!</v>
      </c>
      <c r="D1431" s="4" t="e">
        <f>LN(#REF!/#REF!)</f>
        <v>#REF!</v>
      </c>
      <c r="E1431" s="4" t="e">
        <f t="shared" si="23"/>
        <v>#REF!</v>
      </c>
      <c r="F1431" s="4" t="e" cm="1">
        <f t="array" ref="F1431">AVERAGE(B1431:B2938-$I$4/252)/_xlfn.STDEV.S(B1431:B2938-$I$4)</f>
        <v>#REF!</v>
      </c>
      <c r="G1431" s="4"/>
      <c r="H1431" s="4"/>
      <c r="I1431" s="4"/>
      <c r="J1431" s="4"/>
    </row>
    <row r="1432" spans="1:10" x14ac:dyDescent="0.2">
      <c r="A1432" t="e">
        <f>LEFT(#REF!,10)</f>
        <v>#REF!</v>
      </c>
      <c r="B1432" s="4" t="e">
        <f>(#REF!-#REF!)/#REF!</f>
        <v>#REF!</v>
      </c>
      <c r="C1432" s="4" t="e">
        <f>(#REF!-#REF!)/#REF!</f>
        <v>#REF!</v>
      </c>
      <c r="D1432" s="4" t="e">
        <f>LN(#REF!/#REF!)</f>
        <v>#REF!</v>
      </c>
      <c r="E1432" s="4" t="e">
        <f t="shared" si="23"/>
        <v>#REF!</v>
      </c>
      <c r="F1432" s="4" t="e" cm="1">
        <f t="array" ref="F1432">AVERAGE(B1432:B2939-$I$4/252)/_xlfn.STDEV.S(B1432:B2939-$I$4)</f>
        <v>#REF!</v>
      </c>
      <c r="G1432" s="4"/>
      <c r="H1432" s="4"/>
      <c r="I1432" s="4"/>
      <c r="J1432" s="4"/>
    </row>
    <row r="1433" spans="1:10" x14ac:dyDescent="0.2">
      <c r="A1433" t="e">
        <f>LEFT(#REF!,10)</f>
        <v>#REF!</v>
      </c>
      <c r="B1433" s="4" t="e">
        <f>(#REF!-#REF!)/#REF!</f>
        <v>#REF!</v>
      </c>
      <c r="C1433" s="4" t="e">
        <f>(#REF!-#REF!)/#REF!</f>
        <v>#REF!</v>
      </c>
      <c r="D1433" s="4" t="e">
        <f>LN(#REF!/#REF!)</f>
        <v>#REF!</v>
      </c>
      <c r="E1433" s="4" t="e">
        <f t="shared" si="23"/>
        <v>#REF!</v>
      </c>
      <c r="F1433" s="4" t="e" cm="1">
        <f t="array" ref="F1433">AVERAGE(B1433:B2940-$I$4/252)/_xlfn.STDEV.S(B1433:B2940-$I$4)</f>
        <v>#REF!</v>
      </c>
      <c r="G1433" s="4"/>
      <c r="H1433" s="4"/>
      <c r="I1433" s="4"/>
      <c r="J1433" s="4"/>
    </row>
    <row r="1434" spans="1:10" x14ac:dyDescent="0.2">
      <c r="A1434" t="e">
        <f>LEFT(#REF!,10)</f>
        <v>#REF!</v>
      </c>
      <c r="B1434" s="4" t="e">
        <f>(#REF!-#REF!)/#REF!</f>
        <v>#REF!</v>
      </c>
      <c r="C1434" s="4" t="e">
        <f>(#REF!-#REF!)/#REF!</f>
        <v>#REF!</v>
      </c>
      <c r="D1434" s="4" t="e">
        <f>LN(#REF!/#REF!)</f>
        <v>#REF!</v>
      </c>
      <c r="E1434" s="4" t="e">
        <f t="shared" si="23"/>
        <v>#REF!</v>
      </c>
      <c r="F1434" s="4" t="e" cm="1">
        <f t="array" ref="F1434">AVERAGE(B1434:B2941-$I$4/252)/_xlfn.STDEV.S(B1434:B2941-$I$4)</f>
        <v>#REF!</v>
      </c>
      <c r="G1434" s="4"/>
      <c r="H1434" s="4"/>
      <c r="I1434" s="4"/>
      <c r="J1434" s="4"/>
    </row>
    <row r="1435" spans="1:10" x14ac:dyDescent="0.2">
      <c r="A1435" t="e">
        <f>LEFT(#REF!,10)</f>
        <v>#REF!</v>
      </c>
      <c r="B1435" s="4" t="e">
        <f>(#REF!-#REF!)/#REF!</f>
        <v>#REF!</v>
      </c>
      <c r="C1435" s="4" t="e">
        <f>(#REF!-#REF!)/#REF!</f>
        <v>#REF!</v>
      </c>
      <c r="D1435" s="4" t="e">
        <f>LN(#REF!/#REF!)</f>
        <v>#REF!</v>
      </c>
      <c r="E1435" s="4" t="e">
        <f t="shared" si="23"/>
        <v>#REF!</v>
      </c>
      <c r="F1435" s="4" t="e" cm="1">
        <f t="array" ref="F1435">AVERAGE(B1435:B2942-$I$4/252)/_xlfn.STDEV.S(B1435:B2942-$I$4)</f>
        <v>#REF!</v>
      </c>
      <c r="G1435" s="4"/>
      <c r="H1435" s="4"/>
      <c r="I1435" s="4"/>
      <c r="J1435" s="4"/>
    </row>
    <row r="1436" spans="1:10" x14ac:dyDescent="0.2">
      <c r="A1436" t="e">
        <f>LEFT(#REF!,10)</f>
        <v>#REF!</v>
      </c>
      <c r="B1436" s="4" t="e">
        <f>(#REF!-#REF!)/#REF!</f>
        <v>#REF!</v>
      </c>
      <c r="C1436" s="4" t="e">
        <f>(#REF!-#REF!)/#REF!</f>
        <v>#REF!</v>
      </c>
      <c r="D1436" s="4" t="e">
        <f>LN(#REF!/#REF!)</f>
        <v>#REF!</v>
      </c>
      <c r="E1436" s="4" t="e">
        <f t="shared" si="23"/>
        <v>#REF!</v>
      </c>
      <c r="F1436" s="4" t="e" cm="1">
        <f t="array" ref="F1436">AVERAGE(B1436:B2943-$I$4/252)/_xlfn.STDEV.S(B1436:B2943-$I$4)</f>
        <v>#REF!</v>
      </c>
      <c r="G1436" s="4"/>
      <c r="H1436" s="4"/>
      <c r="I1436" s="4"/>
      <c r="J1436" s="4"/>
    </row>
    <row r="1437" spans="1:10" x14ac:dyDescent="0.2">
      <c r="A1437" t="e">
        <f>LEFT(#REF!,10)</f>
        <v>#REF!</v>
      </c>
      <c r="B1437" s="4" t="e">
        <f>(#REF!-#REF!)/#REF!</f>
        <v>#REF!</v>
      </c>
      <c r="C1437" s="4" t="e">
        <f>(#REF!-#REF!)/#REF!</f>
        <v>#REF!</v>
      </c>
      <c r="D1437" s="4" t="e">
        <f>LN(#REF!/#REF!)</f>
        <v>#REF!</v>
      </c>
      <c r="E1437" s="4" t="e">
        <f t="shared" si="23"/>
        <v>#REF!</v>
      </c>
      <c r="F1437" s="4" t="e" cm="1">
        <f t="array" ref="F1437">AVERAGE(B1437:B2944-$I$4/252)/_xlfn.STDEV.S(B1437:B2944-$I$4)</f>
        <v>#REF!</v>
      </c>
      <c r="G1437" s="4"/>
      <c r="H1437" s="4"/>
      <c r="I1437" s="4"/>
      <c r="J1437" s="4"/>
    </row>
    <row r="1438" spans="1:10" x14ac:dyDescent="0.2">
      <c r="A1438" t="e">
        <f>LEFT(#REF!,10)</f>
        <v>#REF!</v>
      </c>
      <c r="B1438" s="4" t="e">
        <f>(#REF!-#REF!)/#REF!</f>
        <v>#REF!</v>
      </c>
      <c r="C1438" s="4" t="e">
        <f>(#REF!-#REF!)/#REF!</f>
        <v>#REF!</v>
      </c>
      <c r="D1438" s="4" t="e">
        <f>LN(#REF!/#REF!)</f>
        <v>#REF!</v>
      </c>
      <c r="E1438" s="4" t="e">
        <f t="shared" si="23"/>
        <v>#REF!</v>
      </c>
      <c r="F1438" s="4" t="e" cm="1">
        <f t="array" ref="F1438">AVERAGE(B1438:B2945-$I$4/252)/_xlfn.STDEV.S(B1438:B2945-$I$4)</f>
        <v>#REF!</v>
      </c>
      <c r="G1438" s="4"/>
      <c r="H1438" s="4"/>
      <c r="I1438" s="4"/>
      <c r="J1438" s="4"/>
    </row>
    <row r="1439" spans="1:10" x14ac:dyDescent="0.2">
      <c r="A1439" t="e">
        <f>LEFT(#REF!,10)</f>
        <v>#REF!</v>
      </c>
      <c r="B1439" s="4" t="e">
        <f>(#REF!-#REF!)/#REF!</f>
        <v>#REF!</v>
      </c>
      <c r="C1439" s="4" t="e">
        <f>(#REF!-#REF!)/#REF!</f>
        <v>#REF!</v>
      </c>
      <c r="D1439" s="4" t="e">
        <f>LN(#REF!/#REF!)</f>
        <v>#REF!</v>
      </c>
      <c r="E1439" s="4" t="e">
        <f t="shared" si="23"/>
        <v>#REF!</v>
      </c>
      <c r="F1439" s="4" t="e" cm="1">
        <f t="array" ref="F1439">AVERAGE(B1439:B2946-$I$4/252)/_xlfn.STDEV.S(B1439:B2946-$I$4)</f>
        <v>#REF!</v>
      </c>
      <c r="G1439" s="4"/>
      <c r="H1439" s="4"/>
      <c r="I1439" s="4"/>
      <c r="J1439" s="4"/>
    </row>
    <row r="1440" spans="1:10" x14ac:dyDescent="0.2">
      <c r="A1440" t="e">
        <f>LEFT(#REF!,10)</f>
        <v>#REF!</v>
      </c>
      <c r="B1440" s="4" t="e">
        <f>(#REF!-#REF!)/#REF!</f>
        <v>#REF!</v>
      </c>
      <c r="C1440" s="4" t="e">
        <f>(#REF!-#REF!)/#REF!</f>
        <v>#REF!</v>
      </c>
      <c r="D1440" s="4" t="e">
        <f>LN(#REF!/#REF!)</f>
        <v>#REF!</v>
      </c>
      <c r="E1440" s="4" t="e">
        <f t="shared" si="23"/>
        <v>#REF!</v>
      </c>
      <c r="F1440" s="4" t="e" cm="1">
        <f t="array" ref="F1440">AVERAGE(B1440:B2947-$I$4/252)/_xlfn.STDEV.S(B1440:B2947-$I$4)</f>
        <v>#REF!</v>
      </c>
      <c r="G1440" s="4"/>
      <c r="H1440" s="4"/>
      <c r="I1440" s="4"/>
      <c r="J1440" s="4"/>
    </row>
    <row r="1441" spans="1:10" x14ac:dyDescent="0.2">
      <c r="A1441" t="e">
        <f>LEFT(#REF!,10)</f>
        <v>#REF!</v>
      </c>
      <c r="B1441" s="4" t="e">
        <f>(#REF!-#REF!)/#REF!</f>
        <v>#REF!</v>
      </c>
      <c r="C1441" s="4" t="e">
        <f>(#REF!-#REF!)/#REF!</f>
        <v>#REF!</v>
      </c>
      <c r="D1441" s="4" t="e">
        <f>LN(#REF!/#REF!)</f>
        <v>#REF!</v>
      </c>
      <c r="E1441" s="4" t="e">
        <f t="shared" si="23"/>
        <v>#REF!</v>
      </c>
      <c r="F1441" s="4" t="e" cm="1">
        <f t="array" ref="F1441">AVERAGE(B1441:B2948-$I$4/252)/_xlfn.STDEV.S(B1441:B2948-$I$4)</f>
        <v>#REF!</v>
      </c>
      <c r="G1441" s="4"/>
      <c r="H1441" s="4"/>
      <c r="I1441" s="4"/>
      <c r="J1441" s="4"/>
    </row>
    <row r="1442" spans="1:10" x14ac:dyDescent="0.2">
      <c r="A1442" t="e">
        <f>LEFT(#REF!,10)</f>
        <v>#REF!</v>
      </c>
      <c r="B1442" s="4" t="e">
        <f>(#REF!-#REF!)/#REF!</f>
        <v>#REF!</v>
      </c>
      <c r="C1442" s="4" t="e">
        <f>(#REF!-#REF!)/#REF!</f>
        <v>#REF!</v>
      </c>
      <c r="D1442" s="4" t="e">
        <f>LN(#REF!/#REF!)</f>
        <v>#REF!</v>
      </c>
      <c r="E1442" s="4" t="e">
        <f t="shared" si="23"/>
        <v>#REF!</v>
      </c>
      <c r="F1442" s="4" t="e" cm="1">
        <f t="array" ref="F1442">AVERAGE(B1442:B2949-$I$4/252)/_xlfn.STDEV.S(B1442:B2949-$I$4)</f>
        <v>#REF!</v>
      </c>
      <c r="G1442" s="4"/>
      <c r="H1442" s="4"/>
      <c r="I1442" s="4"/>
      <c r="J1442" s="4"/>
    </row>
    <row r="1443" spans="1:10" x14ac:dyDescent="0.2">
      <c r="A1443" t="e">
        <f>LEFT(#REF!,10)</f>
        <v>#REF!</v>
      </c>
      <c r="B1443" s="4" t="e">
        <f>(#REF!-#REF!)/#REF!</f>
        <v>#REF!</v>
      </c>
      <c r="C1443" s="4" t="e">
        <f>(#REF!-#REF!)/#REF!</f>
        <v>#REF!</v>
      </c>
      <c r="D1443" s="4" t="e">
        <f>LN(#REF!/#REF!)</f>
        <v>#REF!</v>
      </c>
      <c r="E1443" s="4" t="e">
        <f t="shared" si="23"/>
        <v>#REF!</v>
      </c>
      <c r="F1443" s="4" t="e" cm="1">
        <f t="array" ref="F1443">AVERAGE(B1443:B2950-$I$4/252)/_xlfn.STDEV.S(B1443:B2950-$I$4)</f>
        <v>#REF!</v>
      </c>
      <c r="G1443" s="4"/>
      <c r="H1443" s="4"/>
      <c r="I1443" s="4"/>
      <c r="J1443" s="4"/>
    </row>
    <row r="1444" spans="1:10" x14ac:dyDescent="0.2">
      <c r="A1444" t="e">
        <f>LEFT(#REF!,10)</f>
        <v>#REF!</v>
      </c>
      <c r="B1444" s="4" t="e">
        <f>(#REF!-#REF!)/#REF!</f>
        <v>#REF!</v>
      </c>
      <c r="C1444" s="4" t="e">
        <f>(#REF!-#REF!)/#REF!</f>
        <v>#REF!</v>
      </c>
      <c r="D1444" s="4" t="e">
        <f>LN(#REF!/#REF!)</f>
        <v>#REF!</v>
      </c>
      <c r="E1444" s="4" t="e">
        <f t="shared" si="23"/>
        <v>#REF!</v>
      </c>
      <c r="F1444" s="4" t="e" cm="1">
        <f t="array" ref="F1444">AVERAGE(B1444:B2951-$I$4/252)/_xlfn.STDEV.S(B1444:B2951-$I$4)</f>
        <v>#REF!</v>
      </c>
      <c r="G1444" s="4"/>
      <c r="H1444" s="4"/>
      <c r="I1444" s="4"/>
      <c r="J1444" s="4"/>
    </row>
    <row r="1445" spans="1:10" x14ac:dyDescent="0.2">
      <c r="A1445" t="e">
        <f>LEFT(#REF!,10)</f>
        <v>#REF!</v>
      </c>
      <c r="B1445" s="4" t="e">
        <f>(#REF!-#REF!)/#REF!</f>
        <v>#REF!</v>
      </c>
      <c r="C1445" s="4" t="e">
        <f>(#REF!-#REF!)/#REF!</f>
        <v>#REF!</v>
      </c>
      <c r="D1445" s="4" t="e">
        <f>LN(#REF!/#REF!)</f>
        <v>#REF!</v>
      </c>
      <c r="E1445" s="4" t="e">
        <f t="shared" si="23"/>
        <v>#REF!</v>
      </c>
      <c r="F1445" s="4" t="e" cm="1">
        <f t="array" ref="F1445">AVERAGE(B1445:B2952-$I$4/252)/_xlfn.STDEV.S(B1445:B2952-$I$4)</f>
        <v>#REF!</v>
      </c>
      <c r="G1445" s="4"/>
      <c r="H1445" s="4"/>
      <c r="I1445" s="4"/>
      <c r="J1445" s="4"/>
    </row>
    <row r="1446" spans="1:10" x14ac:dyDescent="0.2">
      <c r="A1446" t="e">
        <f>LEFT(#REF!,10)</f>
        <v>#REF!</v>
      </c>
      <c r="B1446" s="4" t="e">
        <f>(#REF!-#REF!)/#REF!</f>
        <v>#REF!</v>
      </c>
      <c r="C1446" s="4" t="e">
        <f>(#REF!-#REF!)/#REF!</f>
        <v>#REF!</v>
      </c>
      <c r="D1446" s="4" t="e">
        <f>LN(#REF!/#REF!)</f>
        <v>#REF!</v>
      </c>
      <c r="E1446" s="4" t="e">
        <f t="shared" si="23"/>
        <v>#REF!</v>
      </c>
      <c r="F1446" s="4" t="e" cm="1">
        <f t="array" ref="F1446">AVERAGE(B1446:B2953-$I$4/252)/_xlfn.STDEV.S(B1446:B2953-$I$4)</f>
        <v>#REF!</v>
      </c>
      <c r="G1446" s="4"/>
      <c r="H1446" s="4"/>
      <c r="I1446" s="4"/>
      <c r="J1446" s="4"/>
    </row>
    <row r="1447" spans="1:10" x14ac:dyDescent="0.2">
      <c r="A1447" t="e">
        <f>LEFT(#REF!,10)</f>
        <v>#REF!</v>
      </c>
      <c r="B1447" s="4" t="e">
        <f>(#REF!-#REF!)/#REF!</f>
        <v>#REF!</v>
      </c>
      <c r="C1447" s="4" t="e">
        <f>(#REF!-#REF!)/#REF!</f>
        <v>#REF!</v>
      </c>
      <c r="D1447" s="4" t="e">
        <f>LN(#REF!/#REF!)</f>
        <v>#REF!</v>
      </c>
      <c r="E1447" s="4" t="e">
        <f t="shared" si="23"/>
        <v>#REF!</v>
      </c>
      <c r="F1447" s="4" t="e" cm="1">
        <f t="array" ref="F1447">AVERAGE(B1447:B2954-$I$4/252)/_xlfn.STDEV.S(B1447:B2954-$I$4)</f>
        <v>#REF!</v>
      </c>
      <c r="G1447" s="4"/>
      <c r="H1447" s="4"/>
      <c r="I1447" s="4"/>
      <c r="J1447" s="4"/>
    </row>
    <row r="1448" spans="1:10" x14ac:dyDescent="0.2">
      <c r="A1448" t="e">
        <f>LEFT(#REF!,10)</f>
        <v>#REF!</v>
      </c>
      <c r="B1448" s="4" t="e">
        <f>(#REF!-#REF!)/#REF!</f>
        <v>#REF!</v>
      </c>
      <c r="C1448" s="4" t="e">
        <f>(#REF!-#REF!)/#REF!</f>
        <v>#REF!</v>
      </c>
      <c r="D1448" s="4" t="e">
        <f>LN(#REF!/#REF!)</f>
        <v>#REF!</v>
      </c>
      <c r="E1448" s="4" t="e">
        <f t="shared" si="23"/>
        <v>#REF!</v>
      </c>
      <c r="F1448" s="4" t="e" cm="1">
        <f t="array" ref="F1448">AVERAGE(B1448:B2955-$I$4/252)/_xlfn.STDEV.S(B1448:B2955-$I$4)</f>
        <v>#REF!</v>
      </c>
      <c r="G1448" s="4"/>
      <c r="H1448" s="4"/>
      <c r="I1448" s="4"/>
      <c r="J1448" s="4"/>
    </row>
    <row r="1449" spans="1:10" x14ac:dyDescent="0.2">
      <c r="A1449" t="e">
        <f>LEFT(#REF!,10)</f>
        <v>#REF!</v>
      </c>
      <c r="B1449" s="4" t="e">
        <f>(#REF!-#REF!)/#REF!</f>
        <v>#REF!</v>
      </c>
      <c r="C1449" s="4" t="e">
        <f>(#REF!-#REF!)/#REF!</f>
        <v>#REF!</v>
      </c>
      <c r="D1449" s="4" t="e">
        <f>LN(#REF!/#REF!)</f>
        <v>#REF!</v>
      </c>
      <c r="E1449" s="4" t="e">
        <f t="shared" si="23"/>
        <v>#REF!</v>
      </c>
      <c r="F1449" s="4" t="e" cm="1">
        <f t="array" ref="F1449">AVERAGE(B1449:B2956-$I$4/252)/_xlfn.STDEV.S(B1449:B2956-$I$4)</f>
        <v>#REF!</v>
      </c>
      <c r="G1449" s="4"/>
      <c r="H1449" s="4"/>
      <c r="I1449" s="4"/>
      <c r="J1449" s="4"/>
    </row>
    <row r="1450" spans="1:10" x14ac:dyDescent="0.2">
      <c r="A1450" t="e">
        <f>LEFT(#REF!,10)</f>
        <v>#REF!</v>
      </c>
      <c r="B1450" s="4" t="e">
        <f>(#REF!-#REF!)/#REF!</f>
        <v>#REF!</v>
      </c>
      <c r="C1450" s="4" t="e">
        <f>(#REF!-#REF!)/#REF!</f>
        <v>#REF!</v>
      </c>
      <c r="D1450" s="4" t="e">
        <f>LN(#REF!/#REF!)</f>
        <v>#REF!</v>
      </c>
      <c r="E1450" s="4" t="e">
        <f t="shared" si="23"/>
        <v>#REF!</v>
      </c>
      <c r="F1450" s="4" t="e" cm="1">
        <f t="array" ref="F1450">AVERAGE(B1450:B2957-$I$4/252)/_xlfn.STDEV.S(B1450:B2957-$I$4)</f>
        <v>#REF!</v>
      </c>
      <c r="G1450" s="4"/>
      <c r="H1450" s="4"/>
      <c r="I1450" s="4"/>
      <c r="J1450" s="4"/>
    </row>
    <row r="1451" spans="1:10" x14ac:dyDescent="0.2">
      <c r="A1451" t="e">
        <f>LEFT(#REF!,10)</f>
        <v>#REF!</v>
      </c>
      <c r="B1451" s="4" t="e">
        <f>(#REF!-#REF!)/#REF!</f>
        <v>#REF!</v>
      </c>
      <c r="C1451" s="4" t="e">
        <f>(#REF!-#REF!)/#REF!</f>
        <v>#REF!</v>
      </c>
      <c r="D1451" s="4" t="e">
        <f>LN(#REF!/#REF!)</f>
        <v>#REF!</v>
      </c>
      <c r="E1451" s="4" t="e">
        <f t="shared" si="23"/>
        <v>#REF!</v>
      </c>
      <c r="F1451" s="4" t="e" cm="1">
        <f t="array" ref="F1451">AVERAGE(B1451:B2958-$I$4/252)/_xlfn.STDEV.S(B1451:B2958-$I$4)</f>
        <v>#REF!</v>
      </c>
      <c r="G1451" s="4"/>
      <c r="H1451" s="4"/>
      <c r="I1451" s="4"/>
      <c r="J1451" s="4"/>
    </row>
    <row r="1452" spans="1:10" x14ac:dyDescent="0.2">
      <c r="A1452" t="e">
        <f>LEFT(#REF!,10)</f>
        <v>#REF!</v>
      </c>
      <c r="B1452" s="4" t="e">
        <f>(#REF!-#REF!)/#REF!</f>
        <v>#REF!</v>
      </c>
      <c r="C1452" s="4" t="e">
        <f>(#REF!-#REF!)/#REF!</f>
        <v>#REF!</v>
      </c>
      <c r="D1452" s="4" t="e">
        <f>LN(#REF!/#REF!)</f>
        <v>#REF!</v>
      </c>
      <c r="E1452" s="4" t="e">
        <f t="shared" si="23"/>
        <v>#REF!</v>
      </c>
      <c r="F1452" s="4" t="e" cm="1">
        <f t="array" ref="F1452">AVERAGE(B1452:B2959-$I$4/252)/_xlfn.STDEV.S(B1452:B2959-$I$4)</f>
        <v>#REF!</v>
      </c>
      <c r="G1452" s="4"/>
      <c r="H1452" s="4"/>
      <c r="I1452" s="4"/>
      <c r="J1452" s="4"/>
    </row>
    <row r="1453" spans="1:10" x14ac:dyDescent="0.2">
      <c r="A1453" t="e">
        <f>LEFT(#REF!,10)</f>
        <v>#REF!</v>
      </c>
      <c r="B1453" s="4" t="e">
        <f>(#REF!-#REF!)/#REF!</f>
        <v>#REF!</v>
      </c>
      <c r="C1453" s="4" t="e">
        <f>(#REF!-#REF!)/#REF!</f>
        <v>#REF!</v>
      </c>
      <c r="D1453" s="4" t="e">
        <f>LN(#REF!/#REF!)</f>
        <v>#REF!</v>
      </c>
      <c r="E1453" s="4" t="e">
        <f t="shared" si="23"/>
        <v>#REF!</v>
      </c>
      <c r="F1453" s="4" t="e" cm="1">
        <f t="array" ref="F1453">AVERAGE(B1453:B2960-$I$4/252)/_xlfn.STDEV.S(B1453:B2960-$I$4)</f>
        <v>#REF!</v>
      </c>
      <c r="G1453" s="4"/>
      <c r="H1453" s="4"/>
      <c r="I1453" s="4"/>
      <c r="J1453" s="4"/>
    </row>
    <row r="1454" spans="1:10" x14ac:dyDescent="0.2">
      <c r="A1454" t="e">
        <f>LEFT(#REF!,10)</f>
        <v>#REF!</v>
      </c>
      <c r="B1454" s="4" t="e">
        <f>(#REF!-#REF!)/#REF!</f>
        <v>#REF!</v>
      </c>
      <c r="C1454" s="4" t="e">
        <f>(#REF!-#REF!)/#REF!</f>
        <v>#REF!</v>
      </c>
      <c r="D1454" s="4" t="e">
        <f>LN(#REF!/#REF!)</f>
        <v>#REF!</v>
      </c>
      <c r="E1454" s="4" t="e">
        <f t="shared" si="23"/>
        <v>#REF!</v>
      </c>
      <c r="F1454" s="4" t="e" cm="1">
        <f t="array" ref="F1454">AVERAGE(B1454:B2961-$I$4/252)/_xlfn.STDEV.S(B1454:B2961-$I$4)</f>
        <v>#REF!</v>
      </c>
      <c r="G1454" s="4"/>
      <c r="H1454" s="4"/>
      <c r="I1454" s="4"/>
      <c r="J1454" s="4"/>
    </row>
    <row r="1455" spans="1:10" x14ac:dyDescent="0.2">
      <c r="A1455" t="e">
        <f>LEFT(#REF!,10)</f>
        <v>#REF!</v>
      </c>
      <c r="B1455" s="4" t="e">
        <f>(#REF!-#REF!)/#REF!</f>
        <v>#REF!</v>
      </c>
      <c r="C1455" s="4" t="e">
        <f>(#REF!-#REF!)/#REF!</f>
        <v>#REF!</v>
      </c>
      <c r="D1455" s="4" t="e">
        <f>LN(#REF!/#REF!)</f>
        <v>#REF!</v>
      </c>
      <c r="E1455" s="4" t="e">
        <f t="shared" si="23"/>
        <v>#REF!</v>
      </c>
      <c r="F1455" s="4" t="e" cm="1">
        <f t="array" ref="F1455">AVERAGE(B1455:B2962-$I$4/252)/_xlfn.STDEV.S(B1455:B2962-$I$4)</f>
        <v>#REF!</v>
      </c>
      <c r="G1455" s="4"/>
      <c r="H1455" s="4"/>
      <c r="I1455" s="4"/>
      <c r="J1455" s="4"/>
    </row>
    <row r="1456" spans="1:10" x14ac:dyDescent="0.2">
      <c r="A1456" t="e">
        <f>LEFT(#REF!,10)</f>
        <v>#REF!</v>
      </c>
      <c r="B1456" s="4" t="e">
        <f>(#REF!-#REF!)/#REF!</f>
        <v>#REF!</v>
      </c>
      <c r="C1456" s="4" t="e">
        <f>(#REF!-#REF!)/#REF!</f>
        <v>#REF!</v>
      </c>
      <c r="D1456" s="4" t="e">
        <f>LN(#REF!/#REF!)</f>
        <v>#REF!</v>
      </c>
      <c r="E1456" s="4" t="e">
        <f t="shared" si="23"/>
        <v>#REF!</v>
      </c>
      <c r="F1456" s="4" t="e" cm="1">
        <f t="array" ref="F1456">AVERAGE(B1456:B2963-$I$4/252)/_xlfn.STDEV.S(B1456:B2963-$I$4)</f>
        <v>#REF!</v>
      </c>
      <c r="G1456" s="4"/>
      <c r="H1456" s="4"/>
      <c r="I1456" s="4"/>
      <c r="J1456" s="4"/>
    </row>
    <row r="1457" spans="1:10" x14ac:dyDescent="0.2">
      <c r="A1457" t="e">
        <f>LEFT(#REF!,10)</f>
        <v>#REF!</v>
      </c>
      <c r="B1457" s="4" t="e">
        <f>(#REF!-#REF!)/#REF!</f>
        <v>#REF!</v>
      </c>
      <c r="C1457" s="4" t="e">
        <f>(#REF!-#REF!)/#REF!</f>
        <v>#REF!</v>
      </c>
      <c r="D1457" s="4" t="e">
        <f>LN(#REF!/#REF!)</f>
        <v>#REF!</v>
      </c>
      <c r="E1457" s="4" t="e">
        <f t="shared" si="23"/>
        <v>#REF!</v>
      </c>
      <c r="F1457" s="4" t="e" cm="1">
        <f t="array" ref="F1457">AVERAGE(B1457:B2964-$I$4/252)/_xlfn.STDEV.S(B1457:B2964-$I$4)</f>
        <v>#REF!</v>
      </c>
      <c r="G1457" s="4"/>
      <c r="H1457" s="4"/>
      <c r="I1457" s="4"/>
      <c r="J1457" s="4"/>
    </row>
    <row r="1458" spans="1:10" x14ac:dyDescent="0.2">
      <c r="A1458" t="e">
        <f>LEFT(#REF!,10)</f>
        <v>#REF!</v>
      </c>
      <c r="B1458" s="4" t="e">
        <f>(#REF!-#REF!)/#REF!</f>
        <v>#REF!</v>
      </c>
      <c r="C1458" s="4" t="e">
        <f>(#REF!-#REF!)/#REF!</f>
        <v>#REF!</v>
      </c>
      <c r="D1458" s="4" t="e">
        <f>LN(#REF!/#REF!)</f>
        <v>#REF!</v>
      </c>
      <c r="E1458" s="4" t="e">
        <f t="shared" si="23"/>
        <v>#REF!</v>
      </c>
      <c r="F1458" s="4" t="e" cm="1">
        <f t="array" ref="F1458">AVERAGE(B1458:B2965-$I$4/252)/_xlfn.STDEV.S(B1458:B2965-$I$4)</f>
        <v>#REF!</v>
      </c>
      <c r="G1458" s="4"/>
      <c r="H1458" s="4"/>
      <c r="I1458" s="4"/>
      <c r="J1458" s="4"/>
    </row>
    <row r="1459" spans="1:10" x14ac:dyDescent="0.2">
      <c r="A1459" t="e">
        <f>LEFT(#REF!,10)</f>
        <v>#REF!</v>
      </c>
      <c r="B1459" s="4" t="e">
        <f>(#REF!-#REF!)/#REF!</f>
        <v>#REF!</v>
      </c>
      <c r="C1459" s="4" t="e">
        <f>(#REF!-#REF!)/#REF!</f>
        <v>#REF!</v>
      </c>
      <c r="D1459" s="4" t="e">
        <f>LN(#REF!/#REF!)</f>
        <v>#REF!</v>
      </c>
      <c r="E1459" s="4" t="e">
        <f t="shared" si="23"/>
        <v>#REF!</v>
      </c>
      <c r="F1459" s="4" t="e" cm="1">
        <f t="array" ref="F1459">AVERAGE(B1459:B2966-$I$4/252)/_xlfn.STDEV.S(B1459:B2966-$I$4)</f>
        <v>#REF!</v>
      </c>
      <c r="G1459" s="4"/>
      <c r="H1459" s="4"/>
      <c r="I1459" s="4"/>
      <c r="J1459" s="4"/>
    </row>
    <row r="1460" spans="1:10" x14ac:dyDescent="0.2">
      <c r="A1460" t="e">
        <f>LEFT(#REF!,10)</f>
        <v>#REF!</v>
      </c>
      <c r="B1460" s="4" t="e">
        <f>(#REF!-#REF!)/#REF!</f>
        <v>#REF!</v>
      </c>
      <c r="C1460" s="4" t="e">
        <f>(#REF!-#REF!)/#REF!</f>
        <v>#REF!</v>
      </c>
      <c r="D1460" s="4" t="e">
        <f>LN(#REF!/#REF!)</f>
        <v>#REF!</v>
      </c>
      <c r="E1460" s="4" t="e">
        <f t="shared" si="23"/>
        <v>#REF!</v>
      </c>
      <c r="F1460" s="4" t="e" cm="1">
        <f t="array" ref="F1460">AVERAGE(B1460:B2967-$I$4/252)/_xlfn.STDEV.S(B1460:B2967-$I$4)</f>
        <v>#REF!</v>
      </c>
      <c r="G1460" s="4"/>
      <c r="H1460" s="4"/>
      <c r="I1460" s="4"/>
      <c r="J1460" s="4"/>
    </row>
    <row r="1461" spans="1:10" x14ac:dyDescent="0.2">
      <c r="A1461" t="e">
        <f>LEFT(#REF!,10)</f>
        <v>#REF!</v>
      </c>
      <c r="B1461" s="4" t="e">
        <f>(#REF!-#REF!)/#REF!</f>
        <v>#REF!</v>
      </c>
      <c r="C1461" s="4" t="e">
        <f>(#REF!-#REF!)/#REF!</f>
        <v>#REF!</v>
      </c>
      <c r="D1461" s="4" t="e">
        <f>LN(#REF!/#REF!)</f>
        <v>#REF!</v>
      </c>
      <c r="E1461" s="4" t="e">
        <f t="shared" si="23"/>
        <v>#REF!</v>
      </c>
      <c r="F1461" s="4" t="e" cm="1">
        <f t="array" ref="F1461">AVERAGE(B1461:B2968-$I$4/252)/_xlfn.STDEV.S(B1461:B2968-$I$4)</f>
        <v>#REF!</v>
      </c>
      <c r="G1461" s="4"/>
      <c r="H1461" s="4"/>
      <c r="I1461" s="4"/>
      <c r="J1461" s="4"/>
    </row>
    <row r="1462" spans="1:10" x14ac:dyDescent="0.2">
      <c r="A1462" t="e">
        <f>LEFT(#REF!,10)</f>
        <v>#REF!</v>
      </c>
      <c r="B1462" s="4" t="e">
        <f>(#REF!-#REF!)/#REF!</f>
        <v>#REF!</v>
      </c>
      <c r="C1462" s="4" t="e">
        <f>(#REF!-#REF!)/#REF!</f>
        <v>#REF!</v>
      </c>
      <c r="D1462" s="4" t="e">
        <f>LN(#REF!/#REF!)</f>
        <v>#REF!</v>
      </c>
      <c r="E1462" s="4" t="e">
        <f t="shared" si="23"/>
        <v>#REF!</v>
      </c>
      <c r="F1462" s="4" t="e" cm="1">
        <f t="array" ref="F1462">AVERAGE(B1462:B2969-$I$4/252)/_xlfn.STDEV.S(B1462:B2969-$I$4)</f>
        <v>#REF!</v>
      </c>
      <c r="G1462" s="4"/>
      <c r="H1462" s="4"/>
      <c r="I1462" s="4"/>
      <c r="J1462" s="4"/>
    </row>
    <row r="1463" spans="1:10" x14ac:dyDescent="0.2">
      <c r="A1463" t="e">
        <f>LEFT(#REF!,10)</f>
        <v>#REF!</v>
      </c>
      <c r="B1463" s="4" t="e">
        <f>(#REF!-#REF!)/#REF!</f>
        <v>#REF!</v>
      </c>
      <c r="C1463" s="4" t="e">
        <f>(#REF!-#REF!)/#REF!</f>
        <v>#REF!</v>
      </c>
      <c r="D1463" s="4" t="e">
        <f>LN(#REF!/#REF!)</f>
        <v>#REF!</v>
      </c>
      <c r="E1463" s="4" t="e">
        <f t="shared" si="23"/>
        <v>#REF!</v>
      </c>
      <c r="F1463" s="4" t="e" cm="1">
        <f t="array" ref="F1463">AVERAGE(B1463:B2970-$I$4/252)/_xlfn.STDEV.S(B1463:B2970-$I$4)</f>
        <v>#REF!</v>
      </c>
      <c r="G1463" s="4"/>
      <c r="H1463" s="4"/>
      <c r="I1463" s="4"/>
      <c r="J1463" s="4"/>
    </row>
    <row r="1464" spans="1:10" x14ac:dyDescent="0.2">
      <c r="A1464" t="e">
        <f>LEFT(#REF!,10)</f>
        <v>#REF!</v>
      </c>
      <c r="B1464" s="4" t="e">
        <f>(#REF!-#REF!)/#REF!</f>
        <v>#REF!</v>
      </c>
      <c r="C1464" s="4" t="e">
        <f>(#REF!-#REF!)/#REF!</f>
        <v>#REF!</v>
      </c>
      <c r="D1464" s="4" t="e">
        <f>LN(#REF!/#REF!)</f>
        <v>#REF!</v>
      </c>
      <c r="E1464" s="4" t="e">
        <f t="shared" si="23"/>
        <v>#REF!</v>
      </c>
      <c r="F1464" s="4" t="e" cm="1">
        <f t="array" ref="F1464">AVERAGE(B1464:B2971-$I$4/252)/_xlfn.STDEV.S(B1464:B2971-$I$4)</f>
        <v>#REF!</v>
      </c>
      <c r="G1464" s="4"/>
      <c r="H1464" s="4"/>
      <c r="I1464" s="4"/>
      <c r="J1464" s="4"/>
    </row>
    <row r="1465" spans="1:10" x14ac:dyDescent="0.2">
      <c r="A1465" t="e">
        <f>LEFT(#REF!,10)</f>
        <v>#REF!</v>
      </c>
      <c r="B1465" s="4" t="e">
        <f>(#REF!-#REF!)/#REF!</f>
        <v>#REF!</v>
      </c>
      <c r="C1465" s="4" t="e">
        <f>(#REF!-#REF!)/#REF!</f>
        <v>#REF!</v>
      </c>
      <c r="D1465" s="4" t="e">
        <f>LN(#REF!/#REF!)</f>
        <v>#REF!</v>
      </c>
      <c r="E1465" s="4" t="e">
        <f t="shared" si="23"/>
        <v>#REF!</v>
      </c>
      <c r="F1465" s="4" t="e" cm="1">
        <f t="array" ref="F1465">AVERAGE(B1465:B2972-$I$4/252)/_xlfn.STDEV.S(B1465:B2972-$I$4)</f>
        <v>#REF!</v>
      </c>
      <c r="G1465" s="4"/>
      <c r="H1465" s="4"/>
      <c r="I1465" s="4"/>
      <c r="J1465" s="4"/>
    </row>
    <row r="1466" spans="1:10" x14ac:dyDescent="0.2">
      <c r="A1466" t="e">
        <f>LEFT(#REF!,10)</f>
        <v>#REF!</v>
      </c>
      <c r="B1466" s="4" t="e">
        <f>(#REF!-#REF!)/#REF!</f>
        <v>#REF!</v>
      </c>
      <c r="C1466" s="4" t="e">
        <f>(#REF!-#REF!)/#REF!</f>
        <v>#REF!</v>
      </c>
      <c r="D1466" s="4" t="e">
        <f>LN(#REF!/#REF!)</f>
        <v>#REF!</v>
      </c>
      <c r="E1466" s="4" t="e">
        <f t="shared" si="23"/>
        <v>#REF!</v>
      </c>
      <c r="F1466" s="4" t="e" cm="1">
        <f t="array" ref="F1466">AVERAGE(B1466:B2973-$I$4/252)/_xlfn.STDEV.S(B1466:B2973-$I$4)</f>
        <v>#REF!</v>
      </c>
      <c r="G1466" s="4"/>
      <c r="H1466" s="4"/>
      <c r="I1466" s="4"/>
      <c r="J1466" s="4"/>
    </row>
    <row r="1467" spans="1:10" x14ac:dyDescent="0.2">
      <c r="A1467" t="e">
        <f>LEFT(#REF!,10)</f>
        <v>#REF!</v>
      </c>
      <c r="B1467" s="4" t="e">
        <f>(#REF!-#REF!)/#REF!</f>
        <v>#REF!</v>
      </c>
      <c r="C1467" s="4" t="e">
        <f>(#REF!-#REF!)/#REF!</f>
        <v>#REF!</v>
      </c>
      <c r="D1467" s="4" t="e">
        <f>LN(#REF!/#REF!)</f>
        <v>#REF!</v>
      </c>
      <c r="E1467" s="4" t="e">
        <f t="shared" si="23"/>
        <v>#REF!</v>
      </c>
      <c r="F1467" s="4" t="e" cm="1">
        <f t="array" ref="F1467">AVERAGE(B1467:B2974-$I$4/252)/_xlfn.STDEV.S(B1467:B2974-$I$4)</f>
        <v>#REF!</v>
      </c>
      <c r="G1467" s="4"/>
      <c r="H1467" s="4"/>
      <c r="I1467" s="4"/>
      <c r="J1467" s="4"/>
    </row>
    <row r="1468" spans="1:10" x14ac:dyDescent="0.2">
      <c r="A1468" t="e">
        <f>LEFT(#REF!,10)</f>
        <v>#REF!</v>
      </c>
      <c r="B1468" s="4" t="e">
        <f>(#REF!-#REF!)/#REF!</f>
        <v>#REF!</v>
      </c>
      <c r="C1468" s="4" t="e">
        <f>(#REF!-#REF!)/#REF!</f>
        <v>#REF!</v>
      </c>
      <c r="D1468" s="4" t="e">
        <f>LN(#REF!/#REF!)</f>
        <v>#REF!</v>
      </c>
      <c r="E1468" s="4" t="e">
        <f t="shared" si="23"/>
        <v>#REF!</v>
      </c>
      <c r="F1468" s="4" t="e" cm="1">
        <f t="array" ref="F1468">AVERAGE(B1468:B2975-$I$4/252)/_xlfn.STDEV.S(B1468:B2975-$I$4)</f>
        <v>#REF!</v>
      </c>
      <c r="G1468" s="4"/>
      <c r="H1468" s="4"/>
      <c r="I1468" s="4"/>
      <c r="J1468" s="4"/>
    </row>
    <row r="1469" spans="1:10" x14ac:dyDescent="0.2">
      <c r="A1469" t="e">
        <f>LEFT(#REF!,10)</f>
        <v>#REF!</v>
      </c>
      <c r="B1469" s="4" t="e">
        <f>(#REF!-#REF!)/#REF!</f>
        <v>#REF!</v>
      </c>
      <c r="C1469" s="4" t="e">
        <f>(#REF!-#REF!)/#REF!</f>
        <v>#REF!</v>
      </c>
      <c r="D1469" s="4" t="e">
        <f>LN(#REF!/#REF!)</f>
        <v>#REF!</v>
      </c>
      <c r="E1469" s="4" t="e">
        <f t="shared" si="23"/>
        <v>#REF!</v>
      </c>
      <c r="F1469" s="4" t="e" cm="1">
        <f t="array" ref="F1469">AVERAGE(B1469:B2976-$I$4/252)/_xlfn.STDEV.S(B1469:B2976-$I$4)</f>
        <v>#REF!</v>
      </c>
      <c r="G1469" s="4"/>
      <c r="H1469" s="4"/>
      <c r="I1469" s="4"/>
      <c r="J1469" s="4"/>
    </row>
    <row r="1470" spans="1:10" x14ac:dyDescent="0.2">
      <c r="A1470" t="e">
        <f>LEFT(#REF!,10)</f>
        <v>#REF!</v>
      </c>
      <c r="B1470" s="4" t="e">
        <f>(#REF!-#REF!)/#REF!</f>
        <v>#REF!</v>
      </c>
      <c r="C1470" s="4" t="e">
        <f>(#REF!-#REF!)/#REF!</f>
        <v>#REF!</v>
      </c>
      <c r="D1470" s="4" t="e">
        <f>LN(#REF!/#REF!)</f>
        <v>#REF!</v>
      </c>
      <c r="E1470" s="4" t="e">
        <f t="shared" si="23"/>
        <v>#REF!</v>
      </c>
      <c r="F1470" s="4" t="e" cm="1">
        <f t="array" ref="F1470">AVERAGE(B1470:B2977-$I$4/252)/_xlfn.STDEV.S(B1470:B2977-$I$4)</f>
        <v>#REF!</v>
      </c>
      <c r="G1470" s="4"/>
      <c r="H1470" s="4"/>
      <c r="I1470" s="4"/>
      <c r="J1470" s="4"/>
    </row>
    <row r="1471" spans="1:10" x14ac:dyDescent="0.2">
      <c r="A1471" t="e">
        <f>LEFT(#REF!,10)</f>
        <v>#REF!</v>
      </c>
      <c r="B1471" s="4" t="e">
        <f>(#REF!-#REF!)/#REF!</f>
        <v>#REF!</v>
      </c>
      <c r="C1471" s="4" t="e">
        <f>(#REF!-#REF!)/#REF!</f>
        <v>#REF!</v>
      </c>
      <c r="D1471" s="4" t="e">
        <f>LN(#REF!/#REF!)</f>
        <v>#REF!</v>
      </c>
      <c r="E1471" s="4" t="e">
        <f t="shared" si="23"/>
        <v>#REF!</v>
      </c>
      <c r="F1471" s="4" t="e" cm="1">
        <f t="array" ref="F1471">AVERAGE(B1471:B2978-$I$4/252)/_xlfn.STDEV.S(B1471:B2978-$I$4)</f>
        <v>#REF!</v>
      </c>
      <c r="G1471" s="4"/>
      <c r="H1471" s="4"/>
      <c r="I1471" s="4"/>
      <c r="J1471" s="4"/>
    </row>
    <row r="1472" spans="1:10" x14ac:dyDescent="0.2">
      <c r="A1472" t="e">
        <f>LEFT(#REF!,10)</f>
        <v>#REF!</v>
      </c>
      <c r="B1472" s="4" t="e">
        <f>(#REF!-#REF!)/#REF!</f>
        <v>#REF!</v>
      </c>
      <c r="C1472" s="4" t="e">
        <f>(#REF!-#REF!)/#REF!</f>
        <v>#REF!</v>
      </c>
      <c r="D1472" s="4" t="e">
        <f>LN(#REF!/#REF!)</f>
        <v>#REF!</v>
      </c>
      <c r="E1472" s="4" t="e">
        <f t="shared" si="23"/>
        <v>#REF!</v>
      </c>
      <c r="F1472" s="4" t="e" cm="1">
        <f t="array" ref="F1472">AVERAGE(B1472:B2979-$I$4/252)/_xlfn.STDEV.S(B1472:B2979-$I$4)</f>
        <v>#REF!</v>
      </c>
      <c r="G1472" s="4"/>
      <c r="H1472" s="4"/>
      <c r="I1472" s="4"/>
      <c r="J1472" s="4"/>
    </row>
    <row r="1473" spans="1:10" x14ac:dyDescent="0.2">
      <c r="A1473" t="e">
        <f>LEFT(#REF!,10)</f>
        <v>#REF!</v>
      </c>
      <c r="B1473" s="4" t="e">
        <f>(#REF!-#REF!)/#REF!</f>
        <v>#REF!</v>
      </c>
      <c r="C1473" s="4" t="e">
        <f>(#REF!-#REF!)/#REF!</f>
        <v>#REF!</v>
      </c>
      <c r="D1473" s="4" t="e">
        <f>LN(#REF!/#REF!)</f>
        <v>#REF!</v>
      </c>
      <c r="E1473" s="4" t="e">
        <f t="shared" si="23"/>
        <v>#REF!</v>
      </c>
      <c r="F1473" s="4" t="e" cm="1">
        <f t="array" ref="F1473">AVERAGE(B1473:B2980-$I$4/252)/_xlfn.STDEV.S(B1473:B2980-$I$4)</f>
        <v>#REF!</v>
      </c>
      <c r="G1473" s="4"/>
      <c r="H1473" s="4"/>
      <c r="I1473" s="4"/>
      <c r="J1473" s="4"/>
    </row>
    <row r="1474" spans="1:10" x14ac:dyDescent="0.2">
      <c r="A1474" t="e">
        <f>LEFT(#REF!,10)</f>
        <v>#REF!</v>
      </c>
      <c r="B1474" s="4" t="e">
        <f>(#REF!-#REF!)/#REF!</f>
        <v>#REF!</v>
      </c>
      <c r="C1474" s="4" t="e">
        <f>(#REF!-#REF!)/#REF!</f>
        <v>#REF!</v>
      </c>
      <c r="D1474" s="4" t="e">
        <f>LN(#REF!/#REF!)</f>
        <v>#REF!</v>
      </c>
      <c r="E1474" s="4" t="e">
        <f t="shared" si="23"/>
        <v>#REF!</v>
      </c>
      <c r="F1474" s="4" t="e" cm="1">
        <f t="array" ref="F1474">AVERAGE(B1474:B2981-$I$4/252)/_xlfn.STDEV.S(B1474:B2981-$I$4)</f>
        <v>#REF!</v>
      </c>
      <c r="G1474" s="4"/>
      <c r="H1474" s="4"/>
      <c r="I1474" s="4"/>
      <c r="J1474" s="4"/>
    </row>
    <row r="1475" spans="1:10" x14ac:dyDescent="0.2">
      <c r="A1475" t="e">
        <f>LEFT(#REF!,10)</f>
        <v>#REF!</v>
      </c>
      <c r="B1475" s="4" t="e">
        <f>(#REF!-#REF!)/#REF!</f>
        <v>#REF!</v>
      </c>
      <c r="C1475" s="4" t="e">
        <f>(#REF!-#REF!)/#REF!</f>
        <v>#REF!</v>
      </c>
      <c r="D1475" s="4" t="e">
        <f>LN(#REF!/#REF!)</f>
        <v>#REF!</v>
      </c>
      <c r="E1475" s="4" t="e">
        <f t="shared" si="23"/>
        <v>#REF!</v>
      </c>
      <c r="F1475" s="4" t="e" cm="1">
        <f t="array" ref="F1475">AVERAGE(B1475:B2982-$I$4/252)/_xlfn.STDEV.S(B1475:B2982-$I$4)</f>
        <v>#REF!</v>
      </c>
      <c r="G1475" s="4"/>
      <c r="H1475" s="4"/>
      <c r="I1475" s="4"/>
      <c r="J1475" s="4"/>
    </row>
    <row r="1476" spans="1:10" x14ac:dyDescent="0.2">
      <c r="A1476" t="e">
        <f>LEFT(#REF!,10)</f>
        <v>#REF!</v>
      </c>
      <c r="B1476" s="4" t="e">
        <f>(#REF!-#REF!)/#REF!</f>
        <v>#REF!</v>
      </c>
      <c r="C1476" s="4" t="e">
        <f>(#REF!-#REF!)/#REF!</f>
        <v>#REF!</v>
      </c>
      <c r="D1476" s="4" t="e">
        <f>LN(#REF!/#REF!)</f>
        <v>#REF!</v>
      </c>
      <c r="E1476" s="4" t="e">
        <f t="shared" si="23"/>
        <v>#REF!</v>
      </c>
      <c r="F1476" s="4" t="e" cm="1">
        <f t="array" ref="F1476">AVERAGE(B1476:B2983-$I$4/252)/_xlfn.STDEV.S(B1476:B2983-$I$4)</f>
        <v>#REF!</v>
      </c>
      <c r="G1476" s="4"/>
      <c r="H1476" s="4"/>
      <c r="I1476" s="4"/>
      <c r="J1476" s="4"/>
    </row>
    <row r="1477" spans="1:10" x14ac:dyDescent="0.2">
      <c r="A1477" t="e">
        <f>LEFT(#REF!,10)</f>
        <v>#REF!</v>
      </c>
      <c r="B1477" s="4" t="e">
        <f>(#REF!-#REF!)/#REF!</f>
        <v>#REF!</v>
      </c>
      <c r="C1477" s="4" t="e">
        <f>(#REF!-#REF!)/#REF!</f>
        <v>#REF!</v>
      </c>
      <c r="D1477" s="4" t="e">
        <f>LN(#REF!/#REF!)</f>
        <v>#REF!</v>
      </c>
      <c r="E1477" s="4" t="e">
        <f t="shared" ref="E1477:E1492" si="24">_xlfn.STDEV.S(D1477:D1496)</f>
        <v>#REF!</v>
      </c>
      <c r="F1477" s="4" t="e" cm="1">
        <f t="array" ref="F1477">AVERAGE(B1477:B2984-$I$4/252)/_xlfn.STDEV.S(B1477:B2984-$I$4)</f>
        <v>#REF!</v>
      </c>
      <c r="G1477" s="4"/>
      <c r="H1477" s="4"/>
      <c r="I1477" s="4"/>
      <c r="J1477" s="4"/>
    </row>
    <row r="1478" spans="1:10" x14ac:dyDescent="0.2">
      <c r="A1478" t="e">
        <f>LEFT(#REF!,10)</f>
        <v>#REF!</v>
      </c>
      <c r="B1478" s="4" t="e">
        <f>(#REF!-#REF!)/#REF!</f>
        <v>#REF!</v>
      </c>
      <c r="C1478" s="4" t="e">
        <f>(#REF!-#REF!)/#REF!</f>
        <v>#REF!</v>
      </c>
      <c r="D1478" s="4" t="e">
        <f>LN(#REF!/#REF!)</f>
        <v>#REF!</v>
      </c>
      <c r="E1478" s="4" t="e">
        <f t="shared" si="24"/>
        <v>#REF!</v>
      </c>
      <c r="F1478" s="4" t="e" cm="1">
        <f t="array" ref="F1478">AVERAGE(B1478:B2985-$I$4/252)/_xlfn.STDEV.S(B1478:B2985-$I$4)</f>
        <v>#REF!</v>
      </c>
      <c r="G1478" s="4"/>
      <c r="H1478" s="4"/>
      <c r="I1478" s="4"/>
      <c r="J1478" s="4"/>
    </row>
    <row r="1479" spans="1:10" x14ac:dyDescent="0.2">
      <c r="A1479" t="e">
        <f>LEFT(#REF!,10)</f>
        <v>#REF!</v>
      </c>
      <c r="B1479" s="4" t="e">
        <f>(#REF!-#REF!)/#REF!</f>
        <v>#REF!</v>
      </c>
      <c r="C1479" s="4" t="e">
        <f>(#REF!-#REF!)/#REF!</f>
        <v>#REF!</v>
      </c>
      <c r="D1479" s="4" t="e">
        <f>LN(#REF!/#REF!)</f>
        <v>#REF!</v>
      </c>
      <c r="E1479" s="4" t="e">
        <f t="shared" si="24"/>
        <v>#REF!</v>
      </c>
      <c r="F1479" s="4" t="e" cm="1">
        <f t="array" ref="F1479">AVERAGE(B1479:B2986-$I$4/252)/_xlfn.STDEV.S(B1479:B2986-$I$4)</f>
        <v>#REF!</v>
      </c>
      <c r="G1479" s="4"/>
      <c r="H1479" s="4"/>
      <c r="I1479" s="4"/>
      <c r="J1479" s="4"/>
    </row>
    <row r="1480" spans="1:10" x14ac:dyDescent="0.2">
      <c r="A1480" t="e">
        <f>LEFT(#REF!,10)</f>
        <v>#REF!</v>
      </c>
      <c r="B1480" s="4" t="e">
        <f>(#REF!-#REF!)/#REF!</f>
        <v>#REF!</v>
      </c>
      <c r="C1480" s="4" t="e">
        <f>(#REF!-#REF!)/#REF!</f>
        <v>#REF!</v>
      </c>
      <c r="D1480" s="4" t="e">
        <f>LN(#REF!/#REF!)</f>
        <v>#REF!</v>
      </c>
      <c r="E1480" s="4" t="e">
        <f t="shared" si="24"/>
        <v>#REF!</v>
      </c>
      <c r="F1480" s="4" t="e" cm="1">
        <f t="array" ref="F1480">AVERAGE(B1480:B2987-$I$4/252)/_xlfn.STDEV.S(B1480:B2987-$I$4)</f>
        <v>#REF!</v>
      </c>
      <c r="G1480" s="4"/>
      <c r="H1480" s="4"/>
      <c r="I1480" s="4"/>
      <c r="J1480" s="4"/>
    </row>
    <row r="1481" spans="1:10" x14ac:dyDescent="0.2">
      <c r="A1481" t="e">
        <f>LEFT(#REF!,10)</f>
        <v>#REF!</v>
      </c>
      <c r="B1481" s="4" t="e">
        <f>(#REF!-#REF!)/#REF!</f>
        <v>#REF!</v>
      </c>
      <c r="C1481" s="4" t="e">
        <f>(#REF!-#REF!)/#REF!</f>
        <v>#REF!</v>
      </c>
      <c r="D1481" s="4" t="e">
        <f>LN(#REF!/#REF!)</f>
        <v>#REF!</v>
      </c>
      <c r="E1481" s="4" t="e">
        <f t="shared" si="24"/>
        <v>#REF!</v>
      </c>
      <c r="F1481" s="4" t="e" cm="1">
        <f t="array" ref="F1481">AVERAGE(B1481:B2988-$I$4/252)/_xlfn.STDEV.S(B1481:B2988-$I$4)</f>
        <v>#REF!</v>
      </c>
      <c r="G1481" s="4"/>
      <c r="H1481" s="4"/>
      <c r="I1481" s="4"/>
      <c r="J1481" s="4"/>
    </row>
    <row r="1482" spans="1:10" x14ac:dyDescent="0.2">
      <c r="A1482" t="e">
        <f>LEFT(#REF!,10)</f>
        <v>#REF!</v>
      </c>
      <c r="B1482" s="4" t="e">
        <f>(#REF!-#REF!)/#REF!</f>
        <v>#REF!</v>
      </c>
      <c r="C1482" s="4" t="e">
        <f>(#REF!-#REF!)/#REF!</f>
        <v>#REF!</v>
      </c>
      <c r="D1482" s="4" t="e">
        <f>LN(#REF!/#REF!)</f>
        <v>#REF!</v>
      </c>
      <c r="E1482" s="4" t="e">
        <f t="shared" si="24"/>
        <v>#REF!</v>
      </c>
      <c r="F1482" s="4" t="e" cm="1">
        <f t="array" ref="F1482">AVERAGE(B1482:B2989-$I$4/252)/_xlfn.STDEV.S(B1482:B2989-$I$4)</f>
        <v>#REF!</v>
      </c>
      <c r="G1482" s="4"/>
      <c r="H1482" s="4"/>
      <c r="I1482" s="4"/>
      <c r="J1482" s="4"/>
    </row>
    <row r="1483" spans="1:10" x14ac:dyDescent="0.2">
      <c r="A1483" t="e">
        <f>LEFT(#REF!,10)</f>
        <v>#REF!</v>
      </c>
      <c r="B1483" s="4" t="e">
        <f>(#REF!-#REF!)/#REF!</f>
        <v>#REF!</v>
      </c>
      <c r="C1483" s="4" t="e">
        <f>(#REF!-#REF!)/#REF!</f>
        <v>#REF!</v>
      </c>
      <c r="D1483" s="4" t="e">
        <f>LN(#REF!/#REF!)</f>
        <v>#REF!</v>
      </c>
      <c r="E1483" s="4" t="e">
        <f t="shared" si="24"/>
        <v>#REF!</v>
      </c>
      <c r="F1483" s="4" t="e" cm="1">
        <f t="array" ref="F1483">AVERAGE(B1483:B2990-$I$4/252)/_xlfn.STDEV.S(B1483:B2990-$I$4)</f>
        <v>#REF!</v>
      </c>
      <c r="G1483" s="4"/>
      <c r="H1483" s="4"/>
      <c r="I1483" s="4"/>
      <c r="J1483" s="4"/>
    </row>
    <row r="1484" spans="1:10" x14ac:dyDescent="0.2">
      <c r="A1484" t="e">
        <f>LEFT(#REF!,10)</f>
        <v>#REF!</v>
      </c>
      <c r="B1484" s="4" t="e">
        <f>(#REF!-#REF!)/#REF!</f>
        <v>#REF!</v>
      </c>
      <c r="C1484" s="4" t="e">
        <f>(#REF!-#REF!)/#REF!</f>
        <v>#REF!</v>
      </c>
      <c r="D1484" s="4" t="e">
        <f>LN(#REF!/#REF!)</f>
        <v>#REF!</v>
      </c>
      <c r="E1484" s="4" t="e">
        <f t="shared" si="24"/>
        <v>#REF!</v>
      </c>
      <c r="F1484" s="4" t="e" cm="1">
        <f t="array" ref="F1484">AVERAGE(B1484:B2991-$I$4/252)/_xlfn.STDEV.S(B1484:B2991-$I$4)</f>
        <v>#REF!</v>
      </c>
      <c r="G1484" s="4"/>
      <c r="H1484" s="4"/>
      <c r="I1484" s="4"/>
      <c r="J1484" s="4"/>
    </row>
    <row r="1485" spans="1:10" x14ac:dyDescent="0.2">
      <c r="A1485" t="e">
        <f>LEFT(#REF!,10)</f>
        <v>#REF!</v>
      </c>
      <c r="B1485" s="4" t="e">
        <f>(#REF!-#REF!)/#REF!</f>
        <v>#REF!</v>
      </c>
      <c r="C1485" s="4" t="e">
        <f>(#REF!-#REF!)/#REF!</f>
        <v>#REF!</v>
      </c>
      <c r="D1485" s="4" t="e">
        <f>LN(#REF!/#REF!)</f>
        <v>#REF!</v>
      </c>
      <c r="E1485" s="4" t="e">
        <f t="shared" si="24"/>
        <v>#REF!</v>
      </c>
      <c r="F1485" s="4" t="e" cm="1">
        <f t="array" ref="F1485">AVERAGE(B1485:B2992-$I$4/252)/_xlfn.STDEV.S(B1485:B2992-$I$4)</f>
        <v>#REF!</v>
      </c>
      <c r="G1485" s="4"/>
      <c r="H1485" s="4"/>
      <c r="I1485" s="4"/>
      <c r="J1485" s="4"/>
    </row>
    <row r="1486" spans="1:10" x14ac:dyDescent="0.2">
      <c r="A1486" t="e">
        <f>LEFT(#REF!,10)</f>
        <v>#REF!</v>
      </c>
      <c r="B1486" s="4" t="e">
        <f>(#REF!-#REF!)/#REF!</f>
        <v>#REF!</v>
      </c>
      <c r="C1486" s="4" t="e">
        <f>(#REF!-#REF!)/#REF!</f>
        <v>#REF!</v>
      </c>
      <c r="D1486" s="4" t="e">
        <f>LN(#REF!/#REF!)</f>
        <v>#REF!</v>
      </c>
      <c r="E1486" s="4" t="e">
        <f t="shared" si="24"/>
        <v>#REF!</v>
      </c>
      <c r="F1486" s="4" t="e" cm="1">
        <f t="array" ref="F1486">AVERAGE(B1486:B2993-$I$4/252)/_xlfn.STDEV.S(B1486:B2993-$I$4)</f>
        <v>#REF!</v>
      </c>
      <c r="G1486" s="4"/>
      <c r="H1486" s="4"/>
      <c r="I1486" s="4"/>
      <c r="J1486" s="4"/>
    </row>
    <row r="1487" spans="1:10" x14ac:dyDescent="0.2">
      <c r="A1487" t="e">
        <f>LEFT(#REF!,10)</f>
        <v>#REF!</v>
      </c>
      <c r="B1487" s="4" t="e">
        <f>(#REF!-#REF!)/#REF!</f>
        <v>#REF!</v>
      </c>
      <c r="C1487" s="4" t="e">
        <f>(#REF!-#REF!)/#REF!</f>
        <v>#REF!</v>
      </c>
      <c r="D1487" s="4" t="e">
        <f>LN(#REF!/#REF!)</f>
        <v>#REF!</v>
      </c>
      <c r="E1487" s="4" t="e">
        <f t="shared" si="24"/>
        <v>#REF!</v>
      </c>
      <c r="F1487" s="4" t="e" cm="1">
        <f t="array" ref="F1487">AVERAGE(B1487:B2994-$I$4/252)/_xlfn.STDEV.S(B1487:B2994-$I$4)</f>
        <v>#REF!</v>
      </c>
      <c r="G1487" s="4"/>
      <c r="H1487" s="4"/>
      <c r="I1487" s="4"/>
      <c r="J1487" s="4"/>
    </row>
    <row r="1488" spans="1:10" x14ac:dyDescent="0.2">
      <c r="A1488" t="e">
        <f>LEFT(#REF!,10)</f>
        <v>#REF!</v>
      </c>
      <c r="B1488" s="4" t="e">
        <f>(#REF!-#REF!)/#REF!</f>
        <v>#REF!</v>
      </c>
      <c r="C1488" s="4" t="e">
        <f>(#REF!-#REF!)/#REF!</f>
        <v>#REF!</v>
      </c>
      <c r="D1488" s="4" t="e">
        <f>LN(#REF!/#REF!)</f>
        <v>#REF!</v>
      </c>
      <c r="E1488" s="4" t="e">
        <f t="shared" si="24"/>
        <v>#REF!</v>
      </c>
      <c r="F1488" s="4" t="e" cm="1">
        <f t="array" ref="F1488">AVERAGE(B1488:B2995-$I$4/252)/_xlfn.STDEV.S(B1488:B2995-$I$4)</f>
        <v>#REF!</v>
      </c>
      <c r="G1488" s="4"/>
      <c r="H1488" s="4"/>
      <c r="I1488" s="4"/>
      <c r="J1488" s="4"/>
    </row>
    <row r="1489" spans="1:10" x14ac:dyDescent="0.2">
      <c r="A1489" t="e">
        <f>LEFT(#REF!,10)</f>
        <v>#REF!</v>
      </c>
      <c r="B1489" s="4" t="e">
        <f>(#REF!-#REF!)/#REF!</f>
        <v>#REF!</v>
      </c>
      <c r="C1489" s="4" t="e">
        <f>(#REF!-#REF!)/#REF!</f>
        <v>#REF!</v>
      </c>
      <c r="D1489" s="4" t="e">
        <f>LN(#REF!/#REF!)</f>
        <v>#REF!</v>
      </c>
      <c r="E1489" s="4" t="e">
        <f t="shared" si="24"/>
        <v>#REF!</v>
      </c>
      <c r="F1489" s="4" t="e" cm="1">
        <f t="array" ref="F1489">AVERAGE(B1489:B2996-$I$4/252)/_xlfn.STDEV.S(B1489:B2996-$I$4)</f>
        <v>#REF!</v>
      </c>
      <c r="G1489" s="4"/>
      <c r="H1489" s="4"/>
      <c r="I1489" s="4"/>
      <c r="J1489" s="4"/>
    </row>
    <row r="1490" spans="1:10" x14ac:dyDescent="0.2">
      <c r="A1490" t="e">
        <f>LEFT(#REF!,10)</f>
        <v>#REF!</v>
      </c>
      <c r="B1490" s="4" t="e">
        <f>(#REF!-#REF!)/#REF!</f>
        <v>#REF!</v>
      </c>
      <c r="C1490" s="4" t="e">
        <f>(#REF!-#REF!)/#REF!</f>
        <v>#REF!</v>
      </c>
      <c r="D1490" s="4" t="e">
        <f>LN(#REF!/#REF!)</f>
        <v>#REF!</v>
      </c>
      <c r="E1490" s="4" t="e">
        <f t="shared" si="24"/>
        <v>#REF!</v>
      </c>
      <c r="F1490" s="4" t="e" cm="1">
        <f t="array" ref="F1490">AVERAGE(B1490:B2997-$I$4/252)/_xlfn.STDEV.S(B1490:B2997-$I$4)</f>
        <v>#REF!</v>
      </c>
      <c r="G1490" s="4"/>
      <c r="H1490" s="4"/>
      <c r="I1490" s="4"/>
      <c r="J1490" s="4"/>
    </row>
    <row r="1491" spans="1:10" x14ac:dyDescent="0.2">
      <c r="A1491" t="e">
        <f>LEFT(#REF!,10)</f>
        <v>#REF!</v>
      </c>
      <c r="B1491" s="4" t="e">
        <f>(#REF!-#REF!)/#REF!</f>
        <v>#REF!</v>
      </c>
      <c r="C1491" s="4" t="e">
        <f>(#REF!-#REF!)/#REF!</f>
        <v>#REF!</v>
      </c>
      <c r="D1491" s="4" t="e">
        <f>LN(#REF!/#REF!)</f>
        <v>#REF!</v>
      </c>
      <c r="E1491" s="4" t="e">
        <f t="shared" si="24"/>
        <v>#REF!</v>
      </c>
      <c r="F1491" s="4" t="e" cm="1">
        <f t="array" ref="F1491">AVERAGE(B1491:B2998-$I$4/252)/_xlfn.STDEV.S(B1491:B2998-$I$4)</f>
        <v>#REF!</v>
      </c>
      <c r="G1491" s="4"/>
      <c r="H1491" s="4"/>
      <c r="I1491" s="4"/>
      <c r="J1491" s="4"/>
    </row>
    <row r="1492" spans="1:10" x14ac:dyDescent="0.2">
      <c r="A1492" t="e">
        <f>LEFT(#REF!,10)</f>
        <v>#REF!</v>
      </c>
      <c r="B1492" s="4" t="e">
        <f>(#REF!-#REF!)/#REF!</f>
        <v>#REF!</v>
      </c>
      <c r="C1492" s="4" t="e">
        <f>(#REF!-#REF!)/#REF!</f>
        <v>#REF!</v>
      </c>
      <c r="D1492" s="4" t="e">
        <f>LN(#REF!/#REF!)</f>
        <v>#REF!</v>
      </c>
      <c r="E1492" s="4" t="e">
        <f t="shared" si="24"/>
        <v>#REF!</v>
      </c>
      <c r="F1492" s="4" t="e" cm="1">
        <f t="array" ref="F1492">AVERAGE(B1492:B2999-$I$4/252)/_xlfn.STDEV.S(B1492:B2999-$I$4)</f>
        <v>#REF!</v>
      </c>
      <c r="G1492" s="4"/>
      <c r="H1492" s="4"/>
      <c r="I1492" s="4"/>
      <c r="J1492" s="4"/>
    </row>
    <row r="1493" spans="1:10" x14ac:dyDescent="0.2">
      <c r="A1493" t="e">
        <f>LEFT(#REF!,10)</f>
        <v>#REF!</v>
      </c>
      <c r="B1493" s="4" t="e">
        <f>(#REF!-#REF!)/#REF!</f>
        <v>#REF!</v>
      </c>
      <c r="C1493" s="4" t="e">
        <f>(#REF!-#REF!)/#REF!</f>
        <v>#REF!</v>
      </c>
      <c r="D1493" s="4" t="e">
        <f>LN(#REF!/#REF!)</f>
        <v>#REF!</v>
      </c>
      <c r="E1493" s="4"/>
      <c r="F1493" s="4" t="e" cm="1">
        <f t="array" ref="F1493">AVERAGE(B1493:B3000-$I$4/252)/_xlfn.STDEV.S(B1493:B3000-$I$4)</f>
        <v>#REF!</v>
      </c>
      <c r="G1493" s="4"/>
      <c r="H1493" s="4"/>
      <c r="I1493" s="4"/>
      <c r="J1493" s="4"/>
    </row>
    <row r="1494" spans="1:10" x14ac:dyDescent="0.2">
      <c r="A1494" t="e">
        <f>LEFT(#REF!,10)</f>
        <v>#REF!</v>
      </c>
      <c r="B1494" s="4" t="e">
        <f>(#REF!-#REF!)/#REF!</f>
        <v>#REF!</v>
      </c>
      <c r="C1494" s="4" t="e">
        <f>(#REF!-#REF!)/#REF!</f>
        <v>#REF!</v>
      </c>
      <c r="D1494" s="4" t="e">
        <f>LN(#REF!/#REF!)</f>
        <v>#REF!</v>
      </c>
      <c r="E1494" s="4"/>
      <c r="F1494" s="4" t="e" cm="1">
        <f t="array" ref="F1494">AVERAGE(B1494:B3001-$I$4/252)/_xlfn.STDEV.S(B1494:B3001-$I$4)</f>
        <v>#REF!</v>
      </c>
      <c r="G1494" s="4"/>
      <c r="H1494" s="4"/>
      <c r="I1494" s="4"/>
      <c r="J1494" s="4"/>
    </row>
    <row r="1495" spans="1:10" x14ac:dyDescent="0.2">
      <c r="A1495" t="e">
        <f>LEFT(#REF!,10)</f>
        <v>#REF!</v>
      </c>
      <c r="B1495" s="4" t="e">
        <f>(#REF!-#REF!)/#REF!</f>
        <v>#REF!</v>
      </c>
      <c r="C1495" s="4" t="e">
        <f>(#REF!-#REF!)/#REF!</f>
        <v>#REF!</v>
      </c>
      <c r="D1495" s="4" t="e">
        <f>LN(#REF!/#REF!)</f>
        <v>#REF!</v>
      </c>
      <c r="E1495" s="4"/>
      <c r="F1495" s="4" t="e" cm="1">
        <f t="array" ref="F1495">AVERAGE(B1495:B3002-$I$4/252)/_xlfn.STDEV.S(B1495:B3002-$I$4)</f>
        <v>#REF!</v>
      </c>
      <c r="G1495" s="4"/>
      <c r="H1495" s="4"/>
      <c r="I1495" s="4"/>
      <c r="J1495" s="4"/>
    </row>
    <row r="1496" spans="1:10" x14ac:dyDescent="0.2">
      <c r="A1496" t="e">
        <f>LEFT(#REF!,10)</f>
        <v>#REF!</v>
      </c>
      <c r="B1496" s="4" t="e">
        <f>(#REF!-#REF!)/#REF!</f>
        <v>#REF!</v>
      </c>
      <c r="C1496" s="4" t="e">
        <f>(#REF!-#REF!)/#REF!</f>
        <v>#REF!</v>
      </c>
      <c r="D1496" s="4" t="e">
        <f>LN(#REF!/#REF!)</f>
        <v>#REF!</v>
      </c>
      <c r="E1496" s="4"/>
      <c r="F1496" s="4" t="e" cm="1">
        <f t="array" ref="F1496">AVERAGE(B1496:B3003-$I$4/252)/_xlfn.STDEV.S(B1496:B3003-$I$4)</f>
        <v>#REF!</v>
      </c>
      <c r="G1496" s="4"/>
      <c r="H1496" s="4"/>
      <c r="I1496" s="4"/>
      <c r="J1496" s="4"/>
    </row>
    <row r="1497" spans="1:10" x14ac:dyDescent="0.2">
      <c r="A1497" t="e">
        <f>LEFT(#REF!,10)</f>
        <v>#REF!</v>
      </c>
      <c r="B1497" s="4" t="e">
        <f>(#REF!-#REF!)/#REF!</f>
        <v>#REF!</v>
      </c>
      <c r="C1497" s="4" t="e">
        <f>(#REF!-#REF!)/#REF!</f>
        <v>#REF!</v>
      </c>
      <c r="D1497" s="4" t="e">
        <f>LN(#REF!/#REF!)</f>
        <v>#REF!</v>
      </c>
      <c r="E1497" s="4"/>
      <c r="F1497" s="4" t="e" cm="1">
        <f t="array" ref="F1497">AVERAGE(B1497:B3004-$I$4/252)/_xlfn.STDEV.S(B1497:B3004-$I$4)</f>
        <v>#REF!</v>
      </c>
      <c r="G1497" s="4"/>
      <c r="H1497" s="4"/>
      <c r="I1497" s="4"/>
      <c r="J1497" s="4"/>
    </row>
    <row r="1498" spans="1:10" x14ac:dyDescent="0.2">
      <c r="A1498" t="e">
        <f>LEFT(#REF!,10)</f>
        <v>#REF!</v>
      </c>
      <c r="B1498" s="4" t="e">
        <f>(#REF!-#REF!)/#REF!</f>
        <v>#REF!</v>
      </c>
      <c r="C1498" s="4" t="e">
        <f>(#REF!-#REF!)/#REF!</f>
        <v>#REF!</v>
      </c>
      <c r="D1498" s="4" t="e">
        <f>LN(#REF!/#REF!)</f>
        <v>#REF!</v>
      </c>
      <c r="E1498" s="4"/>
      <c r="F1498" s="4" t="e" cm="1">
        <f t="array" ref="F1498">AVERAGE(B1498:B3005-$I$4/252)/_xlfn.STDEV.S(B1498:B3005-$I$4)</f>
        <v>#REF!</v>
      </c>
      <c r="G1498" s="4"/>
      <c r="H1498" s="4"/>
      <c r="I1498" s="4"/>
      <c r="J1498" s="4"/>
    </row>
    <row r="1499" spans="1:10" x14ac:dyDescent="0.2">
      <c r="A1499" t="e">
        <f>LEFT(#REF!,10)</f>
        <v>#REF!</v>
      </c>
      <c r="B1499" s="4" t="e">
        <f>(#REF!-#REF!)/#REF!</f>
        <v>#REF!</v>
      </c>
      <c r="C1499" s="4" t="e">
        <f>(#REF!-#REF!)/#REF!</f>
        <v>#REF!</v>
      </c>
      <c r="D1499" s="4" t="e">
        <f>LN(#REF!/#REF!)</f>
        <v>#REF!</v>
      </c>
      <c r="E1499" s="4"/>
      <c r="F1499" s="4" t="e" cm="1">
        <f t="array" ref="F1499">AVERAGE(B1499:B3006-$I$4/252)/_xlfn.STDEV.S(B1499:B3006-$I$4)</f>
        <v>#REF!</v>
      </c>
      <c r="G1499" s="4"/>
      <c r="H1499" s="4"/>
      <c r="I1499" s="4"/>
      <c r="J1499" s="4"/>
    </row>
    <row r="1500" spans="1:10" x14ac:dyDescent="0.2">
      <c r="A1500" t="e">
        <f>LEFT(#REF!,10)</f>
        <v>#REF!</v>
      </c>
      <c r="B1500" s="4" t="e">
        <f>(#REF!-#REF!)/#REF!</f>
        <v>#REF!</v>
      </c>
      <c r="C1500" s="4" t="e">
        <f>(#REF!-#REF!)/#REF!</f>
        <v>#REF!</v>
      </c>
      <c r="D1500" s="4" t="e">
        <f>LN(#REF!/#REF!)</f>
        <v>#REF!</v>
      </c>
      <c r="E1500" s="4"/>
      <c r="F1500" s="4" t="e" cm="1">
        <f t="array" ref="F1500">AVERAGE(B1500:B3007-$I$4/252)/_xlfn.STDEV.S(B1500:B3007-$I$4)</f>
        <v>#REF!</v>
      </c>
      <c r="G1500" s="4"/>
      <c r="H1500" s="4"/>
      <c r="I1500" s="4"/>
      <c r="J1500" s="4"/>
    </row>
    <row r="1501" spans="1:10" x14ac:dyDescent="0.2">
      <c r="A1501" t="e">
        <f>LEFT(#REF!,10)</f>
        <v>#REF!</v>
      </c>
      <c r="B1501" s="4" t="e">
        <f>(#REF!-#REF!)/#REF!</f>
        <v>#REF!</v>
      </c>
      <c r="C1501" s="4" t="e">
        <f>(#REF!-#REF!)/#REF!</f>
        <v>#REF!</v>
      </c>
      <c r="D1501" s="4" t="e">
        <f>LN(#REF!/#REF!)</f>
        <v>#REF!</v>
      </c>
      <c r="E1501" s="4"/>
      <c r="F1501" s="4" t="e" cm="1">
        <f t="array" ref="F1501">AVERAGE(B1501:B3008-$I$4/252)/_xlfn.STDEV.S(B1501:B3008-$I$4)</f>
        <v>#REF!</v>
      </c>
      <c r="G1501" s="4"/>
      <c r="H1501" s="4"/>
      <c r="I1501" s="4"/>
      <c r="J1501" s="4"/>
    </row>
    <row r="1502" spans="1:10" x14ac:dyDescent="0.2">
      <c r="A1502" t="e">
        <f>LEFT(#REF!,10)</f>
        <v>#REF!</v>
      </c>
      <c r="B1502" s="4" t="e">
        <f>(#REF!-#REF!)/#REF!</f>
        <v>#REF!</v>
      </c>
      <c r="C1502" s="4" t="e">
        <f>(#REF!-#REF!)/#REF!</f>
        <v>#REF!</v>
      </c>
      <c r="D1502" s="4" t="e">
        <f>LN(#REF!/#REF!)</f>
        <v>#REF!</v>
      </c>
      <c r="E1502" s="4"/>
      <c r="F1502" s="4" t="e" cm="1">
        <f t="array" ref="F1502">AVERAGE(B1502:B3009-$I$4/252)/_xlfn.STDEV.S(B1502:B3009-$I$4)</f>
        <v>#REF!</v>
      </c>
      <c r="G1502" s="4"/>
      <c r="H1502" s="4"/>
      <c r="I1502" s="4"/>
      <c r="J1502" s="4"/>
    </row>
    <row r="1503" spans="1:10" x14ac:dyDescent="0.2">
      <c r="A1503" t="e">
        <f>LEFT(#REF!,10)</f>
        <v>#REF!</v>
      </c>
      <c r="B1503" s="4" t="e">
        <f>(#REF!-#REF!)/#REF!</f>
        <v>#REF!</v>
      </c>
      <c r="C1503" s="4" t="e">
        <f>(#REF!-#REF!)/#REF!</f>
        <v>#REF!</v>
      </c>
      <c r="D1503" s="4" t="e">
        <f>LN(#REF!/#REF!)</f>
        <v>#REF!</v>
      </c>
      <c r="E1503" s="4"/>
      <c r="F1503" s="4" t="e" cm="1">
        <f t="array" ref="F1503">AVERAGE(B1503:B3010-$I$4/252)/_xlfn.STDEV.S(B1503:B3010-$I$4)</f>
        <v>#REF!</v>
      </c>
      <c r="G1503" s="4"/>
      <c r="H1503" s="4"/>
      <c r="I1503" s="4"/>
      <c r="J1503" s="4"/>
    </row>
    <row r="1504" spans="1:10" x14ac:dyDescent="0.2">
      <c r="A1504" t="e">
        <f>LEFT(#REF!,10)</f>
        <v>#REF!</v>
      </c>
      <c r="B1504" s="4" t="e">
        <f>(#REF!-#REF!)/#REF!</f>
        <v>#REF!</v>
      </c>
      <c r="C1504" s="4" t="e">
        <f>(#REF!-#REF!)/#REF!</f>
        <v>#REF!</v>
      </c>
      <c r="D1504" s="4" t="e">
        <f>LN(#REF!/#REF!)</f>
        <v>#REF!</v>
      </c>
      <c r="E1504" s="4"/>
      <c r="F1504" s="4" t="e" cm="1">
        <f t="array" ref="F1504">AVERAGE(B1504:B3011-$I$4/252)/_xlfn.STDEV.S(B1504:B3011-$I$4)</f>
        <v>#REF!</v>
      </c>
      <c r="G1504" s="4"/>
      <c r="H1504" s="4"/>
      <c r="I1504" s="4"/>
      <c r="J1504" s="4"/>
    </row>
    <row r="1505" spans="1:10" x14ac:dyDescent="0.2">
      <c r="A1505" t="e">
        <f>LEFT(#REF!,10)</f>
        <v>#REF!</v>
      </c>
      <c r="B1505" s="4" t="e">
        <f>(#REF!-#REF!)/#REF!</f>
        <v>#REF!</v>
      </c>
      <c r="C1505" s="4" t="e">
        <f>(#REF!-#REF!)/#REF!</f>
        <v>#REF!</v>
      </c>
      <c r="D1505" s="4" t="e">
        <f>LN(#REF!/#REF!)</f>
        <v>#REF!</v>
      </c>
      <c r="E1505" s="4"/>
      <c r="F1505" s="4" t="e" cm="1">
        <f t="array" ref="F1505">AVERAGE(B1505:B3012-$I$4/252)/_xlfn.STDEV.S(B1505:B3012-$I$4)</f>
        <v>#REF!</v>
      </c>
      <c r="G1505" s="4"/>
      <c r="H1505" s="4"/>
      <c r="I1505" s="4"/>
      <c r="J1505" s="4"/>
    </row>
    <row r="1506" spans="1:10" x14ac:dyDescent="0.2">
      <c r="A1506" t="e">
        <f>LEFT(#REF!,10)</f>
        <v>#REF!</v>
      </c>
      <c r="B1506" s="4" t="e">
        <f>(#REF!-#REF!)/#REF!</f>
        <v>#REF!</v>
      </c>
      <c r="C1506" s="4" t="e">
        <f>(#REF!-#REF!)/#REF!</f>
        <v>#REF!</v>
      </c>
      <c r="D1506" s="4" t="e">
        <f>LN(#REF!/#REF!)</f>
        <v>#REF!</v>
      </c>
      <c r="E1506" s="4"/>
      <c r="F1506" s="4" t="e" cm="1">
        <f t="array" ref="F1506">AVERAGE(B1506:B3013-$I$4/252)/_xlfn.STDEV.S(B1506:B3013-$I$4)</f>
        <v>#REF!</v>
      </c>
      <c r="G1506" s="4"/>
      <c r="H1506" s="4"/>
      <c r="I1506" s="4"/>
      <c r="J1506" s="4"/>
    </row>
    <row r="1507" spans="1:10" x14ac:dyDescent="0.2">
      <c r="A1507" t="e">
        <f>LEFT(#REF!,10)</f>
        <v>#REF!</v>
      </c>
      <c r="B1507" s="4" t="e">
        <f>(#REF!-#REF!)/#REF!</f>
        <v>#REF!</v>
      </c>
      <c r="C1507" s="4" t="e">
        <f>(#REF!-#REF!)/#REF!</f>
        <v>#REF!</v>
      </c>
      <c r="D1507" s="4" t="e">
        <f>LN(#REF!/#REF!)</f>
        <v>#REF!</v>
      </c>
      <c r="E1507" s="4"/>
      <c r="F1507" s="4" t="e" cm="1">
        <f t="array" ref="F1507">AVERAGE(B1507:B3014-$I$4/252)/_xlfn.STDEV.S(B1507:B3014-$I$4)</f>
        <v>#REF!</v>
      </c>
      <c r="G1507" s="4"/>
      <c r="H1507" s="4"/>
      <c r="I1507" s="4"/>
      <c r="J1507" s="4"/>
    </row>
    <row r="1508" spans="1:10" x14ac:dyDescent="0.2">
      <c r="A1508" t="e">
        <f>LEFT(#REF!,10)</f>
        <v>#REF!</v>
      </c>
      <c r="B1508" s="4" t="e">
        <f>(#REF!-#REF!)/#REF!</f>
        <v>#REF!</v>
      </c>
      <c r="C1508" s="4" t="e">
        <f>(#REF!-#REF!)/#REF!</f>
        <v>#REF!</v>
      </c>
      <c r="D1508" s="4" t="e">
        <f>LN(#REF!/#REF!)</f>
        <v>#REF!</v>
      </c>
      <c r="E1508" s="4"/>
      <c r="F1508" s="4" t="e" cm="1">
        <f t="array" ref="F1508">AVERAGE(B1508:B3015-$I$4/252)/_xlfn.STDEV.S(B1508:B3015-$I$4)</f>
        <v>#REF!</v>
      </c>
      <c r="G1508" s="4"/>
      <c r="H1508" s="4"/>
      <c r="I1508" s="4"/>
      <c r="J1508" s="4"/>
    </row>
    <row r="1509" spans="1:10" x14ac:dyDescent="0.2">
      <c r="A1509" t="e">
        <f>LEFT(#REF!,10)</f>
        <v>#REF!</v>
      </c>
      <c r="B1509" s="4" t="e">
        <f>(#REF!-#REF!)/#REF!</f>
        <v>#REF!</v>
      </c>
      <c r="C1509" s="4" t="e">
        <f>(#REF!-#REF!)/#REF!</f>
        <v>#REF!</v>
      </c>
      <c r="D1509" s="4" t="e">
        <f>LN(#REF!/#REF!)</f>
        <v>#REF!</v>
      </c>
      <c r="E1509" s="4"/>
      <c r="F1509" s="4" t="e" cm="1">
        <f t="array" ref="F1509">AVERAGE(B1509:B3016-$I$4/252)/_xlfn.STDEV.S(B1509:B3016-$I$4)</f>
        <v>#REF!</v>
      </c>
      <c r="G1509" s="4"/>
      <c r="H1509" s="4"/>
      <c r="I1509" s="4"/>
      <c r="J1509" s="4"/>
    </row>
    <row r="1510" spans="1:10" x14ac:dyDescent="0.2">
      <c r="A1510" t="e">
        <f>LEFT(#REF!,10)</f>
        <v>#REF!</v>
      </c>
      <c r="B1510" s="4" t="e">
        <f>(#REF!-#REF!)/#REF!</f>
        <v>#REF!</v>
      </c>
      <c r="C1510" s="4" t="e">
        <f>(#REF!-#REF!)/#REF!</f>
        <v>#REF!</v>
      </c>
      <c r="D1510" s="4" t="e">
        <f>LN(#REF!/#REF!)</f>
        <v>#REF!</v>
      </c>
      <c r="E1510" s="4"/>
      <c r="F1510" s="4" t="e" cm="1">
        <f t="array" ref="F1510">AVERAGE(B1510:B3017-$I$4/252)/_xlfn.STDEV.S(B1510:B3017-$I$4)</f>
        <v>#REF!</v>
      </c>
      <c r="G1510" s="4"/>
      <c r="H1510" s="4"/>
      <c r="I1510" s="4"/>
      <c r="J1510" s="4"/>
    </row>
    <row r="1511" spans="1:10" x14ac:dyDescent="0.2">
      <c r="A1511" t="e">
        <f>LEFT(#REF!,10)</f>
        <v>#REF!</v>
      </c>
      <c r="B1511" s="4" t="e">
        <f>(#REF!-#REF!)/#REF!</f>
        <v>#REF!</v>
      </c>
      <c r="C1511" s="4" t="e">
        <f>(#REF!-#REF!)/#REF!</f>
        <v>#REF!</v>
      </c>
      <c r="D1511" s="4" t="e">
        <f>LN(#REF!/#REF!)</f>
        <v>#REF!</v>
      </c>
      <c r="E1511" s="4"/>
      <c r="F1511" s="4" t="e" cm="1">
        <f t="array" ref="F1511">AVERAGE(B1511:B3018-$I$4/252)/_xlfn.STDEV.S(B1511:B3018-$I$4)</f>
        <v>#REF!</v>
      </c>
      <c r="G1511" s="4"/>
      <c r="H1511" s="4"/>
      <c r="I1511" s="4"/>
      <c r="J1511" s="4"/>
    </row>
  </sheetData>
  <mergeCells count="1">
    <mergeCell ref="M13:N13"/>
  </mergeCells>
  <conditionalFormatting sqref="A2:A1511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8740157499999996" bottom="0.78740157499999996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EC52-22AA-418F-AB16-6CE875EC7E2A}">
  <dimension ref="A1:J22"/>
  <sheetViews>
    <sheetView workbookViewId="0">
      <selection activeCell="G2" sqref="G2"/>
    </sheetView>
  </sheetViews>
  <sheetFormatPr baseColWidth="10" defaultRowHeight="16" x14ac:dyDescent="0.2"/>
  <cols>
    <col min="2" max="4" width="13.1640625" customWidth="1"/>
    <col min="5" max="6" width="11.83203125" bestFit="1" customWidth="1"/>
    <col min="7" max="7" width="11.83203125" customWidth="1"/>
    <col min="8" max="8" width="11.83203125" bestFit="1" customWidth="1"/>
    <col min="9" max="9" width="12.5" bestFit="1" customWidth="1"/>
  </cols>
  <sheetData>
    <row r="1" spans="1:10" ht="34" x14ac:dyDescent="0.2">
      <c r="B1" s="12" t="s">
        <v>17</v>
      </c>
      <c r="C1" s="12" t="s">
        <v>18</v>
      </c>
      <c r="D1" s="12" t="s">
        <v>16</v>
      </c>
      <c r="E1" s="8" t="s">
        <v>7</v>
      </c>
      <c r="F1" s="8" t="s">
        <v>12</v>
      </c>
      <c r="G1" s="8" t="s">
        <v>6</v>
      </c>
      <c r="H1" s="8" t="s">
        <v>5</v>
      </c>
      <c r="I1" s="8" t="s">
        <v>15</v>
      </c>
      <c r="J1" s="8"/>
    </row>
    <row r="2" spans="1:10" x14ac:dyDescent="0.2">
      <c r="A2">
        <v>2019</v>
      </c>
      <c r="B2" t="e">
        <f>(#REF!-#REF!)/#REF!</f>
        <v>#REF!</v>
      </c>
      <c r="C2" t="e">
        <f>(#REF!-#REF!)/#REF!</f>
        <v>#REF!</v>
      </c>
      <c r="D2" s="4">
        <v>2.06E-2</v>
      </c>
      <c r="E2" s="4" t="e">
        <f>_xlfn.COVARIANCE.S(#REF!,#REF!)/_xlfn.VAR.S(#REF!)</f>
        <v>#REF!</v>
      </c>
      <c r="F2" t="e">
        <f t="shared" ref="F2:F7" si="0">B2-(D2+E2*(C2-D2))</f>
        <v>#REF!</v>
      </c>
      <c r="G2" t="e">
        <f>(AVERAGE(#REF!)-('Metrics_Yearly (2)'!D2/252))/_xlfn.STDEV.S(#REF!)*SQRT(252)</f>
        <v>#REF!</v>
      </c>
      <c r="H2" t="e">
        <f t="shared" ref="H2:H7" si="1">(B2-D2)/E2</f>
        <v>#REF!</v>
      </c>
      <c r="I2" t="e">
        <f>_xlfn.STDEV.S(#REF!)*SQRT(252)</f>
        <v>#REF!</v>
      </c>
    </row>
    <row r="3" spans="1:10" x14ac:dyDescent="0.2">
      <c r="A3">
        <v>2020</v>
      </c>
      <c r="B3" t="e">
        <f>(#REF!-#REF!)/#REF!</f>
        <v>#REF!</v>
      </c>
      <c r="C3" t="e">
        <f>(#REF!-#REF!)/#REF!</f>
        <v>#REF!</v>
      </c>
      <c r="D3" s="4">
        <v>3.5000000000000001E-3</v>
      </c>
      <c r="E3" s="4" t="e">
        <f>_xlfn.COVARIANCE.S(#REF!,#REF!)/_xlfn.VAR.S(#REF!)</f>
        <v>#REF!</v>
      </c>
      <c r="F3" t="e">
        <f t="shared" si="0"/>
        <v>#REF!</v>
      </c>
      <c r="G3" t="e">
        <f>(AVERAGE(#REF!)-('Metrics_Yearly (2)'!D3/252))/_xlfn.STDEV.S(#REF!)*SQRT(252)</f>
        <v>#REF!</v>
      </c>
      <c r="H3" t="e">
        <f t="shared" si="1"/>
        <v>#REF!</v>
      </c>
      <c r="I3" t="e">
        <f>_xlfn.STDEV.S(#REF!)*SQRT(252)</f>
        <v>#REF!</v>
      </c>
    </row>
    <row r="4" spans="1:10" x14ac:dyDescent="0.2">
      <c r="A4">
        <v>2021</v>
      </c>
      <c r="B4" t="e">
        <f>(#REF!-#REF!)/#REF!</f>
        <v>#REF!</v>
      </c>
      <c r="C4" t="e">
        <f>(#REF!-#REF!)/#REF!</f>
        <v>#REF!</v>
      </c>
      <c r="D4" s="4">
        <v>4.0000000000000002E-4</v>
      </c>
      <c r="E4" s="4" t="e">
        <f>_xlfn.COVARIANCE.S(#REF!,#REF!)/_xlfn.VAR.S(#REF!)</f>
        <v>#REF!</v>
      </c>
      <c r="F4" t="e">
        <f t="shared" si="0"/>
        <v>#REF!</v>
      </c>
      <c r="G4" t="e">
        <f>(AVERAGE(#REF!)-('Metrics_Yearly (2)'!D4/252))/_xlfn.STDEV.S(#REF!)*SQRT(252)</f>
        <v>#REF!</v>
      </c>
      <c r="H4" t="e">
        <f t="shared" si="1"/>
        <v>#REF!</v>
      </c>
      <c r="I4" t="e">
        <f>_xlfn.STDEV.S(#REF!)*SQRT(252)</f>
        <v>#REF!</v>
      </c>
    </row>
    <row r="5" spans="1:10" x14ac:dyDescent="0.2">
      <c r="A5">
        <v>2022</v>
      </c>
      <c r="B5" t="e">
        <f>(#REF!-#REF!)/#REF!</f>
        <v>#REF!</v>
      </c>
      <c r="C5" t="e">
        <f>(#REF!-#REF!)/#REF!</f>
        <v>#REF!</v>
      </c>
      <c r="D5" s="4">
        <v>2.0199999999999999E-2</v>
      </c>
      <c r="E5" s="4" t="e">
        <f>_xlfn.COVARIANCE.S(#REF!,#REF!)/_xlfn.VAR.S(#REF!)</f>
        <v>#REF!</v>
      </c>
      <c r="F5" t="e">
        <f t="shared" si="0"/>
        <v>#REF!</v>
      </c>
      <c r="G5" t="e">
        <f>(AVERAGE(#REF!)-('Metrics_Yearly (2)'!D5/252))/_xlfn.STDEV.S(#REF!)*SQRT(252)</f>
        <v>#REF!</v>
      </c>
      <c r="H5" t="e">
        <f t="shared" si="1"/>
        <v>#REF!</v>
      </c>
      <c r="I5" t="e">
        <f>_xlfn.STDEV.S(#REF!)*SQRT(252)</f>
        <v>#REF!</v>
      </c>
    </row>
    <row r="6" spans="1:10" x14ac:dyDescent="0.2">
      <c r="A6">
        <v>2023</v>
      </c>
      <c r="B6" t="e">
        <f>(#REF!-#REF!)/#REF!</f>
        <v>#REF!</v>
      </c>
      <c r="C6" t="e">
        <f>(#REF!-#REF!)/#REF!</f>
        <v>#REF!</v>
      </c>
      <c r="D6" s="4">
        <v>5.0700000000000002E-2</v>
      </c>
      <c r="E6" s="4" t="e">
        <f>_xlfn.COVARIANCE.S(#REF!,#REF!)/_xlfn.VAR.S(#REF!)</f>
        <v>#REF!</v>
      </c>
      <c r="F6" t="e">
        <f t="shared" si="0"/>
        <v>#REF!</v>
      </c>
      <c r="G6" t="e">
        <f>(AVERAGE(#REF!)-('Metrics_Yearly (2)'!D6/252))/_xlfn.STDEV.S(#REF!)*SQRT(252)</f>
        <v>#REF!</v>
      </c>
      <c r="H6" t="e">
        <f t="shared" si="1"/>
        <v>#REF!</v>
      </c>
      <c r="I6" t="e">
        <f>_xlfn.STDEV.S(#REF!)*SQRT(252)</f>
        <v>#REF!</v>
      </c>
    </row>
    <row r="7" spans="1:10" x14ac:dyDescent="0.2">
      <c r="A7">
        <v>2024</v>
      </c>
      <c r="B7" t="e">
        <f>(#REF!-#REF!)/#REF!</f>
        <v>#REF!</v>
      </c>
      <c r="C7" t="e">
        <f>(#REF!-#REF!)/#REF!</f>
        <v>#REF!</v>
      </c>
      <c r="D7" s="4">
        <v>5.2499999999999998E-2</v>
      </c>
      <c r="E7" s="4" t="e">
        <f>_xlfn.COVARIANCE.S(#REF!,#REF!)/_xlfn.VAR.S(#REF!)</f>
        <v>#REF!</v>
      </c>
      <c r="F7" t="e">
        <f t="shared" si="0"/>
        <v>#REF!</v>
      </c>
      <c r="G7" t="e">
        <f>(AVERAGE(#REF!)-('Metrics_Yearly (2)'!D7/252))/_xlfn.STDEV.S(#REF!)*SQRT(252)</f>
        <v>#REF!</v>
      </c>
      <c r="H7" t="e">
        <f t="shared" si="1"/>
        <v>#REF!</v>
      </c>
      <c r="I7" t="e">
        <f>_xlfn.STDEV.S(#REF!)*SQRT(252)</f>
        <v>#REF!</v>
      </c>
    </row>
    <row r="9" spans="1:10" x14ac:dyDescent="0.2">
      <c r="A9" t="s">
        <v>20</v>
      </c>
    </row>
    <row r="10" spans="1:10" x14ac:dyDescent="0.2">
      <c r="B10" t="e">
        <f>#REF!</f>
        <v>#REF!</v>
      </c>
      <c r="C10" t="e">
        <f>#REF!</f>
        <v>#REF!</v>
      </c>
      <c r="E10" t="e">
        <f>#REF!</f>
        <v>#REF!</v>
      </c>
      <c r="F10" t="e">
        <f>#REF!</f>
        <v>#REF!</v>
      </c>
      <c r="H10" t="e">
        <f>#REF!</f>
        <v>#REF!</v>
      </c>
      <c r="I10" t="e">
        <f>#REF!</f>
        <v>#REF!</v>
      </c>
    </row>
    <row r="11" spans="1:10" x14ac:dyDescent="0.2">
      <c r="B11" t="e">
        <f>#REF!</f>
        <v>#REF!</v>
      </c>
      <c r="C11" t="e">
        <f>#REF!</f>
        <v>#REF!</v>
      </c>
      <c r="E11" t="e">
        <f>#REF!</f>
        <v>#REF!</v>
      </c>
      <c r="F11" t="e">
        <f>#REF!</f>
        <v>#REF!</v>
      </c>
      <c r="H11" t="e">
        <f>#REF!</f>
        <v>#REF!</v>
      </c>
      <c r="I11" t="e">
        <f>#REF!</f>
        <v>#REF!</v>
      </c>
    </row>
    <row r="12" spans="1:10" x14ac:dyDescent="0.2">
      <c r="B12" t="e">
        <f>#REF!</f>
        <v>#REF!</v>
      </c>
      <c r="C12" t="e">
        <f>#REF!</f>
        <v>#REF!</v>
      </c>
      <c r="E12" t="e">
        <f>#REF!</f>
        <v>#REF!</v>
      </c>
      <c r="F12" t="e">
        <f>#REF!</f>
        <v>#REF!</v>
      </c>
      <c r="H12" t="e">
        <f>#REF!</f>
        <v>#REF!</v>
      </c>
      <c r="I12" t="e">
        <f>#REF!</f>
        <v>#REF!</v>
      </c>
    </row>
    <row r="13" spans="1:10" x14ac:dyDescent="0.2">
      <c r="B13" t="e">
        <f>#REF!</f>
        <v>#REF!</v>
      </c>
      <c r="C13" t="e">
        <f>#REF!</f>
        <v>#REF!</v>
      </c>
      <c r="E13" t="e">
        <f>#REF!</f>
        <v>#REF!</v>
      </c>
      <c r="F13" t="e">
        <f>#REF!</f>
        <v>#REF!</v>
      </c>
      <c r="H13" t="e">
        <f>#REF!</f>
        <v>#REF!</v>
      </c>
      <c r="I13" t="e">
        <f>#REF!</f>
        <v>#REF!</v>
      </c>
    </row>
    <row r="14" spans="1:10" x14ac:dyDescent="0.2">
      <c r="B14" t="e">
        <f>#REF!</f>
        <v>#REF!</v>
      </c>
      <c r="C14" t="e">
        <f>#REF!</f>
        <v>#REF!</v>
      </c>
      <c r="E14" t="e">
        <f>#REF!</f>
        <v>#REF!</v>
      </c>
      <c r="F14" t="e">
        <f>#REF!</f>
        <v>#REF!</v>
      </c>
      <c r="H14" t="e">
        <f>#REF!</f>
        <v>#REF!</v>
      </c>
      <c r="I14" t="e">
        <f>#REF!</f>
        <v>#REF!</v>
      </c>
    </row>
    <row r="15" spans="1:10" x14ac:dyDescent="0.2">
      <c r="B15" t="e">
        <f>#REF!</f>
        <v>#REF!</v>
      </c>
      <c r="C15" t="e">
        <f>#REF!</f>
        <v>#REF!</v>
      </c>
      <c r="E15" t="e">
        <f>#REF!</f>
        <v>#REF!</v>
      </c>
      <c r="F15" t="e">
        <f>#REF!</f>
        <v>#REF!</v>
      </c>
      <c r="H15" t="e">
        <f>#REF!</f>
        <v>#REF!</v>
      </c>
      <c r="I15" t="e">
        <f>#REF!</f>
        <v>#REF!</v>
      </c>
    </row>
    <row r="17" spans="2:9" x14ac:dyDescent="0.2">
      <c r="B17" t="e">
        <f>B10=B2</f>
        <v>#REF!</v>
      </c>
      <c r="C17" t="e">
        <f>C10=C2</f>
        <v>#REF!</v>
      </c>
      <c r="E17" t="e">
        <f>E10=E2</f>
        <v>#REF!</v>
      </c>
      <c r="F17" t="e">
        <f t="shared" ref="F17:I17" si="2">F10=F2</f>
        <v>#REF!</v>
      </c>
      <c r="H17" t="e">
        <f t="shared" si="2"/>
        <v>#REF!</v>
      </c>
      <c r="I17" t="e">
        <f t="shared" si="2"/>
        <v>#REF!</v>
      </c>
    </row>
    <row r="18" spans="2:9" x14ac:dyDescent="0.2">
      <c r="B18" t="e">
        <f t="shared" ref="B18:C22" si="3">B11=B3</f>
        <v>#REF!</v>
      </c>
      <c r="C18" t="e">
        <f t="shared" si="3"/>
        <v>#REF!</v>
      </c>
      <c r="E18" t="e">
        <f t="shared" ref="E18:I22" si="4">E11=E3</f>
        <v>#REF!</v>
      </c>
      <c r="F18" t="e">
        <f t="shared" si="4"/>
        <v>#REF!</v>
      </c>
      <c r="H18" t="e">
        <f t="shared" si="4"/>
        <v>#REF!</v>
      </c>
      <c r="I18" t="e">
        <f t="shared" si="4"/>
        <v>#REF!</v>
      </c>
    </row>
    <row r="19" spans="2:9" x14ac:dyDescent="0.2">
      <c r="B19" t="e">
        <f t="shared" si="3"/>
        <v>#REF!</v>
      </c>
      <c r="C19" t="e">
        <f t="shared" si="3"/>
        <v>#REF!</v>
      </c>
      <c r="E19" t="e">
        <f t="shared" si="4"/>
        <v>#REF!</v>
      </c>
      <c r="F19" t="e">
        <f t="shared" si="4"/>
        <v>#REF!</v>
      </c>
      <c r="H19" t="e">
        <f t="shared" si="4"/>
        <v>#REF!</v>
      </c>
      <c r="I19" t="e">
        <f t="shared" si="4"/>
        <v>#REF!</v>
      </c>
    </row>
    <row r="20" spans="2:9" x14ac:dyDescent="0.2">
      <c r="B20" t="e">
        <f t="shared" si="3"/>
        <v>#REF!</v>
      </c>
      <c r="C20" t="e">
        <f t="shared" si="3"/>
        <v>#REF!</v>
      </c>
      <c r="E20" t="e">
        <f t="shared" si="4"/>
        <v>#REF!</v>
      </c>
      <c r="F20" t="e">
        <f t="shared" si="4"/>
        <v>#REF!</v>
      </c>
      <c r="H20" t="e">
        <f t="shared" si="4"/>
        <v>#REF!</v>
      </c>
      <c r="I20" t="e">
        <f t="shared" si="4"/>
        <v>#REF!</v>
      </c>
    </row>
    <row r="21" spans="2:9" x14ac:dyDescent="0.2">
      <c r="B21" t="e">
        <f t="shared" si="3"/>
        <v>#REF!</v>
      </c>
      <c r="C21" t="e">
        <f t="shared" si="3"/>
        <v>#REF!</v>
      </c>
      <c r="E21" t="e">
        <f t="shared" si="4"/>
        <v>#REF!</v>
      </c>
      <c r="F21" t="e">
        <f t="shared" si="4"/>
        <v>#REF!</v>
      </c>
      <c r="H21" t="e">
        <f t="shared" si="4"/>
        <v>#REF!</v>
      </c>
      <c r="I21" t="e">
        <f t="shared" si="4"/>
        <v>#REF!</v>
      </c>
    </row>
    <row r="22" spans="2:9" x14ac:dyDescent="0.2">
      <c r="B22" t="e">
        <f t="shared" si="3"/>
        <v>#REF!</v>
      </c>
      <c r="C22" t="e">
        <f t="shared" si="3"/>
        <v>#REF!</v>
      </c>
      <c r="E22" t="e">
        <f t="shared" si="4"/>
        <v>#REF!</v>
      </c>
      <c r="F22" t="e">
        <f t="shared" si="4"/>
        <v>#REF!</v>
      </c>
      <c r="H22" t="e">
        <f t="shared" si="4"/>
        <v>#REF!</v>
      </c>
      <c r="I22" t="e">
        <f t="shared" si="4"/>
        <v>#REF!</v>
      </c>
    </row>
  </sheetData>
  <pageMargins left="0.7" right="0.7" top="0.78740157499999996" bottom="0.78740157499999996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Rolling Alpha</vt:lpstr>
      <vt:lpstr>Up-Down Scatter Plot</vt:lpstr>
      <vt:lpstr>Risk-free rate</vt:lpstr>
      <vt:lpstr>MGGIX US_monthly</vt:lpstr>
      <vt:lpstr>MSCI ACWI Index_monthly</vt:lpstr>
      <vt:lpstr>Metrics_Monthly (2)</vt:lpstr>
      <vt:lpstr>Metrics (2)</vt:lpstr>
      <vt:lpstr>Metrics_Yearly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Dyu</dc:creator>
  <cp:lastModifiedBy>Dmitriy Dyu</cp:lastModifiedBy>
  <dcterms:created xsi:type="dcterms:W3CDTF">2025-11-08T16:10:43Z</dcterms:created>
  <dcterms:modified xsi:type="dcterms:W3CDTF">2026-01-04T16:21:24Z</dcterms:modified>
</cp:coreProperties>
</file>