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mitriy/devops/misc/thesis/4.3/"/>
    </mc:Choice>
  </mc:AlternateContent>
  <xr:revisionPtr revIDLastSave="0" documentId="13_ncr:1_{01CEC8D2-6FBF-864C-A764-B743DB725144}" xr6:coauthVersionLast="47" xr6:coauthVersionMax="47" xr10:uidLastSave="{00000000-0000-0000-0000-000000000000}"/>
  <bookViews>
    <workbookView xWindow="0" yWindow="760" windowWidth="34560" windowHeight="20180" activeTab="3" xr2:uid="{43B4DDF8-4ACA-4111-9A34-36B2EDF10E30}"/>
  </bookViews>
  <sheets>
    <sheet name="NAV ALCHWTU LX v China all shar" sheetId="1" r:id="rId1"/>
    <sheet name="NAV GSCEQBA vs MSCI World Index" sheetId="2" r:id="rId2"/>
    <sheet name="NAV MGGIX US vs ACWI" sheetId="3" r:id="rId3"/>
    <sheet name="NAV EMF US vs MSCI EM" sheetId="4" r:id="rId4"/>
    <sheet name="Risk-free rate" sheetId="6" r:id="rId5"/>
    <sheet name="Tabelle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3" i="4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3" i="3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3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G3" i="1"/>
  <c r="F3" i="1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2" i="4"/>
  <c r="D4" i="4"/>
  <c r="E4" i="4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1" i="4"/>
  <c r="E51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6" i="4"/>
  <c r="E66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1" i="4"/>
  <c r="E81" i="4"/>
  <c r="D82" i="4"/>
  <c r="E82" i="4"/>
  <c r="D83" i="4"/>
  <c r="E83" i="4"/>
  <c r="D84" i="4"/>
  <c r="E84" i="4"/>
  <c r="D85" i="4"/>
  <c r="E85" i="4"/>
  <c r="E3" i="4"/>
  <c r="D3" i="4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2" i="3"/>
  <c r="D4" i="3"/>
  <c r="E4" i="3"/>
  <c r="D5" i="3"/>
  <c r="E5" i="3"/>
  <c r="D6" i="3"/>
  <c r="E6" i="3"/>
  <c r="D7" i="3"/>
  <c r="E7" i="3"/>
  <c r="D8" i="3"/>
  <c r="E8" i="3"/>
  <c r="D9" i="3"/>
  <c r="E9" i="3"/>
  <c r="D10" i="3"/>
  <c r="E10" i="3"/>
  <c r="D11" i="3"/>
  <c r="E11" i="3"/>
  <c r="D12" i="3"/>
  <c r="E12" i="3"/>
  <c r="D13" i="3"/>
  <c r="E13" i="3"/>
  <c r="D14" i="3"/>
  <c r="E14" i="3"/>
  <c r="D15" i="3"/>
  <c r="E15" i="3"/>
  <c r="D16" i="3"/>
  <c r="E16" i="3"/>
  <c r="D17" i="3"/>
  <c r="E17" i="3"/>
  <c r="D18" i="3"/>
  <c r="E18" i="3"/>
  <c r="D19" i="3"/>
  <c r="E19" i="3"/>
  <c r="D20" i="3"/>
  <c r="E20" i="3"/>
  <c r="D21" i="3"/>
  <c r="E21" i="3"/>
  <c r="D22" i="3"/>
  <c r="E22" i="3"/>
  <c r="D23" i="3"/>
  <c r="E23" i="3"/>
  <c r="D24" i="3"/>
  <c r="E24" i="3"/>
  <c r="D25" i="3"/>
  <c r="E25" i="3"/>
  <c r="D26" i="3"/>
  <c r="E26" i="3"/>
  <c r="D27" i="3"/>
  <c r="E27" i="3"/>
  <c r="D28" i="3"/>
  <c r="E28" i="3"/>
  <c r="D29" i="3"/>
  <c r="E29" i="3"/>
  <c r="D30" i="3"/>
  <c r="E30" i="3"/>
  <c r="D31" i="3"/>
  <c r="E31" i="3"/>
  <c r="D32" i="3"/>
  <c r="E32" i="3"/>
  <c r="D33" i="3"/>
  <c r="E33" i="3"/>
  <c r="D34" i="3"/>
  <c r="E34" i="3"/>
  <c r="D35" i="3"/>
  <c r="E35" i="3"/>
  <c r="D36" i="3"/>
  <c r="E36" i="3"/>
  <c r="D37" i="3"/>
  <c r="E37" i="3"/>
  <c r="D38" i="3"/>
  <c r="E38" i="3"/>
  <c r="D39" i="3"/>
  <c r="E39" i="3"/>
  <c r="D40" i="3"/>
  <c r="E40" i="3"/>
  <c r="D41" i="3"/>
  <c r="E41" i="3"/>
  <c r="D42" i="3"/>
  <c r="E42" i="3"/>
  <c r="D43" i="3"/>
  <c r="E43" i="3"/>
  <c r="D44" i="3"/>
  <c r="E44" i="3"/>
  <c r="D45" i="3"/>
  <c r="E45" i="3"/>
  <c r="D46" i="3"/>
  <c r="E46" i="3"/>
  <c r="D47" i="3"/>
  <c r="E47" i="3"/>
  <c r="D48" i="3"/>
  <c r="E48" i="3"/>
  <c r="D49" i="3"/>
  <c r="E49" i="3"/>
  <c r="D50" i="3"/>
  <c r="E50" i="3"/>
  <c r="D51" i="3"/>
  <c r="E51" i="3"/>
  <c r="D52" i="3"/>
  <c r="E52" i="3"/>
  <c r="D53" i="3"/>
  <c r="E53" i="3"/>
  <c r="D54" i="3"/>
  <c r="E54" i="3"/>
  <c r="D55" i="3"/>
  <c r="E55" i="3"/>
  <c r="D56" i="3"/>
  <c r="E56" i="3"/>
  <c r="D57" i="3"/>
  <c r="E57" i="3"/>
  <c r="D58" i="3"/>
  <c r="E58" i="3"/>
  <c r="D59" i="3"/>
  <c r="E59" i="3"/>
  <c r="D60" i="3"/>
  <c r="E60" i="3"/>
  <c r="D61" i="3"/>
  <c r="E61" i="3"/>
  <c r="D62" i="3"/>
  <c r="E62" i="3"/>
  <c r="D63" i="3"/>
  <c r="E63" i="3"/>
  <c r="D64" i="3"/>
  <c r="E64" i="3"/>
  <c r="D65" i="3"/>
  <c r="E65" i="3"/>
  <c r="D66" i="3"/>
  <c r="E66" i="3"/>
  <c r="D67" i="3"/>
  <c r="E67" i="3"/>
  <c r="D68" i="3"/>
  <c r="E68" i="3"/>
  <c r="D69" i="3"/>
  <c r="E69" i="3"/>
  <c r="D70" i="3"/>
  <c r="E70" i="3"/>
  <c r="D71" i="3"/>
  <c r="E71" i="3"/>
  <c r="D72" i="3"/>
  <c r="E72" i="3"/>
  <c r="D73" i="3"/>
  <c r="E73" i="3"/>
  <c r="D74" i="3"/>
  <c r="E74" i="3"/>
  <c r="D75" i="3"/>
  <c r="E75" i="3"/>
  <c r="D76" i="3"/>
  <c r="E76" i="3"/>
  <c r="D77" i="3"/>
  <c r="E77" i="3"/>
  <c r="D78" i="3"/>
  <c r="E78" i="3"/>
  <c r="D79" i="3"/>
  <c r="E79" i="3"/>
  <c r="D80" i="3"/>
  <c r="E80" i="3"/>
  <c r="D81" i="3"/>
  <c r="E81" i="3"/>
  <c r="D82" i="3"/>
  <c r="E82" i="3"/>
  <c r="D83" i="3"/>
  <c r="E83" i="3"/>
  <c r="D84" i="3"/>
  <c r="E84" i="3"/>
  <c r="D85" i="3"/>
  <c r="E85" i="3"/>
  <c r="E3" i="3"/>
  <c r="D3" i="3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2" i="2"/>
  <c r="E4" i="2"/>
  <c r="E3" i="2"/>
  <c r="D4" i="2"/>
  <c r="D3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D12" i="2"/>
  <c r="E12" i="2"/>
  <c r="D13" i="2"/>
  <c r="E13" i="2"/>
  <c r="D14" i="2"/>
  <c r="E14" i="2"/>
  <c r="D15" i="2"/>
  <c r="E15" i="2"/>
  <c r="D16" i="2"/>
  <c r="E16" i="2"/>
  <c r="D17" i="2"/>
  <c r="E17" i="2"/>
  <c r="D18" i="2"/>
  <c r="E18" i="2"/>
  <c r="D19" i="2"/>
  <c r="E19" i="2"/>
  <c r="D20" i="2"/>
  <c r="E20" i="2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D31" i="2"/>
  <c r="E31" i="2"/>
  <c r="D32" i="2"/>
  <c r="E32" i="2"/>
  <c r="D33" i="2"/>
  <c r="E33" i="2"/>
  <c r="D34" i="2"/>
  <c r="E34" i="2"/>
  <c r="D35" i="2"/>
  <c r="E35" i="2"/>
  <c r="D36" i="2"/>
  <c r="E36" i="2"/>
  <c r="D37" i="2"/>
  <c r="E37" i="2"/>
  <c r="D38" i="2"/>
  <c r="E38" i="2"/>
  <c r="D39" i="2"/>
  <c r="E39" i="2"/>
  <c r="D40" i="2"/>
  <c r="E40" i="2"/>
  <c r="D41" i="2"/>
  <c r="E41" i="2"/>
  <c r="D42" i="2"/>
  <c r="E42" i="2"/>
  <c r="D43" i="2"/>
  <c r="E43" i="2"/>
  <c r="D44" i="2"/>
  <c r="E44" i="2"/>
  <c r="D45" i="2"/>
  <c r="E45" i="2"/>
  <c r="D46" i="2"/>
  <c r="E46" i="2"/>
  <c r="D47" i="2"/>
  <c r="E47" i="2"/>
  <c r="D48" i="2"/>
  <c r="E48" i="2"/>
  <c r="D49" i="2"/>
  <c r="E49" i="2"/>
  <c r="D50" i="2"/>
  <c r="E50" i="2"/>
  <c r="D51" i="2"/>
  <c r="E51" i="2"/>
  <c r="D52" i="2"/>
  <c r="E52" i="2"/>
  <c r="D53" i="2"/>
  <c r="E53" i="2"/>
  <c r="D54" i="2"/>
  <c r="E54" i="2"/>
  <c r="D55" i="2"/>
  <c r="E55" i="2"/>
  <c r="D56" i="2"/>
  <c r="E56" i="2"/>
  <c r="D57" i="2"/>
  <c r="E57" i="2"/>
  <c r="D58" i="2"/>
  <c r="E58" i="2"/>
  <c r="D59" i="2"/>
  <c r="E59" i="2"/>
  <c r="D60" i="2"/>
  <c r="E60" i="2"/>
  <c r="D61" i="2"/>
  <c r="E61" i="2"/>
  <c r="D62" i="2"/>
  <c r="E62" i="2"/>
  <c r="D63" i="2"/>
  <c r="E63" i="2"/>
  <c r="D64" i="2"/>
  <c r="E64" i="2"/>
  <c r="D65" i="2"/>
  <c r="E65" i="2"/>
  <c r="D66" i="2"/>
  <c r="E66" i="2"/>
  <c r="D67" i="2"/>
  <c r="E67" i="2"/>
  <c r="D68" i="2"/>
  <c r="E68" i="2"/>
  <c r="D69" i="2"/>
  <c r="E69" i="2"/>
  <c r="D70" i="2"/>
  <c r="E70" i="2"/>
  <c r="D71" i="2"/>
  <c r="E71" i="2"/>
  <c r="D72" i="2"/>
  <c r="E72" i="2"/>
  <c r="D73" i="2"/>
  <c r="E73" i="2"/>
  <c r="D74" i="2"/>
  <c r="E74" i="2"/>
  <c r="D75" i="2"/>
  <c r="E75" i="2"/>
  <c r="D76" i="2"/>
  <c r="E76" i="2"/>
  <c r="D77" i="2"/>
  <c r="E77" i="2"/>
  <c r="D78" i="2"/>
  <c r="E78" i="2"/>
  <c r="D79" i="2"/>
  <c r="E79" i="2"/>
  <c r="D80" i="2"/>
  <c r="E80" i="2"/>
  <c r="D81" i="2"/>
  <c r="E81" i="2"/>
  <c r="D82" i="2"/>
  <c r="E82" i="2"/>
  <c r="D83" i="2"/>
  <c r="E83" i="2"/>
  <c r="D84" i="2"/>
  <c r="E84" i="2"/>
  <c r="D85" i="2"/>
  <c r="E85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3" i="1"/>
  <c r="C3" i="6" l="1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tc={E797F08C-D7B9-4021-9B6F-0BE89844AECB}</author>
  </authors>
  <commentList>
    <comment ref="H1" authorId="0" shapeId="0" xr:uid="{E797F08C-D7B9-4021-9B6F-0BE89844AECB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tc={793ABD32-BC6E-4C1F-B6A7-09A2601162DC}</author>
  </authors>
  <commentList>
    <comment ref="H1" authorId="0" shapeId="0" xr:uid="{793ABD32-BC6E-4C1F-B6A7-09A2601162DC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tc={C74E14F8-7A5B-4DB3-81E6-787DAB6847CD}</author>
  </authors>
  <commentList>
    <comment ref="H1" authorId="0" shapeId="0" xr:uid="{C74E14F8-7A5B-4DB3-81E6-787DAB6847C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tc={C8BA6BAD-FC48-418D-B15C-C8B4C61FCEAD}</author>
  </authors>
  <commentList>
    <comment ref="H1" authorId="0" shapeId="0" xr:uid="{C8BA6BAD-FC48-418D-B15C-C8B4C61FCEAD}">
      <text>
        <t>[Threaded comment]
Your version of Excel allows you to read this threaded comment; however, any edits to it will get removed if the file is opened in a newer version of Excel. Learn more: https://go.microsoft.com/fwlink/?linkid=870924
Comment:
    https://fred.stlouisfed.org/series/TB3MS</t>
      </text>
    </comment>
  </commentList>
</comments>
</file>

<file path=xl/sharedStrings.xml><?xml version="1.0" encoding="utf-8"?>
<sst xmlns="http://schemas.openxmlformats.org/spreadsheetml/2006/main" count="470" uniqueCount="117">
  <si>
    <t>Date</t>
  </si>
  <si>
    <t>ALCHWTU LX</t>
  </si>
  <si>
    <t>China all shares</t>
  </si>
  <si>
    <t>GSCEQBA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</si>
  <si>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</si>
  <si>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</si>
  <si>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</si>
  <si>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</si>
  <si>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</si>
  <si>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</si>
  <si>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</si>
  <si>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</si>
  <si>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</si>
  <si>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</si>
  <si>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</si>
  <si>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</si>
  <si>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</si>
  <si>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</si>
  <si>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</si>
  <si>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</si>
  <si>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</si>
  <si>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</si>
  <si>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</si>
  <si>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</si>
  <si>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</si>
  <si>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</si>
  <si>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</si>
  <si>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</si>
  <si>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</si>
  <si>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</si>
  <si>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</si>
  <si>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</si>
  <si>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</si>
  <si>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</si>
  <si>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</si>
  <si>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</si>
  <si>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</si>
  <si>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</si>
  <si>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</si>
  <si>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</si>
  <si>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</si>
  <si>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</si>
  <si>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</si>
  <si>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</si>
  <si>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</si>
  <si>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</si>
  <si>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</si>
  <si>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</si>
  <si>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</si>
  <si>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</si>
  <si>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</si>
  <si>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</si>
  <si>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</si>
  <si>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</si>
  <si>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</si>
  <si>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</si>
  <si>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</si>
  <si>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</si>
  <si>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</si>
  <si>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</si>
  <si>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</si>
  <si>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</si>
  <si>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</si>
  <si>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</si>
  <si>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</si>
  <si>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</si>
  <si>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</si>
  <si>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</si>
  <si>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</si>
  <si>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</si>
  <si>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</si>
  <si>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</si>
  <si>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</si>
  <si>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MGGIX US</t>
  </si>
  <si>
    <t>2020-08-31</t>
  </si>
  <si>
    <t>EMF US</t>
  </si>
  <si>
    <t>2021-05-31</t>
  </si>
  <si>
    <t>2024-03-29</t>
  </si>
  <si>
    <t>Return ALCHWTU LX, Rp</t>
  </si>
  <si>
    <t>observation_date</t>
  </si>
  <si>
    <t>Annual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</si>
  <si>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</si>
  <si>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</si>
  <si>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</si>
  <si>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</si>
  <si>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</si>
  <si>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</si>
  <si>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</si>
  <si>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</si>
  <si>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</si>
  <si>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</si>
  <si>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</si>
  <si>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</si>
  <si>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Risk-free Rate</t>
  </si>
  <si>
    <t>Return China All Shares, Rm</t>
  </si>
  <si>
    <t>Risk-free</t>
  </si>
  <si>
    <t>Alpha</t>
  </si>
  <si>
    <t>Beta</t>
  </si>
  <si>
    <t>Sharpe</t>
  </si>
  <si>
    <t>Treynor</t>
  </si>
  <si>
    <t>MSCI-World</t>
  </si>
  <si>
    <t>Return GSCEQBA, Rp</t>
  </si>
  <si>
    <t>Return MSCI World Index</t>
  </si>
  <si>
    <t>ACWI</t>
  </si>
  <si>
    <t>Return MGGIX US, Rp</t>
  </si>
  <si>
    <t>Return ACWI, Rm</t>
  </si>
  <si>
    <t>MSCI EM  Index</t>
  </si>
  <si>
    <t>Return EMF US, Rp</t>
  </si>
  <si>
    <t>Return MSCI EM, Rm</t>
  </si>
  <si>
    <t>Fund excess</t>
  </si>
  <si>
    <t>Benchmark excess</t>
  </si>
  <si>
    <t xml:space="preserve">Log Return ALCHWTU LX </t>
  </si>
  <si>
    <t>Log Return China All Shares, Rm</t>
  </si>
  <si>
    <t xml:space="preserve">Rolling Vola </t>
  </si>
  <si>
    <t>Log Return GSCEQBA, Rp</t>
  </si>
  <si>
    <t>Log Return MGGIX US, Rp</t>
  </si>
  <si>
    <t>Log Return MSCI EM, 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</si>
</sst>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yyyy\-mm\-dd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2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lina Khegay" id="{FDF6A07B-5E32-4D6F-8B29-F2A5B0959DF1}" userId="S::g.khegay@hm.edu::380e464f-d0ab-4c27-bc53-0f64b3b6ca9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6-01-02T16:08:19.87" personId="{FDF6A07B-5E32-4D6F-8B29-F2A5B0959DF1}" id="{E797F08C-D7B9-4021-9B6F-0BE89844AECB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" dT="2026-01-02T16:08:19.87" personId="{FDF6A07B-5E32-4D6F-8B29-F2A5B0959DF1}" id="{793ABD32-BC6E-4C1F-B6A7-09A2601162DC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" dT="2026-01-02T16:08:19.87" personId="{FDF6A07B-5E32-4D6F-8B29-F2A5B0959DF1}" id="{C74E14F8-7A5B-4DB3-81E6-787DAB6847CD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1" dT="2026-01-02T16:08:19.87" personId="{FDF6A07B-5E32-4D6F-8B29-F2A5B0959DF1}" id="{C8BA6BAD-FC48-418D-B15C-C8B4C61FCEAD}">
    <text>https://fred.stlouisfed.org/series/TB3MS</text>
    <extLst>
      <x:ext xmlns:xltc2="http://schemas.microsoft.com/office/spreadsheetml/2020/threadedcomments2" uri="{F7C98A9C-CBB3-438F-8F68-D28B6AF4A901}">
        <xltc2:checksum>691612873</xltc2:checksum>
        <xltc2:hyperlink startIndex="0" length="40" url="https://fred.stlouisfed.org/series/TB3MS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38772-92BA-4701-AF65-8FDC594CDDD1}">
  <dimension ref="A1:O85"/>
  <sheetViews>
    <sheetView workbookViewId="0">
      <selection activeCell="F3" sqref="F3"/>
    </sheetView>
  </sheetViews>
  <sheetFormatPr baseColWidth="10" defaultRowHeight="15" x14ac:dyDescent="0.2"/>
  <cols>
    <col min="1" max="1" width="11.5" style="2"/>
    <col min="5" max="7" width="12.1640625" customWidth="1"/>
    <col min="14" max="14" width="10.6640625" bestFit="1" customWidth="1"/>
    <col min="15" max="15" width="9.83203125" bestFit="1" customWidth="1"/>
  </cols>
  <sheetData>
    <row r="1" spans="1:15" ht="48" x14ac:dyDescent="0.2">
      <c r="A1" s="3" t="s">
        <v>0</v>
      </c>
      <c r="B1" s="7" t="s">
        <v>1</v>
      </c>
      <c r="C1" s="7" t="s">
        <v>2</v>
      </c>
      <c r="D1" s="7" t="s">
        <v>78</v>
      </c>
      <c r="E1" s="7" t="s">
        <v>94</v>
      </c>
      <c r="F1" s="9" t="s">
        <v>111</v>
      </c>
      <c r="G1" s="7" t="s">
        <v>112</v>
      </c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  <c r="M1" s="9" t="s">
        <v>113</v>
      </c>
      <c r="N1" s="7" t="s">
        <v>109</v>
      </c>
      <c r="O1" s="7" t="s">
        <v>110</v>
      </c>
    </row>
    <row r="2" spans="1:15" x14ac:dyDescent="0.2">
      <c r="A2" t="s">
        <v>81</v>
      </c>
      <c r="B2" s="8">
        <v>1150.57</v>
      </c>
      <c r="C2">
        <v>3199.3006559999999</v>
      </c>
      <c r="D2" s="8"/>
      <c r="E2" s="8"/>
      <c r="F2" s="8"/>
      <c r="G2" s="8"/>
      <c r="H2">
        <f>'Risk-free rate'!C2</f>
        <v>1.1674742711142994E-3</v>
      </c>
    </row>
    <row r="3" spans="1:15" x14ac:dyDescent="0.2">
      <c r="A3" t="s">
        <v>82</v>
      </c>
      <c r="B3" s="8">
        <v>1105.23</v>
      </c>
      <c r="C3">
        <v>2990.1855390000001</v>
      </c>
      <c r="D3">
        <f>(B3-B2)/B2</f>
        <v>-3.9406555011863617E-2</v>
      </c>
      <c r="E3">
        <f>(C3-C2)/C2</f>
        <v>-6.5362758766614598E-2</v>
      </c>
      <c r="F3">
        <f>LN(B3/B2)</f>
        <v>-4.0204013647133448E-2</v>
      </c>
      <c r="G3">
        <f>LN(C3/C2)</f>
        <v>-6.7596802266608497E-2</v>
      </c>
      <c r="H3">
        <f>'Risk-free rate'!C3</f>
        <v>1.2990121499387719E-3</v>
      </c>
    </row>
    <row r="4" spans="1:15" x14ac:dyDescent="0.2">
      <c r="A4" t="s">
        <v>83</v>
      </c>
      <c r="B4" s="8">
        <v>1067.3399999999999</v>
      </c>
      <c r="C4">
        <v>2904.7636990000001</v>
      </c>
      <c r="D4">
        <f t="shared" ref="D4:D67" si="0">(B4-B3)/B3</f>
        <v>-3.4282457045140019E-2</v>
      </c>
      <c r="E4">
        <f t="shared" ref="E4:E67" si="1">(C4-C3)/C3</f>
        <v>-2.8567404559306168E-2</v>
      </c>
      <c r="F4">
        <f t="shared" ref="F4:F67" si="2">LN(B4/B3)</f>
        <v>-3.4883886123877252E-2</v>
      </c>
      <c r="G4">
        <f t="shared" ref="G4:G67" si="3">LN(C4/C3)</f>
        <v>-2.8983394516411749E-2</v>
      </c>
      <c r="H4">
        <f>'Risk-free rate'!C4</f>
        <v>1.4057468926966799E-3</v>
      </c>
    </row>
    <row r="5" spans="1:15" x14ac:dyDescent="0.2">
      <c r="A5" t="s">
        <v>84</v>
      </c>
      <c r="B5" s="8">
        <v>1025.92</v>
      </c>
      <c r="C5">
        <v>2851.3337700000002</v>
      </c>
      <c r="D5">
        <f t="shared" si="0"/>
        <v>-3.8806753237018987E-2</v>
      </c>
      <c r="E5">
        <f t="shared" si="1"/>
        <v>-1.8393898621906421E-2</v>
      </c>
      <c r="F5">
        <f t="shared" si="2"/>
        <v>-3.9579800984099814E-2</v>
      </c>
      <c r="G5">
        <f t="shared" si="3"/>
        <v>-1.8565169856898971E-2</v>
      </c>
      <c r="H5">
        <f>'Risk-free rate'!C5</f>
        <v>1.4549669057570824E-3</v>
      </c>
    </row>
    <row r="6" spans="1:15" x14ac:dyDescent="0.2">
      <c r="A6" t="s">
        <v>85</v>
      </c>
      <c r="B6" s="8">
        <v>1075.67</v>
      </c>
      <c r="C6">
        <v>2875.992319</v>
      </c>
      <c r="D6">
        <f t="shared" si="0"/>
        <v>4.8493059887710542E-2</v>
      </c>
      <c r="E6">
        <f t="shared" si="1"/>
        <v>8.6480752479565961E-3</v>
      </c>
      <c r="F6">
        <f t="shared" si="2"/>
        <v>4.7353952251341411E-2</v>
      </c>
      <c r="G6">
        <f t="shared" si="3"/>
        <v>8.6108948506839287E-3</v>
      </c>
      <c r="H6">
        <f>'Risk-free rate'!C6</f>
        <v>1.5369411743291206E-3</v>
      </c>
    </row>
    <row r="7" spans="1:15" x14ac:dyDescent="0.2">
      <c r="A7" t="s">
        <v>86</v>
      </c>
      <c r="B7" s="8">
        <v>1020.17</v>
      </c>
      <c r="C7">
        <v>2671.4636390000001</v>
      </c>
      <c r="D7">
        <f t="shared" si="0"/>
        <v>-5.1595749625814709E-2</v>
      </c>
      <c r="E7">
        <f t="shared" si="1"/>
        <v>-7.1115864478774327E-2</v>
      </c>
      <c r="F7">
        <f t="shared" si="2"/>
        <v>-5.2974443174837467E-2</v>
      </c>
      <c r="G7">
        <f t="shared" si="3"/>
        <v>-7.3771267514540689E-2</v>
      </c>
      <c r="H7">
        <f>'Risk-free rate'!C7</f>
        <v>1.5697102274137009E-3</v>
      </c>
    </row>
    <row r="8" spans="1:15" x14ac:dyDescent="0.2">
      <c r="A8" t="s">
        <v>87</v>
      </c>
      <c r="B8" s="8">
        <v>981.87</v>
      </c>
      <c r="C8">
        <v>2609.0936769999998</v>
      </c>
      <c r="D8">
        <f t="shared" si="0"/>
        <v>-3.7542762480762965E-2</v>
      </c>
      <c r="E8">
        <f t="shared" si="1"/>
        <v>-2.3346738128671274E-2</v>
      </c>
      <c r="F8">
        <f t="shared" si="2"/>
        <v>-3.8265642358617104E-2</v>
      </c>
      <c r="G8">
        <f t="shared" si="3"/>
        <v>-2.3623590779744165E-2</v>
      </c>
      <c r="H8">
        <f>'Risk-free rate'!C8</f>
        <v>1.6188417051281601E-3</v>
      </c>
    </row>
    <row r="9" spans="1:15" x14ac:dyDescent="0.2">
      <c r="A9" t="s">
        <v>88</v>
      </c>
      <c r="B9" s="8">
        <v>910.11</v>
      </c>
      <c r="C9">
        <v>2488.3975540000001</v>
      </c>
      <c r="D9">
        <f t="shared" si="0"/>
        <v>-7.3085031623330979E-2</v>
      </c>
      <c r="E9">
        <f t="shared" si="1"/>
        <v>-4.6259789007951253E-2</v>
      </c>
      <c r="F9">
        <f t="shared" si="2"/>
        <v>-7.5893445372537796E-2</v>
      </c>
      <c r="G9">
        <f t="shared" si="3"/>
        <v>-4.7363960140416377E-2</v>
      </c>
      <c r="H9">
        <f>'Risk-free rate'!C9</f>
        <v>1.6761282769228725E-3</v>
      </c>
    </row>
    <row r="10" spans="1:15" x14ac:dyDescent="0.2">
      <c r="A10" t="s">
        <v>89</v>
      </c>
      <c r="B10" s="8">
        <v>889.56</v>
      </c>
      <c r="C10">
        <v>2485.9787809999998</v>
      </c>
      <c r="D10">
        <f t="shared" si="0"/>
        <v>-2.2579688169561997E-2</v>
      </c>
      <c r="E10">
        <f t="shared" si="1"/>
        <v>-9.7202032533436913E-4</v>
      </c>
      <c r="F10">
        <f t="shared" si="2"/>
        <v>-2.2838512869854007E-2</v>
      </c>
      <c r="G10">
        <f t="shared" si="3"/>
        <v>-9.7249304344338599E-4</v>
      </c>
      <c r="H10">
        <f>'Risk-free rate'!C10</f>
        <v>1.7579037712718293E-3</v>
      </c>
    </row>
    <row r="11" spans="1:15" x14ac:dyDescent="0.2">
      <c r="A11" t="s">
        <v>90</v>
      </c>
      <c r="B11" s="8">
        <v>770.51</v>
      </c>
      <c r="C11">
        <v>2214.35086</v>
      </c>
      <c r="D11">
        <f t="shared" si="0"/>
        <v>-0.13383020819281438</v>
      </c>
      <c r="E11">
        <f t="shared" si="1"/>
        <v>-0.1092639740435499</v>
      </c>
      <c r="F11">
        <f t="shared" si="2"/>
        <v>-0.1436743251953452</v>
      </c>
      <c r="G11">
        <f t="shared" si="3"/>
        <v>-0.11570716257159229</v>
      </c>
      <c r="H11">
        <f>'Risk-free rate'!C11</f>
        <v>1.855937535336194E-3</v>
      </c>
    </row>
    <row r="12" spans="1:15" x14ac:dyDescent="0.2">
      <c r="A12" t="s">
        <v>91</v>
      </c>
      <c r="B12" s="8">
        <v>812.78</v>
      </c>
      <c r="C12">
        <v>2329.8148940000001</v>
      </c>
      <c r="D12">
        <f t="shared" si="0"/>
        <v>5.4859768205474273E-2</v>
      </c>
      <c r="E12">
        <f t="shared" si="1"/>
        <v>5.2143513517094613E-2</v>
      </c>
      <c r="F12">
        <f t="shared" si="2"/>
        <v>5.3407836960981406E-2</v>
      </c>
      <c r="G12">
        <f t="shared" si="3"/>
        <v>5.0829524704253753E-2</v>
      </c>
      <c r="H12">
        <f>'Risk-free rate'!C12</f>
        <v>1.921234803683225E-3</v>
      </c>
    </row>
    <row r="13" spans="1:15" x14ac:dyDescent="0.2">
      <c r="A13" t="s">
        <v>92</v>
      </c>
      <c r="B13" s="8">
        <v>781.37</v>
      </c>
      <c r="C13">
        <v>2213.3058249999999</v>
      </c>
      <c r="D13">
        <f t="shared" si="0"/>
        <v>-3.8645143827357918E-2</v>
      </c>
      <c r="E13">
        <f t="shared" si="1"/>
        <v>-5.0007865131280332E-2</v>
      </c>
      <c r="F13">
        <f t="shared" si="2"/>
        <v>-3.9411680966925822E-2</v>
      </c>
      <c r="G13">
        <f t="shared" si="3"/>
        <v>-5.1301573507380564E-2</v>
      </c>
      <c r="H13">
        <f>'Risk-free rate'!C13</f>
        <v>1.9538658918776264E-3</v>
      </c>
    </row>
    <row r="14" spans="1:15" x14ac:dyDescent="0.2">
      <c r="A14" t="s">
        <v>4</v>
      </c>
      <c r="B14">
        <v>866.33</v>
      </c>
      <c r="C14">
        <v>2438.6662289999999</v>
      </c>
      <c r="D14">
        <f t="shared" si="0"/>
        <v>0.10873209874963211</v>
      </c>
      <c r="E14">
        <f t="shared" si="1"/>
        <v>0.10182072511375603</v>
      </c>
      <c r="F14">
        <f t="shared" si="2"/>
        <v>0.10321710907693409</v>
      </c>
      <c r="G14">
        <f t="shared" si="3"/>
        <v>9.6964016111694473E-2</v>
      </c>
      <c r="H14">
        <f>'Risk-free rate'!C14</f>
        <v>1.9538658918776264E-3</v>
      </c>
    </row>
    <row r="15" spans="1:15" x14ac:dyDescent="0.2">
      <c r="A15" t="s">
        <v>5</v>
      </c>
      <c r="B15">
        <v>945.62</v>
      </c>
      <c r="C15">
        <v>2614.024324</v>
      </c>
      <c r="D15">
        <f t="shared" si="0"/>
        <v>9.1524015098172706E-2</v>
      </c>
      <c r="E15">
        <f t="shared" si="1"/>
        <v>7.190737826877909E-2</v>
      </c>
      <c r="F15">
        <f t="shared" si="2"/>
        <v>8.7574898688106487E-2</v>
      </c>
      <c r="G15">
        <f t="shared" si="3"/>
        <v>6.9439658047163996E-2</v>
      </c>
      <c r="H15">
        <f>'Risk-free rate'!C15</f>
        <v>1.970177053312705E-3</v>
      </c>
    </row>
    <row r="16" spans="1:15" x14ac:dyDescent="0.2">
      <c r="A16" t="s">
        <v>6</v>
      </c>
      <c r="B16">
        <v>1008.77</v>
      </c>
      <c r="C16">
        <v>2706.760902</v>
      </c>
      <c r="D16">
        <f t="shared" si="0"/>
        <v>6.6781582453839791E-2</v>
      </c>
      <c r="E16">
        <f t="shared" si="1"/>
        <v>3.5476555114106127E-2</v>
      </c>
      <c r="F16">
        <f t="shared" si="2"/>
        <v>6.4646248885203816E-2</v>
      </c>
      <c r="G16">
        <f t="shared" si="3"/>
        <v>3.4861760471264006E-2</v>
      </c>
      <c r="H16">
        <f>'Risk-free rate'!C16</f>
        <v>1.9783315388433032E-3</v>
      </c>
    </row>
    <row r="17" spans="1:8" x14ac:dyDescent="0.2">
      <c r="A17" t="s">
        <v>7</v>
      </c>
      <c r="B17">
        <v>1019.58</v>
      </c>
      <c r="C17">
        <v>2745.8384040000001</v>
      </c>
      <c r="D17">
        <f t="shared" si="0"/>
        <v>1.071602050021319E-2</v>
      </c>
      <c r="E17">
        <f t="shared" si="1"/>
        <v>1.4436998100248196E-2</v>
      </c>
      <c r="F17">
        <f t="shared" si="2"/>
        <v>1.0659010868485719E-2</v>
      </c>
      <c r="G17">
        <f t="shared" si="3"/>
        <v>1.4333776926327872E-2</v>
      </c>
      <c r="H17">
        <f>'Risk-free rate'!C17</f>
        <v>1.9620218377029985E-3</v>
      </c>
    </row>
    <row r="18" spans="1:8" x14ac:dyDescent="0.2">
      <c r="A18" t="s">
        <v>8</v>
      </c>
      <c r="B18">
        <v>920.5</v>
      </c>
      <c r="C18">
        <v>2428.9438060000002</v>
      </c>
      <c r="D18">
        <f t="shared" si="0"/>
        <v>-9.7177269071578531E-2</v>
      </c>
      <c r="E18">
        <f t="shared" si="1"/>
        <v>-0.11540904866738103</v>
      </c>
      <c r="F18">
        <f t="shared" si="2"/>
        <v>-0.10222905610093662</v>
      </c>
      <c r="G18">
        <f t="shared" si="3"/>
        <v>-0.12262994270646957</v>
      </c>
      <c r="H18">
        <f>'Risk-free rate'!C18</f>
        <v>1.937551809032545E-3</v>
      </c>
    </row>
    <row r="19" spans="1:8" x14ac:dyDescent="0.2">
      <c r="A19" t="s">
        <v>9</v>
      </c>
      <c r="B19">
        <v>1004.67</v>
      </c>
      <c r="C19">
        <v>2602.3552079999999</v>
      </c>
      <c r="D19">
        <f t="shared" si="0"/>
        <v>9.1439435089625154E-2</v>
      </c>
      <c r="E19">
        <f t="shared" si="1"/>
        <v>7.1393748003406754E-2</v>
      </c>
      <c r="F19">
        <f t="shared" si="2"/>
        <v>8.7497407689727719E-2</v>
      </c>
      <c r="G19">
        <f t="shared" si="3"/>
        <v>6.8960369095267468E-2</v>
      </c>
      <c r="H19">
        <f>'Risk-free rate'!C19</f>
        <v>1.7905934192179451E-3</v>
      </c>
    </row>
    <row r="20" spans="1:8" x14ac:dyDescent="0.2">
      <c r="A20" t="s">
        <v>10</v>
      </c>
      <c r="B20">
        <v>1021.32</v>
      </c>
      <c r="C20">
        <v>2597.8708379999998</v>
      </c>
      <c r="D20">
        <f t="shared" si="0"/>
        <v>1.6572605930305566E-2</v>
      </c>
      <c r="E20">
        <f t="shared" si="1"/>
        <v>-1.723196735870089E-3</v>
      </c>
      <c r="F20">
        <f t="shared" si="2"/>
        <v>1.6436778914009822E-2</v>
      </c>
      <c r="G20">
        <f t="shared" si="3"/>
        <v>-1.7246831471968583E-3</v>
      </c>
      <c r="H20">
        <f>'Risk-free rate'!C20</f>
        <v>1.73337883251512E-3</v>
      </c>
    </row>
    <row r="21" spans="1:8" x14ac:dyDescent="0.2">
      <c r="A21" t="s">
        <v>11</v>
      </c>
      <c r="B21">
        <v>987.64</v>
      </c>
      <c r="C21">
        <v>2494.9384369999998</v>
      </c>
      <c r="D21">
        <f t="shared" si="0"/>
        <v>-3.2976931813731312E-2</v>
      </c>
      <c r="E21">
        <f t="shared" si="1"/>
        <v>-3.9621831653202474E-2</v>
      </c>
      <c r="F21">
        <f t="shared" si="2"/>
        <v>-3.3532928398416144E-2</v>
      </c>
      <c r="G21">
        <f t="shared" si="3"/>
        <v>-4.0428146727232724E-2</v>
      </c>
      <c r="H21">
        <f>'Risk-free rate'!C21</f>
        <v>1.6106549662961989E-3</v>
      </c>
    </row>
    <row r="22" spans="1:8" x14ac:dyDescent="0.2">
      <c r="A22" t="s">
        <v>12</v>
      </c>
      <c r="B22">
        <v>1006.27</v>
      </c>
      <c r="C22">
        <v>2498.284971</v>
      </c>
      <c r="D22">
        <f t="shared" si="0"/>
        <v>1.8863148515653471E-2</v>
      </c>
      <c r="E22">
        <f t="shared" si="1"/>
        <v>1.3413292890802689E-3</v>
      </c>
      <c r="F22">
        <f t="shared" si="2"/>
        <v>1.8687445433196063E-2</v>
      </c>
      <c r="G22">
        <f t="shared" si="3"/>
        <v>1.3404305105649157E-3</v>
      </c>
      <c r="H22">
        <f>'Risk-free rate'!C22</f>
        <v>1.5615190697231274E-3</v>
      </c>
    </row>
    <row r="23" spans="1:8" x14ac:dyDescent="0.2">
      <c r="A23" t="s">
        <v>13</v>
      </c>
      <c r="B23">
        <v>1054.23</v>
      </c>
      <c r="C23">
        <v>2590.525185</v>
      </c>
      <c r="D23">
        <f t="shared" si="0"/>
        <v>4.7661164498593853E-2</v>
      </c>
      <c r="E23">
        <f t="shared" si="1"/>
        <v>3.6921414118373574E-2</v>
      </c>
      <c r="F23">
        <f t="shared" si="2"/>
        <v>4.6560217302725436E-2</v>
      </c>
      <c r="G23">
        <f t="shared" si="3"/>
        <v>3.6256144426298161E-2</v>
      </c>
      <c r="H23">
        <f>'Risk-free rate'!C23</f>
        <v>1.364709877352599E-3</v>
      </c>
    </row>
    <row r="24" spans="1:8" x14ac:dyDescent="0.2">
      <c r="A24" t="s">
        <v>14</v>
      </c>
      <c r="B24">
        <v>1075.29</v>
      </c>
      <c r="C24">
        <v>2609.714273</v>
      </c>
      <c r="D24">
        <f t="shared" si="0"/>
        <v>1.9976665433539119E-2</v>
      </c>
      <c r="E24">
        <f t="shared" si="1"/>
        <v>7.4074122541294973E-3</v>
      </c>
      <c r="F24">
        <f t="shared" si="2"/>
        <v>1.9779750008554559E-2</v>
      </c>
      <c r="G24">
        <f t="shared" si="3"/>
        <v>7.3801121087069205E-3</v>
      </c>
      <c r="H24">
        <f>'Risk-free rate'!C24</f>
        <v>1.2743632726075482E-3</v>
      </c>
    </row>
    <row r="25" spans="1:8" x14ac:dyDescent="0.2">
      <c r="A25" t="s">
        <v>15</v>
      </c>
      <c r="B25">
        <v>1169.72</v>
      </c>
      <c r="C25">
        <v>2824.911889</v>
      </c>
      <c r="D25">
        <f t="shared" si="0"/>
        <v>8.7818169982051414E-2</v>
      </c>
      <c r="E25">
        <f t="shared" si="1"/>
        <v>8.2460221115555024E-2</v>
      </c>
      <c r="F25">
        <f t="shared" si="2"/>
        <v>8.4174011288854919E-2</v>
      </c>
      <c r="G25">
        <f t="shared" si="3"/>
        <v>7.9236432981948962E-2</v>
      </c>
      <c r="H25">
        <f>'Risk-free rate'!C25</f>
        <v>1.2743632726075482E-3</v>
      </c>
    </row>
    <row r="26" spans="1:8" x14ac:dyDescent="0.2">
      <c r="A26" t="s">
        <v>16</v>
      </c>
      <c r="B26">
        <v>1185.94</v>
      </c>
      <c r="C26">
        <v>2730.3153130000001</v>
      </c>
      <c r="D26">
        <f t="shared" si="0"/>
        <v>1.3866566357760854E-2</v>
      </c>
      <c r="E26">
        <f t="shared" si="1"/>
        <v>-3.3486558065174372E-2</v>
      </c>
      <c r="F26">
        <f t="shared" si="2"/>
        <v>1.3771305146933374E-2</v>
      </c>
      <c r="G26">
        <f t="shared" si="3"/>
        <v>-3.4060072582740339E-2</v>
      </c>
      <c r="H26">
        <f>'Risk-free rate'!C26</f>
        <v>1.2579269787644787E-3</v>
      </c>
    </row>
    <row r="27" spans="1:8" x14ac:dyDescent="0.2">
      <c r="A27" t="s">
        <v>17</v>
      </c>
      <c r="B27">
        <v>1164.06</v>
      </c>
      <c r="C27">
        <v>2732.7964059999999</v>
      </c>
      <c r="D27">
        <f t="shared" si="0"/>
        <v>-1.8449499974703701E-2</v>
      </c>
      <c r="E27">
        <f t="shared" si="1"/>
        <v>9.0872031819420613E-4</v>
      </c>
      <c r="F27">
        <f t="shared" si="2"/>
        <v>-1.8621814704052143E-2</v>
      </c>
      <c r="G27">
        <f t="shared" si="3"/>
        <v>9.0830768184752941E-4</v>
      </c>
      <c r="H27">
        <f>'Risk-free rate'!C27</f>
        <v>1.2579269787644787E-3</v>
      </c>
    </row>
    <row r="28" spans="1:8" x14ac:dyDescent="0.2">
      <c r="A28" t="s">
        <v>18</v>
      </c>
      <c r="B28">
        <v>1075.29</v>
      </c>
      <c r="C28">
        <v>2545.8421119999998</v>
      </c>
      <c r="D28">
        <f t="shared" si="0"/>
        <v>-7.6258955723931737E-2</v>
      </c>
      <c r="E28">
        <f t="shared" si="1"/>
        <v>-6.8411350947890595E-2</v>
      </c>
      <c r="F28">
        <f t="shared" si="2"/>
        <v>-7.9323501731736024E-2</v>
      </c>
      <c r="G28">
        <f t="shared" si="3"/>
        <v>-7.086392540415723E-2</v>
      </c>
      <c r="H28">
        <f>'Risk-free rate'!C28</f>
        <v>2.4134604527370485E-4</v>
      </c>
    </row>
    <row r="29" spans="1:8" x14ac:dyDescent="0.2">
      <c r="A29" t="s">
        <v>19</v>
      </c>
      <c r="B29">
        <v>1175.05</v>
      </c>
      <c r="C29">
        <v>2713.7094959999999</v>
      </c>
      <c r="D29">
        <f t="shared" si="0"/>
        <v>9.2774972333045033E-2</v>
      </c>
      <c r="E29">
        <f t="shared" si="1"/>
        <v>6.5937861271422066E-2</v>
      </c>
      <c r="F29">
        <f t="shared" si="2"/>
        <v>8.8720307241457352E-2</v>
      </c>
      <c r="G29">
        <f t="shared" si="3"/>
        <v>6.3855032554414673E-2</v>
      </c>
      <c r="H29">
        <f>'Risk-free rate'!C29</f>
        <v>1.1659187244639213E-4</v>
      </c>
    </row>
    <row r="30" spans="1:8" x14ac:dyDescent="0.2">
      <c r="A30" t="s">
        <v>20</v>
      </c>
      <c r="B30">
        <v>1206.78</v>
      </c>
      <c r="C30">
        <v>2688.9434609999998</v>
      </c>
      <c r="D30">
        <f t="shared" si="0"/>
        <v>2.7003106250797854E-2</v>
      </c>
      <c r="E30">
        <f t="shared" si="1"/>
        <v>-9.1262661078885445E-3</v>
      </c>
      <c r="F30">
        <f t="shared" si="2"/>
        <v>2.6644955528797296E-2</v>
      </c>
      <c r="G30">
        <f t="shared" si="3"/>
        <v>-9.1681655931506387E-3</v>
      </c>
      <c r="H30">
        <f>'Risk-free rate'!C30</f>
        <v>1.0826883828274347E-4</v>
      </c>
    </row>
    <row r="31" spans="1:8" x14ac:dyDescent="0.2">
      <c r="A31" t="s">
        <v>21</v>
      </c>
      <c r="B31">
        <v>1361.65</v>
      </c>
      <c r="C31">
        <v>2938.8521369999999</v>
      </c>
      <c r="D31">
        <f t="shared" si="0"/>
        <v>0.12833325046818816</v>
      </c>
      <c r="E31">
        <f t="shared" si="1"/>
        <v>9.293935689784294E-2</v>
      </c>
      <c r="F31">
        <f t="shared" si="2"/>
        <v>0.12074154425582007</v>
      </c>
      <c r="G31">
        <f t="shared" si="3"/>
        <v>8.8870724487580835E-2</v>
      </c>
      <c r="H31">
        <f>'Risk-free rate'!C31</f>
        <v>1.3323565538980731E-4</v>
      </c>
    </row>
    <row r="32" spans="1:8" x14ac:dyDescent="0.2">
      <c r="A32" t="s">
        <v>22</v>
      </c>
      <c r="B32">
        <v>1549.78</v>
      </c>
      <c r="C32">
        <v>3270.1075129999999</v>
      </c>
      <c r="D32">
        <f t="shared" si="0"/>
        <v>0.13816325781221303</v>
      </c>
      <c r="E32">
        <f t="shared" si="1"/>
        <v>0.11271590422311882</v>
      </c>
      <c r="F32">
        <f t="shared" si="2"/>
        <v>0.1294157857066226</v>
      </c>
      <c r="G32">
        <f t="shared" si="3"/>
        <v>0.10680378744066883</v>
      </c>
      <c r="H32">
        <f>'Risk-free rate'!C32</f>
        <v>1.0826883828274347E-4</v>
      </c>
    </row>
    <row r="33" spans="1:8" x14ac:dyDescent="0.2">
      <c r="A33" t="s">
        <v>74</v>
      </c>
      <c r="B33">
        <v>1616.83</v>
      </c>
      <c r="C33">
        <v>3442.462661</v>
      </c>
      <c r="D33">
        <f t="shared" si="0"/>
        <v>4.3264205242034323E-2</v>
      </c>
      <c r="E33">
        <f t="shared" si="1"/>
        <v>5.2706263422477299E-2</v>
      </c>
      <c r="F33">
        <f t="shared" si="2"/>
        <v>4.2354456732346335E-2</v>
      </c>
      <c r="G33">
        <f t="shared" si="3"/>
        <v>5.1364242122053941E-2</v>
      </c>
      <c r="H33">
        <f>'Risk-free rate'!C33</f>
        <v>8.3295163273211514E-5</v>
      </c>
    </row>
    <row r="34" spans="1:8" x14ac:dyDescent="0.2">
      <c r="A34" t="s">
        <v>23</v>
      </c>
      <c r="B34">
        <v>1577.54</v>
      </c>
      <c r="C34">
        <v>3324.2090699999999</v>
      </c>
      <c r="D34">
        <f t="shared" si="0"/>
        <v>-2.43006376675346E-2</v>
      </c>
      <c r="E34">
        <f t="shared" si="1"/>
        <v>-3.435145204033925E-2</v>
      </c>
      <c r="F34">
        <f t="shared" si="2"/>
        <v>-2.4600770417216023E-2</v>
      </c>
      <c r="G34">
        <f t="shared" si="3"/>
        <v>-3.4955332956824368E-2</v>
      </c>
      <c r="H34">
        <f>'Risk-free rate'!C34</f>
        <v>9.1620483841925449E-5</v>
      </c>
    </row>
    <row r="35" spans="1:8" x14ac:dyDescent="0.2">
      <c r="A35" t="s">
        <v>24</v>
      </c>
      <c r="B35">
        <v>1661.29</v>
      </c>
      <c r="C35">
        <v>3481.47723</v>
      </c>
      <c r="D35">
        <f t="shared" si="0"/>
        <v>5.308898665010079E-2</v>
      </c>
      <c r="E35">
        <f t="shared" si="1"/>
        <v>4.730994852859844E-2</v>
      </c>
      <c r="F35">
        <f t="shared" si="2"/>
        <v>5.1727737321147313E-2</v>
      </c>
      <c r="G35">
        <f t="shared" si="3"/>
        <v>4.6224922967541687E-2</v>
      </c>
      <c r="H35">
        <f>'Risk-free rate'!C35</f>
        <v>8.3295163273211514E-5</v>
      </c>
    </row>
    <row r="36" spans="1:8" x14ac:dyDescent="0.2">
      <c r="A36" t="s">
        <v>25</v>
      </c>
      <c r="B36">
        <v>1739.37</v>
      </c>
      <c r="C36">
        <v>3618.2460040000001</v>
      </c>
      <c r="D36">
        <f t="shared" si="0"/>
        <v>4.6999620776625353E-2</v>
      </c>
      <c r="E36">
        <f t="shared" si="1"/>
        <v>3.9284695824364224E-2</v>
      </c>
      <c r="F36">
        <f t="shared" si="2"/>
        <v>4.5928569688358518E-2</v>
      </c>
      <c r="G36">
        <f t="shared" si="3"/>
        <v>3.8532684038951687E-2</v>
      </c>
      <c r="H36">
        <f>'Risk-free rate'!C36</f>
        <v>7.4969080277487166E-5</v>
      </c>
    </row>
    <row r="37" spans="1:8" x14ac:dyDescent="0.2">
      <c r="A37" t="s">
        <v>26</v>
      </c>
      <c r="B37">
        <v>1898.18</v>
      </c>
      <c r="C37">
        <v>3768.8008570000002</v>
      </c>
      <c r="D37">
        <f t="shared" si="0"/>
        <v>9.1303172987921025E-2</v>
      </c>
      <c r="E37">
        <f t="shared" si="1"/>
        <v>4.160989961256379E-2</v>
      </c>
      <c r="F37">
        <f t="shared" si="2"/>
        <v>8.73725536630761E-2</v>
      </c>
      <c r="G37">
        <f t="shared" si="3"/>
        <v>4.076749666333513E-2</v>
      </c>
      <c r="H37">
        <f>'Risk-free rate'!C37</f>
        <v>7.4969080277487166E-5</v>
      </c>
    </row>
    <row r="38" spans="1:8" x14ac:dyDescent="0.2">
      <c r="A38" t="s">
        <v>27</v>
      </c>
      <c r="B38">
        <v>2015.2</v>
      </c>
      <c r="C38">
        <v>4005.389999</v>
      </c>
      <c r="D38">
        <f t="shared" si="0"/>
        <v>6.1648526483262904E-2</v>
      </c>
      <c r="E38">
        <f t="shared" si="1"/>
        <v>6.2775707971030048E-2</v>
      </c>
      <c r="F38">
        <f t="shared" si="2"/>
        <v>5.9822913695060827E-2</v>
      </c>
      <c r="G38">
        <f t="shared" si="3"/>
        <v>6.0884078009852613E-2</v>
      </c>
      <c r="H38">
        <f>'Risk-free rate'!C38</f>
        <v>6.6642234708869097E-5</v>
      </c>
    </row>
    <row r="39" spans="1:8" x14ac:dyDescent="0.2">
      <c r="A39" t="s">
        <v>28</v>
      </c>
      <c r="B39">
        <v>1952.14</v>
      </c>
      <c r="C39">
        <v>3964.0609129999998</v>
      </c>
      <c r="D39">
        <f t="shared" si="0"/>
        <v>-3.1292179436284213E-2</v>
      </c>
      <c r="E39">
        <f t="shared" si="1"/>
        <v>-1.0318367502370196E-2</v>
      </c>
      <c r="F39">
        <f t="shared" si="2"/>
        <v>-3.1792239325737541E-2</v>
      </c>
      <c r="G39">
        <f t="shared" si="3"/>
        <v>-1.0371970908238043E-2</v>
      </c>
      <c r="H39">
        <f>'Risk-free rate'!C39</f>
        <v>3.3327223783574667E-5</v>
      </c>
    </row>
    <row r="40" spans="1:8" x14ac:dyDescent="0.2">
      <c r="A40" t="s">
        <v>29</v>
      </c>
      <c r="B40">
        <v>1821.97</v>
      </c>
      <c r="C40">
        <v>3712.4446130000001</v>
      </c>
      <c r="D40">
        <f t="shared" si="0"/>
        <v>-6.6680668394684839E-2</v>
      </c>
      <c r="E40">
        <f t="shared" si="1"/>
        <v>-6.347437779647451E-2</v>
      </c>
      <c r="F40">
        <f t="shared" si="2"/>
        <v>-6.9007873450928445E-2</v>
      </c>
      <c r="G40">
        <f t="shared" si="3"/>
        <v>-6.5578397938328981E-2</v>
      </c>
      <c r="H40">
        <f>'Risk-free rate'!C40</f>
        <v>2.4996563158685703E-5</v>
      </c>
    </row>
    <row r="41" spans="1:8" x14ac:dyDescent="0.2">
      <c r="A41" t="s">
        <v>30</v>
      </c>
      <c r="B41">
        <v>1921.86</v>
      </c>
      <c r="C41">
        <v>3798.2791670000001</v>
      </c>
      <c r="D41">
        <f t="shared" si="0"/>
        <v>5.4825271546732314E-2</v>
      </c>
      <c r="E41">
        <f t="shared" si="1"/>
        <v>2.3120763525853044E-2</v>
      </c>
      <c r="F41">
        <f t="shared" si="2"/>
        <v>5.337513382464109E-2</v>
      </c>
      <c r="G41">
        <f t="shared" si="3"/>
        <v>2.2857528414692442E-2</v>
      </c>
      <c r="H41">
        <f>'Risk-free rate'!C41</f>
        <v>1.6665139084048874E-5</v>
      </c>
    </row>
    <row r="42" spans="1:8" x14ac:dyDescent="0.2">
      <c r="A42" t="s">
        <v>76</v>
      </c>
      <c r="B42">
        <v>1974.87</v>
      </c>
      <c r="C42">
        <v>3904.501722</v>
      </c>
      <c r="D42">
        <f t="shared" si="0"/>
        <v>2.7582654303643341E-2</v>
      </c>
      <c r="E42">
        <f t="shared" si="1"/>
        <v>2.796596835821779E-2</v>
      </c>
      <c r="F42">
        <f t="shared" si="2"/>
        <v>2.7209106297621778E-2</v>
      </c>
      <c r="G42">
        <f t="shared" si="3"/>
        <v>2.7582061775095548E-2</v>
      </c>
      <c r="H42">
        <f>'Risk-free rate'!C42</f>
        <v>1.6665139084048874E-5</v>
      </c>
    </row>
    <row r="43" spans="1:8" x14ac:dyDescent="0.2">
      <c r="A43" t="s">
        <v>31</v>
      </c>
      <c r="B43">
        <v>2018.32</v>
      </c>
      <c r="C43">
        <v>3885.8226960000002</v>
      </c>
      <c r="D43">
        <f t="shared" si="0"/>
        <v>2.2001448196590178E-2</v>
      </c>
      <c r="E43">
        <f t="shared" si="1"/>
        <v>-4.7839717664234635E-3</v>
      </c>
      <c r="F43">
        <f t="shared" si="2"/>
        <v>2.1762908802612654E-2</v>
      </c>
      <c r="G43">
        <f t="shared" si="3"/>
        <v>-4.7954515867454839E-3</v>
      </c>
      <c r="H43">
        <f>'Risk-free rate'!C43</f>
        <v>3.3327223783574667E-5</v>
      </c>
    </row>
    <row r="44" spans="1:8" x14ac:dyDescent="0.2">
      <c r="A44" t="s">
        <v>32</v>
      </c>
      <c r="B44">
        <v>1785.15</v>
      </c>
      <c r="C44">
        <v>3453.3807350000002</v>
      </c>
      <c r="D44">
        <f t="shared" si="0"/>
        <v>-0.11552677474335084</v>
      </c>
      <c r="E44">
        <f t="shared" si="1"/>
        <v>-0.11128710567395378</v>
      </c>
      <c r="F44">
        <f t="shared" si="2"/>
        <v>-0.12276303689005151</v>
      </c>
      <c r="G44">
        <f t="shared" si="3"/>
        <v>-0.11798104914295802</v>
      </c>
      <c r="H44">
        <f>'Risk-free rate'!C44</f>
        <v>4.1657121104599071E-5</v>
      </c>
    </row>
    <row r="45" spans="1:8" x14ac:dyDescent="0.2">
      <c r="A45" t="s">
        <v>33</v>
      </c>
      <c r="B45">
        <v>1752.86</v>
      </c>
      <c r="C45">
        <v>3461.0799769999999</v>
      </c>
      <c r="D45">
        <f t="shared" si="0"/>
        <v>-1.8088115844607001E-2</v>
      </c>
      <c r="E45">
        <f t="shared" si="1"/>
        <v>2.2294796290394216E-3</v>
      </c>
      <c r="F45">
        <f t="shared" si="2"/>
        <v>-1.8253705656393223E-2</v>
      </c>
      <c r="G45">
        <f t="shared" si="3"/>
        <v>2.2269980271007752E-3</v>
      </c>
      <c r="H45">
        <f>'Risk-free rate'!C45</f>
        <v>4.1657121104599071E-5</v>
      </c>
    </row>
    <row r="46" spans="1:8" x14ac:dyDescent="0.2">
      <c r="A46" t="s">
        <v>34</v>
      </c>
      <c r="B46">
        <v>1701.36</v>
      </c>
      <c r="C46">
        <v>3367.2879349999998</v>
      </c>
      <c r="D46">
        <f t="shared" si="0"/>
        <v>-2.9380555206918981E-2</v>
      </c>
      <c r="E46">
        <f t="shared" si="1"/>
        <v>-2.7099068101077872E-2</v>
      </c>
      <c r="F46">
        <f t="shared" si="2"/>
        <v>-2.982080842529362E-2</v>
      </c>
      <c r="G46">
        <f t="shared" si="3"/>
        <v>-2.7473019144371259E-2</v>
      </c>
      <c r="H46">
        <f>'Risk-free rate'!C46</f>
        <v>3.3327223783574667E-5</v>
      </c>
    </row>
    <row r="47" spans="1:8" x14ac:dyDescent="0.2">
      <c r="A47" t="s">
        <v>35</v>
      </c>
      <c r="B47">
        <v>1765.49</v>
      </c>
      <c r="C47">
        <v>3460.9630109999998</v>
      </c>
      <c r="D47">
        <f t="shared" si="0"/>
        <v>3.7693374711995173E-2</v>
      </c>
      <c r="E47">
        <f t="shared" si="1"/>
        <v>2.7819146389689419E-2</v>
      </c>
      <c r="F47">
        <f t="shared" si="2"/>
        <v>3.7000341019714569E-2</v>
      </c>
      <c r="G47">
        <f t="shared" si="3"/>
        <v>2.7439223919402674E-2</v>
      </c>
      <c r="H47">
        <f>'Risk-free rate'!C47</f>
        <v>4.1657121104599071E-5</v>
      </c>
    </row>
    <row r="48" spans="1:8" x14ac:dyDescent="0.2">
      <c r="A48" t="s">
        <v>36</v>
      </c>
      <c r="B48">
        <v>1692.88</v>
      </c>
      <c r="C48">
        <v>3332.834773</v>
      </c>
      <c r="D48">
        <f t="shared" si="0"/>
        <v>-4.1127392395312296E-2</v>
      </c>
      <c r="E48">
        <f t="shared" si="1"/>
        <v>-3.7020978725507615E-2</v>
      </c>
      <c r="F48">
        <f t="shared" si="2"/>
        <v>-4.199705170807027E-2</v>
      </c>
      <c r="G48">
        <f t="shared" si="3"/>
        <v>-3.7723652182992978E-2</v>
      </c>
      <c r="H48">
        <f>'Risk-free rate'!C48</f>
        <v>4.1657121104599071E-5</v>
      </c>
    </row>
    <row r="49" spans="1:8" x14ac:dyDescent="0.2">
      <c r="A49" t="s">
        <v>37</v>
      </c>
      <c r="B49">
        <v>1665.76</v>
      </c>
      <c r="C49">
        <v>3282.2545730000002</v>
      </c>
      <c r="D49">
        <f t="shared" si="0"/>
        <v>-1.602003686026187E-2</v>
      </c>
      <c r="E49">
        <f t="shared" si="1"/>
        <v>-1.5176329894827305E-2</v>
      </c>
      <c r="F49">
        <f t="shared" si="2"/>
        <v>-1.6149744800073224E-2</v>
      </c>
      <c r="G49">
        <f t="shared" si="3"/>
        <v>-1.5292668956819674E-2</v>
      </c>
      <c r="H49">
        <f>'Risk-free rate'!C49</f>
        <v>4.99862552685304E-5</v>
      </c>
    </row>
    <row r="50" spans="1:8" x14ac:dyDescent="0.2">
      <c r="A50" t="s">
        <v>38</v>
      </c>
      <c r="B50">
        <v>1560.55</v>
      </c>
      <c r="C50">
        <v>3107.4786709999998</v>
      </c>
      <c r="D50">
        <f t="shared" si="0"/>
        <v>-6.3160359235424096E-2</v>
      </c>
      <c r="E50">
        <f t="shared" si="1"/>
        <v>-5.3248734402784027E-2</v>
      </c>
      <c r="F50">
        <f t="shared" si="2"/>
        <v>-6.5243152516414923E-2</v>
      </c>
      <c r="G50">
        <f t="shared" si="3"/>
        <v>-5.4718875420333088E-2</v>
      </c>
      <c r="H50">
        <f>'Risk-free rate'!C50</f>
        <v>1.2491414476678564E-4</v>
      </c>
    </row>
    <row r="51" spans="1:8" x14ac:dyDescent="0.2">
      <c r="A51" t="s">
        <v>39</v>
      </c>
      <c r="B51">
        <v>1544.53</v>
      </c>
      <c r="C51">
        <v>3069.2820790000001</v>
      </c>
      <c r="D51">
        <f t="shared" si="0"/>
        <v>-1.0265611483130935E-2</v>
      </c>
      <c r="E51">
        <f t="shared" si="1"/>
        <v>-1.2291827569554308E-2</v>
      </c>
      <c r="F51">
        <f t="shared" si="2"/>
        <v>-1.031866627829511E-2</v>
      </c>
      <c r="G51">
        <f t="shared" si="3"/>
        <v>-1.2367996899142052E-2</v>
      </c>
      <c r="H51">
        <f>'Risk-free rate'!C51</f>
        <v>2.7458493733023559E-4</v>
      </c>
    </row>
    <row r="52" spans="1:8" x14ac:dyDescent="0.2">
      <c r="A52" t="s">
        <v>40</v>
      </c>
      <c r="B52">
        <v>1387.86</v>
      </c>
      <c r="C52">
        <v>2814.1342180000001</v>
      </c>
      <c r="D52">
        <f t="shared" si="0"/>
        <v>-0.10143538811159386</v>
      </c>
      <c r="E52">
        <f t="shared" si="1"/>
        <v>-8.3129492315391684E-2</v>
      </c>
      <c r="F52">
        <f t="shared" si="2"/>
        <v>-0.10695666450546833</v>
      </c>
      <c r="G52">
        <f t="shared" si="3"/>
        <v>-8.6789029691049832E-2</v>
      </c>
      <c r="H52">
        <f>'Risk-free rate'!C52</f>
        <v>3.6592929423662213E-4</v>
      </c>
    </row>
    <row r="53" spans="1:8" x14ac:dyDescent="0.2">
      <c r="A53" t="s">
        <v>41</v>
      </c>
      <c r="B53">
        <v>1308.42</v>
      </c>
      <c r="C53">
        <v>2637.760053</v>
      </c>
      <c r="D53">
        <f t="shared" si="0"/>
        <v>-5.7239202801435185E-2</v>
      </c>
      <c r="E53">
        <f t="shared" si="1"/>
        <v>-6.2674396932406784E-2</v>
      </c>
      <c r="F53">
        <f t="shared" si="2"/>
        <v>-5.8942690033555623E-2</v>
      </c>
      <c r="G53">
        <f t="shared" si="3"/>
        <v>-6.4724561836636191E-2</v>
      </c>
      <c r="H53">
        <f>'Risk-free rate'!C53</f>
        <v>6.3113787510671315E-4</v>
      </c>
    </row>
    <row r="54" spans="1:8" x14ac:dyDescent="0.2">
      <c r="A54" t="s">
        <v>42</v>
      </c>
      <c r="B54">
        <v>1317.75</v>
      </c>
      <c r="C54">
        <v>2685.6858350000002</v>
      </c>
      <c r="D54">
        <f t="shared" si="0"/>
        <v>7.1307378364744703E-3</v>
      </c>
      <c r="E54">
        <f t="shared" si="1"/>
        <v>1.8169121162288013E-2</v>
      </c>
      <c r="F54">
        <f t="shared" si="2"/>
        <v>7.1054343426074336E-3</v>
      </c>
      <c r="G54">
        <f t="shared" si="3"/>
        <v>1.8006035137885148E-2</v>
      </c>
      <c r="H54">
        <f>'Risk-free rate'!C54</f>
        <v>8.1302127632687515E-4</v>
      </c>
    </row>
    <row r="55" spans="1:8" x14ac:dyDescent="0.2">
      <c r="A55" t="s">
        <v>43</v>
      </c>
      <c r="B55">
        <v>1397.64</v>
      </c>
      <c r="C55">
        <v>2895.8374050000002</v>
      </c>
      <c r="D55">
        <f t="shared" si="0"/>
        <v>6.0626067159931775E-2</v>
      </c>
      <c r="E55">
        <f t="shared" si="1"/>
        <v>7.824875391652053E-2</v>
      </c>
      <c r="F55">
        <f t="shared" si="2"/>
        <v>5.8859363167244522E-2</v>
      </c>
      <c r="G55">
        <f t="shared" si="3"/>
        <v>7.5338200891561458E-2</v>
      </c>
      <c r="H55">
        <f>'Risk-free rate'!C55</f>
        <v>1.2332669717645128E-3</v>
      </c>
    </row>
    <row r="56" spans="1:8" x14ac:dyDescent="0.2">
      <c r="A56" t="s">
        <v>44</v>
      </c>
      <c r="B56">
        <v>1295.1099999999999</v>
      </c>
      <c r="C56">
        <v>2662.0596230000001</v>
      </c>
      <c r="D56">
        <f t="shared" si="0"/>
        <v>-7.3359377235912099E-2</v>
      </c>
      <c r="E56">
        <f t="shared" si="1"/>
        <v>-8.0728904736279597E-2</v>
      </c>
      <c r="F56">
        <f t="shared" si="2"/>
        <v>-7.6189466291355382E-2</v>
      </c>
      <c r="G56">
        <f t="shared" si="3"/>
        <v>-8.4174210721698325E-2</v>
      </c>
      <c r="H56">
        <f>'Risk-free rate'!C56</f>
        <v>1.8396059010297172E-3</v>
      </c>
    </row>
    <row r="57" spans="1:8" x14ac:dyDescent="0.2">
      <c r="A57" t="s">
        <v>45</v>
      </c>
      <c r="B57">
        <v>1268.95</v>
      </c>
      <c r="C57">
        <v>2619.1207119999999</v>
      </c>
      <c r="D57">
        <f t="shared" si="0"/>
        <v>-2.0199056450803297E-2</v>
      </c>
      <c r="E57">
        <f t="shared" si="1"/>
        <v>-1.6129958408523666E-2</v>
      </c>
      <c r="F57">
        <f t="shared" si="2"/>
        <v>-2.0405846776292601E-2</v>
      </c>
      <c r="G57">
        <f t="shared" si="3"/>
        <v>-1.6261462205476973E-2</v>
      </c>
      <c r="H57">
        <f>'Risk-free rate'!C57</f>
        <v>2.1656835180154932E-3</v>
      </c>
    </row>
    <row r="58" spans="1:8" x14ac:dyDescent="0.2">
      <c r="A58" t="s">
        <v>46</v>
      </c>
      <c r="B58">
        <v>1119.03</v>
      </c>
      <c r="C58">
        <v>2298.1362049999998</v>
      </c>
      <c r="D58">
        <f t="shared" si="0"/>
        <v>-0.11814492296780808</v>
      </c>
      <c r="E58">
        <f t="shared" si="1"/>
        <v>-0.12255430058238573</v>
      </c>
      <c r="F58">
        <f t="shared" si="2"/>
        <v>-0.1257275482308855</v>
      </c>
      <c r="G58">
        <f t="shared" si="3"/>
        <v>-0.13074020656239235</v>
      </c>
      <c r="H58">
        <f>'Risk-free rate'!C58</f>
        <v>2.5716462189622202E-3</v>
      </c>
    </row>
    <row r="59" spans="1:8" x14ac:dyDescent="0.2">
      <c r="A59" t="s">
        <v>47</v>
      </c>
      <c r="B59">
        <v>952.34</v>
      </c>
      <c r="C59">
        <v>1987.3461500000001</v>
      </c>
      <c r="D59">
        <f t="shared" si="0"/>
        <v>-0.14895936659428249</v>
      </c>
      <c r="E59">
        <f t="shared" si="1"/>
        <v>-0.13523569852988751</v>
      </c>
      <c r="F59">
        <f t="shared" si="2"/>
        <v>-0.16129540371584894</v>
      </c>
      <c r="G59">
        <f t="shared" si="3"/>
        <v>-0.14529829303030789</v>
      </c>
      <c r="H59">
        <f>'Risk-free rate'!C59</f>
        <v>3.0483680766628662E-3</v>
      </c>
    </row>
    <row r="60" spans="1:8" x14ac:dyDescent="0.2">
      <c r="A60" t="s">
        <v>48</v>
      </c>
      <c r="B60">
        <v>1127.3900000000001</v>
      </c>
      <c r="C60">
        <v>2410.539839</v>
      </c>
      <c r="D60">
        <f t="shared" si="0"/>
        <v>0.18381040384736549</v>
      </c>
      <c r="E60">
        <f t="shared" si="1"/>
        <v>0.21294412601448415</v>
      </c>
      <c r="F60">
        <f t="shared" si="2"/>
        <v>0.1687383917536637</v>
      </c>
      <c r="G60">
        <f t="shared" si="3"/>
        <v>0.19305056625836237</v>
      </c>
      <c r="H60">
        <f>'Risk-free rate'!C60</f>
        <v>3.3942459274463044E-3</v>
      </c>
    </row>
    <row r="61" spans="1:8" x14ac:dyDescent="0.2">
      <c r="A61" t="s">
        <v>49</v>
      </c>
      <c r="B61">
        <v>1186.22</v>
      </c>
      <c r="C61">
        <v>2507.3919380000002</v>
      </c>
      <c r="D61">
        <f t="shared" si="0"/>
        <v>5.2182474565145978E-2</v>
      </c>
      <c r="E61">
        <f t="shared" si="1"/>
        <v>4.0178592957907211E-2</v>
      </c>
      <c r="F61">
        <f t="shared" si="2"/>
        <v>5.0866554183789194E-2</v>
      </c>
      <c r="G61">
        <f t="shared" si="3"/>
        <v>3.9392422408391088E-2</v>
      </c>
      <c r="H61">
        <f>'Risk-free rate'!C61</f>
        <v>3.474495003497502E-3</v>
      </c>
    </row>
    <row r="62" spans="1:8" x14ac:dyDescent="0.2">
      <c r="A62" t="s">
        <v>50</v>
      </c>
      <c r="B62">
        <v>1303.73</v>
      </c>
      <c r="C62">
        <v>2784.5936929999998</v>
      </c>
      <c r="D62">
        <f t="shared" si="0"/>
        <v>9.9062568494882902E-2</v>
      </c>
      <c r="E62">
        <f t="shared" si="1"/>
        <v>0.11055381920909708</v>
      </c>
      <c r="F62">
        <f t="shared" si="2"/>
        <v>9.4457606007352646E-2</v>
      </c>
      <c r="G62">
        <f t="shared" si="3"/>
        <v>0.10485882712136238</v>
      </c>
      <c r="H62">
        <f>'Risk-free rate'!C62</f>
        <v>3.7068189305531352E-3</v>
      </c>
    </row>
    <row r="63" spans="1:8" x14ac:dyDescent="0.2">
      <c r="A63" t="s">
        <v>51</v>
      </c>
      <c r="B63">
        <v>1176.22</v>
      </c>
      <c r="C63">
        <v>2566.704718</v>
      </c>
      <c r="D63">
        <f t="shared" si="0"/>
        <v>-9.7803993158092545E-2</v>
      </c>
      <c r="E63">
        <f t="shared" si="1"/>
        <v>-7.824803149836046E-2</v>
      </c>
      <c r="F63">
        <f t="shared" si="2"/>
        <v>-0.10292348004079367</v>
      </c>
      <c r="G63">
        <f t="shared" si="3"/>
        <v>-8.1479106256776498E-2</v>
      </c>
      <c r="H63">
        <f>'Risk-free rate'!C63</f>
        <v>3.7947872834442897E-3</v>
      </c>
    </row>
    <row r="64" spans="1:8" x14ac:dyDescent="0.2">
      <c r="A64" t="s">
        <v>52</v>
      </c>
      <c r="B64">
        <v>1199.74</v>
      </c>
      <c r="C64">
        <v>2632.9079900000002</v>
      </c>
      <c r="D64">
        <f t="shared" si="0"/>
        <v>1.9996259203210267E-2</v>
      </c>
      <c r="E64">
        <f t="shared" si="1"/>
        <v>2.5793100209667436E-2</v>
      </c>
      <c r="F64">
        <f t="shared" si="2"/>
        <v>1.9798959841621624E-2</v>
      </c>
      <c r="G64">
        <f t="shared" si="3"/>
        <v>2.5466069697404621E-2</v>
      </c>
      <c r="H64">
        <f>'Risk-free rate'!C64</f>
        <v>3.8267547616503972E-3</v>
      </c>
    </row>
    <row r="65" spans="1:8" x14ac:dyDescent="0.2">
      <c r="A65" t="s">
        <v>53</v>
      </c>
      <c r="B65">
        <v>1132.26</v>
      </c>
      <c r="C65">
        <v>2530.9014710000001</v>
      </c>
      <c r="D65">
        <f t="shared" si="0"/>
        <v>-5.6245519862636921E-2</v>
      </c>
      <c r="E65">
        <f t="shared" si="1"/>
        <v>-3.8742910647629587E-2</v>
      </c>
      <c r="F65">
        <f t="shared" si="2"/>
        <v>-5.7889231264752525E-2</v>
      </c>
      <c r="G65">
        <f t="shared" si="3"/>
        <v>-3.9513383050472591E-2</v>
      </c>
      <c r="H65">
        <f>'Risk-free rate'!C65</f>
        <v>4.0103507726252374E-3</v>
      </c>
    </row>
    <row r="66" spans="1:8" x14ac:dyDescent="0.2">
      <c r="A66" t="s">
        <v>54</v>
      </c>
      <c r="B66">
        <v>1034.03</v>
      </c>
      <c r="C66">
        <v>2329.8747410000001</v>
      </c>
      <c r="D66">
        <f t="shared" si="0"/>
        <v>-8.6755692155512001E-2</v>
      </c>
      <c r="E66">
        <f t="shared" si="1"/>
        <v>-7.9428904010463569E-2</v>
      </c>
      <c r="F66">
        <f t="shared" si="2"/>
        <v>-9.07518461819177E-2</v>
      </c>
      <c r="G66">
        <f t="shared" si="3"/>
        <v>-8.2761045018311205E-2</v>
      </c>
      <c r="H66">
        <f>'Risk-free rate'!C66</f>
        <v>4.1856194553282489E-3</v>
      </c>
    </row>
    <row r="67" spans="1:8" x14ac:dyDescent="0.2">
      <c r="A67" t="s">
        <v>55</v>
      </c>
      <c r="B67">
        <v>1061.74</v>
      </c>
      <c r="C67">
        <v>2373.0468510000001</v>
      </c>
      <c r="D67">
        <f t="shared" si="0"/>
        <v>2.6798061951780933E-2</v>
      </c>
      <c r="E67">
        <f t="shared" si="1"/>
        <v>1.8529798722771756E-2</v>
      </c>
      <c r="F67">
        <f t="shared" si="2"/>
        <v>2.6445282548887946E-2</v>
      </c>
      <c r="G67">
        <f t="shared" si="3"/>
        <v>1.8360213716498375E-2</v>
      </c>
      <c r="H67">
        <f>'Risk-free rate'!C67</f>
        <v>4.2015362976310922E-3</v>
      </c>
    </row>
    <row r="68" spans="1:8" x14ac:dyDescent="0.2">
      <c r="A68" t="s">
        <v>56</v>
      </c>
      <c r="B68">
        <v>1152.8</v>
      </c>
      <c r="C68">
        <v>2586.3922219999999</v>
      </c>
      <c r="D68">
        <f t="shared" ref="D68:D85" si="4">(B68-B67)/B67</f>
        <v>8.5764876523442599E-2</v>
      </c>
      <c r="E68">
        <f t="shared" ref="E68:E85" si="5">(C68-C67)/C67</f>
        <v>8.9903564655748919E-2</v>
      </c>
      <c r="F68">
        <f t="shared" ref="F68:F85" si="6">LN(B68/B67)</f>
        <v>8.2284693949282742E-2</v>
      </c>
      <c r="G68">
        <f t="shared" ref="G68:G85" si="7">LN(C68/C67)</f>
        <v>8.6089219534213016E-2</v>
      </c>
      <c r="H68">
        <f>'Risk-free rate'!C68</f>
        <v>4.2731277661580691E-3</v>
      </c>
    </row>
    <row r="69" spans="1:8" x14ac:dyDescent="0.2">
      <c r="A69" t="s">
        <v>57</v>
      </c>
      <c r="B69">
        <v>1060.42</v>
      </c>
      <c r="C69">
        <v>2363.7522819999999</v>
      </c>
      <c r="D69">
        <f t="shared" si="4"/>
        <v>-8.0135322692574507E-2</v>
      </c>
      <c r="E69">
        <f t="shared" si="5"/>
        <v>-8.6081274953664022E-2</v>
      </c>
      <c r="F69">
        <f t="shared" si="6"/>
        <v>-8.3528709641061988E-2</v>
      </c>
      <c r="G69">
        <f t="shared" si="7"/>
        <v>-9.0013633750585395E-2</v>
      </c>
      <c r="H69">
        <f>'Risk-free rate'!C69</f>
        <v>4.3128765598297036E-3</v>
      </c>
    </row>
    <row r="70" spans="1:8" x14ac:dyDescent="0.2">
      <c r="A70" t="s">
        <v>58</v>
      </c>
      <c r="B70">
        <v>1007.35</v>
      </c>
      <c r="C70">
        <v>2306.3368559999999</v>
      </c>
      <c r="D70">
        <f t="shared" si="4"/>
        <v>-5.0046208106222109E-2</v>
      </c>
      <c r="E70">
        <f t="shared" si="5"/>
        <v>-2.4289950532134494E-2</v>
      </c>
      <c r="F70">
        <f t="shared" si="6"/>
        <v>-5.1341935682331835E-2</v>
      </c>
      <c r="G70">
        <f t="shared" si="7"/>
        <v>-2.4589817169439639E-2</v>
      </c>
      <c r="H70">
        <f>'Risk-free rate'!C70</f>
        <v>4.3287712331259165E-3</v>
      </c>
    </row>
    <row r="71" spans="1:8" x14ac:dyDescent="0.2">
      <c r="A71" t="s">
        <v>59</v>
      </c>
      <c r="B71">
        <v>974.11</v>
      </c>
      <c r="C71">
        <v>2218.5506989999999</v>
      </c>
      <c r="D71">
        <f t="shared" si="4"/>
        <v>-3.299746860574776E-2</v>
      </c>
      <c r="E71">
        <f t="shared" si="5"/>
        <v>-3.8063024822944602E-2</v>
      </c>
      <c r="F71">
        <f t="shared" si="6"/>
        <v>-3.3554165751243065E-2</v>
      </c>
      <c r="G71">
        <f t="shared" si="7"/>
        <v>-3.8806344831555796E-2</v>
      </c>
      <c r="H71">
        <f>'Risk-free rate'!C71</f>
        <v>4.3446631398347257E-3</v>
      </c>
    </row>
    <row r="72" spans="1:8" x14ac:dyDescent="0.2">
      <c r="A72" t="s">
        <v>60</v>
      </c>
      <c r="B72">
        <v>994.8</v>
      </c>
      <c r="C72">
        <v>2263.052036</v>
      </c>
      <c r="D72">
        <f t="shared" si="4"/>
        <v>2.1239901037870407E-2</v>
      </c>
      <c r="E72">
        <f t="shared" si="5"/>
        <v>2.0058742412359064E-2</v>
      </c>
      <c r="F72">
        <f t="shared" si="6"/>
        <v>2.1017478318574055E-2</v>
      </c>
      <c r="G72">
        <f t="shared" si="7"/>
        <v>1.9860216238256768E-2</v>
      </c>
      <c r="H72">
        <f>'Risk-free rate'!C72</f>
        <v>4.2890293603305985E-3</v>
      </c>
    </row>
    <row r="73" spans="1:8" x14ac:dyDescent="0.2">
      <c r="A73" t="s">
        <v>61</v>
      </c>
      <c r="B73">
        <v>953.58</v>
      </c>
      <c r="C73">
        <v>2218.2742450000001</v>
      </c>
      <c r="D73">
        <f t="shared" si="4"/>
        <v>-4.1435464414957698E-2</v>
      </c>
      <c r="E73">
        <f t="shared" si="5"/>
        <v>-1.9786461065714522E-2</v>
      </c>
      <c r="F73">
        <f t="shared" si="6"/>
        <v>-4.2318388992466309E-2</v>
      </c>
      <c r="G73">
        <f t="shared" si="7"/>
        <v>-1.9984834181874921E-2</v>
      </c>
      <c r="H73">
        <f>'Risk-free rate'!C73</f>
        <v>4.2651759303415915E-3</v>
      </c>
    </row>
    <row r="74" spans="1:8" x14ac:dyDescent="0.2">
      <c r="A74" t="s">
        <v>62</v>
      </c>
      <c r="B74">
        <v>841.38</v>
      </c>
      <c r="C74">
        <v>1997.7321449999999</v>
      </c>
      <c r="D74">
        <f t="shared" si="4"/>
        <v>-0.11766186371358464</v>
      </c>
      <c r="E74">
        <f t="shared" si="5"/>
        <v>-9.9420574573726841E-2</v>
      </c>
      <c r="F74">
        <f t="shared" si="6"/>
        <v>-0.12517992197016889</v>
      </c>
      <c r="G74">
        <f t="shared" si="7"/>
        <v>-0.10471691678282892</v>
      </c>
      <c r="H74">
        <f>'Risk-free rate'!C74</f>
        <v>4.2492701806178257E-3</v>
      </c>
    </row>
    <row r="75" spans="1:8" x14ac:dyDescent="0.2">
      <c r="A75" t="s">
        <v>63</v>
      </c>
      <c r="B75">
        <v>921.22</v>
      </c>
      <c r="C75">
        <v>2180.8717470000001</v>
      </c>
      <c r="D75">
        <f t="shared" si="4"/>
        <v>9.4891725498585697E-2</v>
      </c>
      <c r="E75">
        <f t="shared" si="5"/>
        <v>9.1673752388862023E-2</v>
      </c>
      <c r="F75">
        <f t="shared" si="6"/>
        <v>9.0655477556223857E-2</v>
      </c>
      <c r="G75">
        <f t="shared" si="7"/>
        <v>8.7712071135929659E-2</v>
      </c>
      <c r="H75">
        <f>'Risk-free rate'!C75</f>
        <v>4.2651759303415915E-3</v>
      </c>
    </row>
    <row r="76" spans="1:8" x14ac:dyDescent="0.2">
      <c r="A76" t="s">
        <v>77</v>
      </c>
      <c r="B76">
        <v>927.21</v>
      </c>
      <c r="C76">
        <v>2195.0081879999998</v>
      </c>
      <c r="D76">
        <f t="shared" si="4"/>
        <v>6.5022470202557572E-3</v>
      </c>
      <c r="E76">
        <f t="shared" si="5"/>
        <v>6.4820139100090091E-3</v>
      </c>
      <c r="F76">
        <f t="shared" si="6"/>
        <v>6.4811986041647318E-3</v>
      </c>
      <c r="G76">
        <f t="shared" si="7"/>
        <v>6.461096002629116E-3</v>
      </c>
      <c r="H76">
        <f>'Risk-free rate'!C76</f>
        <v>4.2651759303415915E-3</v>
      </c>
    </row>
    <row r="77" spans="1:8" x14ac:dyDescent="0.2">
      <c r="A77" t="s">
        <v>64</v>
      </c>
      <c r="B77">
        <v>980.27</v>
      </c>
      <c r="C77">
        <v>2299.277337</v>
      </c>
      <c r="D77">
        <f t="shared" si="4"/>
        <v>5.7225439760140578E-2</v>
      </c>
      <c r="E77">
        <f t="shared" si="5"/>
        <v>4.7502851957470789E-2</v>
      </c>
      <c r="F77">
        <f t="shared" si="6"/>
        <v>5.5647966795729538E-2</v>
      </c>
      <c r="G77">
        <f t="shared" si="7"/>
        <v>4.6409095442879675E-2</v>
      </c>
      <c r="H77">
        <f>'Risk-free rate'!C77</f>
        <v>4.2651759303415915E-3</v>
      </c>
    </row>
    <row r="78" spans="1:8" x14ac:dyDescent="0.2">
      <c r="A78" t="s">
        <v>65</v>
      </c>
      <c r="B78">
        <v>982.37</v>
      </c>
      <c r="C78">
        <v>2326.2687519999999</v>
      </c>
      <c r="D78">
        <f t="shared" si="4"/>
        <v>2.14226692645906E-3</v>
      </c>
      <c r="E78">
        <f t="shared" si="5"/>
        <v>1.1739086262302406E-2</v>
      </c>
      <c r="F78">
        <f t="shared" si="6"/>
        <v>2.1399755445844471E-3</v>
      </c>
      <c r="G78">
        <f t="shared" si="7"/>
        <v>1.167071772509932E-2</v>
      </c>
      <c r="H78">
        <f>'Risk-free rate'!C78</f>
        <v>4.2731277661580691E-3</v>
      </c>
    </row>
    <row r="79" spans="1:8" x14ac:dyDescent="0.2">
      <c r="A79" t="s">
        <v>66</v>
      </c>
      <c r="B79">
        <v>969.49</v>
      </c>
      <c r="C79">
        <v>2268.8063520000001</v>
      </c>
      <c r="D79">
        <f t="shared" si="4"/>
        <v>-1.3111149566863805E-2</v>
      </c>
      <c r="E79">
        <f t="shared" si="5"/>
        <v>-2.4701531132461298E-2</v>
      </c>
      <c r="F79">
        <f t="shared" si="6"/>
        <v>-1.3197859432958332E-2</v>
      </c>
      <c r="G79">
        <f t="shared" si="7"/>
        <v>-2.5011732914619042E-2</v>
      </c>
      <c r="H79">
        <f>'Risk-free rate'!C79</f>
        <v>4.2651759303415915E-3</v>
      </c>
    </row>
    <row r="80" spans="1:8" x14ac:dyDescent="0.2">
      <c r="A80" t="s">
        <v>67</v>
      </c>
      <c r="B80">
        <v>953.52</v>
      </c>
      <c r="C80">
        <v>2252.9079879999999</v>
      </c>
      <c r="D80">
        <f t="shared" si="4"/>
        <v>-1.6472578365945009E-2</v>
      </c>
      <c r="E80">
        <f t="shared" si="5"/>
        <v>-7.0073693094103821E-3</v>
      </c>
      <c r="F80">
        <f t="shared" si="6"/>
        <v>-1.6609759859905333E-2</v>
      </c>
      <c r="G80">
        <f t="shared" si="7"/>
        <v>-7.0320362227200301E-3</v>
      </c>
      <c r="H80">
        <f>'Risk-free rate'!C80</f>
        <v>4.2333616592649115E-3</v>
      </c>
    </row>
    <row r="81" spans="1:8" x14ac:dyDescent="0.2">
      <c r="A81" t="s">
        <v>68</v>
      </c>
      <c r="B81">
        <v>955.56</v>
      </c>
      <c r="C81">
        <v>2252.3989409999999</v>
      </c>
      <c r="D81">
        <f t="shared" si="4"/>
        <v>2.1394412282909258E-3</v>
      </c>
      <c r="E81">
        <f t="shared" si="5"/>
        <v>-2.2595108309412661E-4</v>
      </c>
      <c r="F81">
        <f t="shared" si="6"/>
        <v>2.1371558829005395E-3</v>
      </c>
      <c r="G81">
        <f t="shared" si="7"/>
        <v>-2.2597661388594402E-4</v>
      </c>
      <c r="H81">
        <f>'Risk-free rate'!C81</f>
        <v>4.1139593013970188E-3</v>
      </c>
    </row>
    <row r="82" spans="1:8" x14ac:dyDescent="0.2">
      <c r="A82" t="s">
        <v>69</v>
      </c>
      <c r="B82">
        <v>1157.43</v>
      </c>
      <c r="C82">
        <v>2774.7734930000001</v>
      </c>
      <c r="D82">
        <f t="shared" si="4"/>
        <v>0.21125831972874559</v>
      </c>
      <c r="E82">
        <f t="shared" si="5"/>
        <v>0.23191919623620541</v>
      </c>
      <c r="F82">
        <f t="shared" si="6"/>
        <v>0.19165975291235213</v>
      </c>
      <c r="G82">
        <f t="shared" si="7"/>
        <v>0.2085732754897634</v>
      </c>
      <c r="H82">
        <f>'Risk-free rate'!C82</f>
        <v>3.8507230235700352E-3</v>
      </c>
    </row>
    <row r="83" spans="1:8" x14ac:dyDescent="0.2">
      <c r="A83" t="s">
        <v>70</v>
      </c>
      <c r="B83">
        <v>1095.02</v>
      </c>
      <c r="C83">
        <v>2628.4114380000001</v>
      </c>
      <c r="D83">
        <f t="shared" si="4"/>
        <v>-5.392118745842088E-2</v>
      </c>
      <c r="E83">
        <f t="shared" si="5"/>
        <v>-5.274738834331226E-2</v>
      </c>
      <c r="F83">
        <f t="shared" si="6"/>
        <v>-5.5429402045722165E-2</v>
      </c>
      <c r="G83">
        <f t="shared" si="7"/>
        <v>-5.4189471993865042E-2</v>
      </c>
      <c r="H83">
        <f>'Risk-free rate'!C83</f>
        <v>3.6828128357737633E-3</v>
      </c>
    </row>
    <row r="84" spans="1:8" x14ac:dyDescent="0.2">
      <c r="A84" t="s">
        <v>71</v>
      </c>
      <c r="B84">
        <v>1050.71</v>
      </c>
      <c r="C84">
        <v>2543.5494910000002</v>
      </c>
      <c r="D84">
        <f t="shared" si="4"/>
        <v>-4.046501433763762E-2</v>
      </c>
      <c r="E84">
        <f t="shared" si="5"/>
        <v>-3.2286401502107549E-2</v>
      </c>
      <c r="F84">
        <f t="shared" si="6"/>
        <v>-4.1306501809997377E-2</v>
      </c>
      <c r="G84">
        <f t="shared" si="7"/>
        <v>-3.2819104803881741E-2</v>
      </c>
      <c r="H84">
        <f>'Risk-free rate'!C84</f>
        <v>3.6107566318024364E-3</v>
      </c>
    </row>
    <row r="85" spans="1:8" x14ac:dyDescent="0.2">
      <c r="A85" t="s">
        <v>72</v>
      </c>
      <c r="B85">
        <v>1068.75</v>
      </c>
      <c r="C85">
        <v>2581.7337379999999</v>
      </c>
      <c r="D85">
        <f t="shared" si="4"/>
        <v>1.7169342634980121E-2</v>
      </c>
      <c r="E85">
        <f t="shared" si="5"/>
        <v>1.5012189515128126E-2</v>
      </c>
      <c r="F85">
        <f t="shared" si="6"/>
        <v>1.7023615136983732E-2</v>
      </c>
      <c r="G85">
        <f t="shared" si="7"/>
        <v>1.4900621796149099E-2</v>
      </c>
      <c r="H85">
        <f>'Risk-free rate'!C85</f>
        <v>3.4905363507502507E-3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68C02-4142-4EF0-B0E9-AA71166C392D}">
  <dimension ref="A1:M85"/>
  <sheetViews>
    <sheetView workbookViewId="0">
      <selection activeCell="F3" sqref="F3"/>
    </sheetView>
  </sheetViews>
  <sheetFormatPr baseColWidth="10" defaultRowHeight="15" x14ac:dyDescent="0.2"/>
  <sheetData>
    <row r="1" spans="1:13" ht="48" x14ac:dyDescent="0.2">
      <c r="A1" s="3" t="s">
        <v>0</v>
      </c>
      <c r="B1" s="3" t="s">
        <v>3</v>
      </c>
      <c r="C1" s="3" t="s">
        <v>100</v>
      </c>
      <c r="D1" s="7" t="s">
        <v>101</v>
      </c>
      <c r="E1" s="7" t="s">
        <v>102</v>
      </c>
      <c r="F1" s="9" t="s">
        <v>114</v>
      </c>
      <c r="G1" s="7"/>
      <c r="H1" s="7" t="s">
        <v>95</v>
      </c>
      <c r="J1" s="7" t="s">
        <v>96</v>
      </c>
      <c r="K1" s="7" t="s">
        <v>97</v>
      </c>
      <c r="L1" s="7" t="s">
        <v>98</v>
      </c>
      <c r="M1" s="7" t="s">
        <v>99</v>
      </c>
    </row>
    <row r="2" spans="1:13" x14ac:dyDescent="0.2">
      <c r="A2" t="s">
        <v>81</v>
      </c>
      <c r="B2">
        <v>23.92</v>
      </c>
      <c r="C2">
        <v>6241.6213879999996</v>
      </c>
      <c r="D2" s="7"/>
      <c r="E2" s="7"/>
      <c r="F2" s="7"/>
      <c r="G2" s="7"/>
      <c r="H2">
        <f>'Risk-free rate'!C2</f>
        <v>1.1674742711142994E-3</v>
      </c>
    </row>
    <row r="3" spans="1:13" x14ac:dyDescent="0.2">
      <c r="A3" t="s">
        <v>82</v>
      </c>
      <c r="B3">
        <v>22.99</v>
      </c>
      <c r="C3">
        <v>5983.0467289999997</v>
      </c>
      <c r="D3">
        <f>(B3-B2)/B2</f>
        <v>-3.8879598662207492E-2</v>
      </c>
      <c r="E3">
        <f>(C3-C2)/C2</f>
        <v>-4.1427482207929127E-2</v>
      </c>
      <c r="F3">
        <f>LN(B3/B2)</f>
        <v>-3.9655590307340921E-2</v>
      </c>
      <c r="H3">
        <f>'Risk-free rate'!C3</f>
        <v>1.2990121499387719E-3</v>
      </c>
    </row>
    <row r="4" spans="1:13" x14ac:dyDescent="0.2">
      <c r="A4" t="s">
        <v>83</v>
      </c>
      <c r="B4">
        <v>22.27</v>
      </c>
      <c r="C4">
        <v>5852.6375939999998</v>
      </c>
      <c r="D4">
        <f>(B4-B3)/B3</f>
        <v>-3.131796433231835E-2</v>
      </c>
      <c r="E4">
        <f>(C4-C3)/C3</f>
        <v>-2.1796442666560341E-2</v>
      </c>
      <c r="F4">
        <f t="shared" ref="F4:F67" si="0">LN(B4/B3)</f>
        <v>-3.1818857505813897E-2</v>
      </c>
      <c r="H4">
        <f>'Risk-free rate'!C4</f>
        <v>1.4057468926966799E-3</v>
      </c>
    </row>
    <row r="5" spans="1:13" x14ac:dyDescent="0.2">
      <c r="A5" t="s">
        <v>84</v>
      </c>
      <c r="B5">
        <v>22.97</v>
      </c>
      <c r="C5">
        <v>5919.891267</v>
      </c>
      <c r="D5">
        <f t="shared" ref="D5:D67" si="1">(B5-B4)/B4</f>
        <v>3.1432420296362791E-2</v>
      </c>
      <c r="E5">
        <f t="shared" ref="E5:E67" si="2">(C5-C4)/C4</f>
        <v>1.1491173324818062E-2</v>
      </c>
      <c r="F5">
        <f t="shared" si="0"/>
        <v>3.0948535431730539E-2</v>
      </c>
      <c r="H5">
        <f>'Risk-free rate'!C5</f>
        <v>1.4549669057570824E-3</v>
      </c>
    </row>
    <row r="6" spans="1:13" x14ac:dyDescent="0.2">
      <c r="A6" t="s">
        <v>85</v>
      </c>
      <c r="B6">
        <v>23.26</v>
      </c>
      <c r="C6">
        <v>5956.9878559999997</v>
      </c>
      <c r="D6">
        <f t="shared" si="1"/>
        <v>1.2625163256421537E-2</v>
      </c>
      <c r="E6">
        <f t="shared" si="2"/>
        <v>6.2664308053750895E-3</v>
      </c>
      <c r="F6">
        <f t="shared" si="0"/>
        <v>1.2546130389511663E-2</v>
      </c>
      <c r="H6">
        <f>'Risk-free rate'!C6</f>
        <v>1.5369411743291206E-3</v>
      </c>
    </row>
    <row r="7" spans="1:13" x14ac:dyDescent="0.2">
      <c r="A7" t="s">
        <v>86</v>
      </c>
      <c r="B7">
        <v>23</v>
      </c>
      <c r="C7">
        <v>5954.146307</v>
      </c>
      <c r="D7">
        <f t="shared" si="1"/>
        <v>-1.1177987962166876E-2</v>
      </c>
      <c r="E7">
        <f t="shared" si="2"/>
        <v>-4.7701104462344887E-4</v>
      </c>
      <c r="F7">
        <f t="shared" si="0"/>
        <v>-1.1240931161368713E-2</v>
      </c>
      <c r="H7">
        <f>'Risk-free rate'!C7</f>
        <v>1.5697102274137009E-3</v>
      </c>
    </row>
    <row r="8" spans="1:13" x14ac:dyDescent="0.2">
      <c r="A8" t="s">
        <v>87</v>
      </c>
      <c r="B8">
        <v>23.57</v>
      </c>
      <c r="C8">
        <v>6140.1154040000001</v>
      </c>
      <c r="D8">
        <f t="shared" si="1"/>
        <v>2.4782608695652186E-2</v>
      </c>
      <c r="E8">
        <f t="shared" si="2"/>
        <v>3.1233545064447834E-2</v>
      </c>
      <c r="F8">
        <f t="shared" si="0"/>
        <v>2.4480501018890068E-2</v>
      </c>
      <c r="H8">
        <f>'Risk-free rate'!C8</f>
        <v>1.6188417051281601E-3</v>
      </c>
    </row>
    <row r="9" spans="1:13" x14ac:dyDescent="0.2">
      <c r="A9" t="s">
        <v>88</v>
      </c>
      <c r="B9">
        <v>24.02</v>
      </c>
      <c r="C9">
        <v>6216.0861050000003</v>
      </c>
      <c r="D9">
        <f t="shared" si="1"/>
        <v>1.9092066185829412E-2</v>
      </c>
      <c r="E9">
        <f t="shared" si="2"/>
        <v>1.2372845785684875E-2</v>
      </c>
      <c r="F9">
        <f t="shared" si="0"/>
        <v>1.8912099703797664E-2</v>
      </c>
      <c r="H9">
        <f>'Risk-free rate'!C9</f>
        <v>1.6761282769228725E-3</v>
      </c>
    </row>
    <row r="10" spans="1:13" x14ac:dyDescent="0.2">
      <c r="A10" t="s">
        <v>89</v>
      </c>
      <c r="B10">
        <v>23.94</v>
      </c>
      <c r="C10">
        <v>6250.6981239999996</v>
      </c>
      <c r="D10">
        <f t="shared" si="1"/>
        <v>-3.3305578684428932E-3</v>
      </c>
      <c r="E10">
        <f t="shared" si="2"/>
        <v>5.5681369941382487E-3</v>
      </c>
      <c r="F10">
        <f t="shared" si="0"/>
        <v>-3.336116522010369E-3</v>
      </c>
      <c r="H10">
        <f>'Risk-free rate'!C10</f>
        <v>1.7579037712718293E-3</v>
      </c>
    </row>
    <row r="11" spans="1:13" x14ac:dyDescent="0.2">
      <c r="A11" t="s">
        <v>90</v>
      </c>
      <c r="B11">
        <v>21.94</v>
      </c>
      <c r="C11">
        <v>5791.7225600000002</v>
      </c>
      <c r="D11">
        <f t="shared" si="1"/>
        <v>-8.3542188805346695E-2</v>
      </c>
      <c r="E11">
        <f t="shared" si="2"/>
        <v>-7.3427888356618939E-2</v>
      </c>
      <c r="F11">
        <f t="shared" si="0"/>
        <v>-8.7239245282742892E-2</v>
      </c>
      <c r="H11">
        <f>'Risk-free rate'!C11</f>
        <v>1.855937535336194E-3</v>
      </c>
    </row>
    <row r="12" spans="1:13" x14ac:dyDescent="0.2">
      <c r="A12" t="s">
        <v>91</v>
      </c>
      <c r="B12">
        <v>21.75</v>
      </c>
      <c r="C12">
        <v>5857.5160020000003</v>
      </c>
      <c r="D12">
        <f t="shared" si="1"/>
        <v>-8.6599817684594928E-3</v>
      </c>
      <c r="E12">
        <f t="shared" si="2"/>
        <v>1.135990913211149E-2</v>
      </c>
      <c r="F12">
        <f t="shared" si="0"/>
        <v>-8.6976973123911554E-3</v>
      </c>
      <c r="H12">
        <f>'Risk-free rate'!C12</f>
        <v>1.921234803683225E-3</v>
      </c>
    </row>
    <row r="13" spans="1:13" x14ac:dyDescent="0.2">
      <c r="A13" t="s">
        <v>92</v>
      </c>
      <c r="B13">
        <v>19.920000000000002</v>
      </c>
      <c r="C13">
        <v>5412.122265</v>
      </c>
      <c r="D13">
        <f t="shared" si="1"/>
        <v>-8.413793103448268E-2</v>
      </c>
      <c r="E13">
        <f t="shared" si="2"/>
        <v>-7.6037988944106058E-2</v>
      </c>
      <c r="F13">
        <f t="shared" si="0"/>
        <v>-8.7889505378240793E-2</v>
      </c>
      <c r="H13">
        <f>'Risk-free rate'!C13</f>
        <v>1.9538658918776264E-3</v>
      </c>
    </row>
    <row r="14" spans="1:13" x14ac:dyDescent="0.2">
      <c r="A14" t="s">
        <v>4</v>
      </c>
      <c r="B14">
        <v>21.75</v>
      </c>
      <c r="C14">
        <v>5833.2166969999998</v>
      </c>
      <c r="D14">
        <f t="shared" si="1"/>
        <v>9.1867469879517979E-2</v>
      </c>
      <c r="E14">
        <f t="shared" si="2"/>
        <v>7.7805786968857371E-2</v>
      </c>
      <c r="F14">
        <f t="shared" si="0"/>
        <v>8.7889505378240751E-2</v>
      </c>
      <c r="H14">
        <f>'Risk-free rate'!C14</f>
        <v>1.9538658918776264E-3</v>
      </c>
    </row>
    <row r="15" spans="1:13" x14ac:dyDescent="0.2">
      <c r="A15" t="s">
        <v>5</v>
      </c>
      <c r="B15">
        <v>22.36</v>
      </c>
      <c r="C15">
        <v>6008.6205250000003</v>
      </c>
      <c r="D15">
        <f t="shared" si="1"/>
        <v>2.8045977011494225E-2</v>
      </c>
      <c r="E15">
        <f t="shared" si="2"/>
        <v>3.0069828897357768E-2</v>
      </c>
      <c r="F15">
        <f t="shared" si="0"/>
        <v>2.7659890752205308E-2</v>
      </c>
      <c r="H15">
        <f>'Risk-free rate'!C15</f>
        <v>1.970177053312705E-3</v>
      </c>
    </row>
    <row r="16" spans="1:13" x14ac:dyDescent="0.2">
      <c r="A16" t="s">
        <v>6</v>
      </c>
      <c r="B16">
        <v>22.32</v>
      </c>
      <c r="C16">
        <v>6087.5405780000001</v>
      </c>
      <c r="D16">
        <f t="shared" si="1"/>
        <v>-1.7889087656529135E-3</v>
      </c>
      <c r="E16">
        <f t="shared" si="2"/>
        <v>1.3134471160499825E-2</v>
      </c>
      <c r="F16">
        <f t="shared" si="0"/>
        <v>-1.7905107737882331E-3</v>
      </c>
      <c r="H16">
        <f>'Risk-free rate'!C16</f>
        <v>1.9783315388433032E-3</v>
      </c>
    </row>
    <row r="17" spans="1:8" x14ac:dyDescent="0.2">
      <c r="A17" t="s">
        <v>7</v>
      </c>
      <c r="B17">
        <v>23.04</v>
      </c>
      <c r="C17">
        <v>6303.4005770000003</v>
      </c>
      <c r="D17">
        <f t="shared" si="1"/>
        <v>3.2258064516128983E-2</v>
      </c>
      <c r="E17">
        <f t="shared" si="2"/>
        <v>3.5459311726003945E-2</v>
      </c>
      <c r="F17">
        <f t="shared" si="0"/>
        <v>3.174869831458027E-2</v>
      </c>
      <c r="H17">
        <f>'Risk-free rate'!C17</f>
        <v>1.9620218377029985E-3</v>
      </c>
    </row>
    <row r="18" spans="1:8" x14ac:dyDescent="0.2">
      <c r="A18" t="s">
        <v>8</v>
      </c>
      <c r="B18">
        <v>21.37</v>
      </c>
      <c r="C18">
        <v>5939.6889540000002</v>
      </c>
      <c r="D18">
        <f t="shared" si="1"/>
        <v>-7.2482638888888812E-2</v>
      </c>
      <c r="E18">
        <f t="shared" si="2"/>
        <v>-5.7700858220421508E-2</v>
      </c>
      <c r="F18">
        <f t="shared" si="0"/>
        <v>-7.5243766496634182E-2</v>
      </c>
      <c r="H18">
        <f>'Risk-free rate'!C18</f>
        <v>1.937551809032545E-3</v>
      </c>
    </row>
    <row r="19" spans="1:8" x14ac:dyDescent="0.2">
      <c r="A19" t="s">
        <v>9</v>
      </c>
      <c r="B19">
        <v>22.62</v>
      </c>
      <c r="C19">
        <v>6331.0841520000004</v>
      </c>
      <c r="D19">
        <f t="shared" si="1"/>
        <v>5.8493214787084698E-2</v>
      </c>
      <c r="E19">
        <f t="shared" si="2"/>
        <v>6.5894898037787072E-2</v>
      </c>
      <c r="F19">
        <f t="shared" si="0"/>
        <v>5.6846401356918139E-2</v>
      </c>
      <c r="H19">
        <f>'Risk-free rate'!C19</f>
        <v>1.7905934192179451E-3</v>
      </c>
    </row>
    <row r="20" spans="1:8" x14ac:dyDescent="0.2">
      <c r="A20" t="s">
        <v>10</v>
      </c>
      <c r="B20">
        <v>23.02</v>
      </c>
      <c r="C20">
        <v>6362.4442049999998</v>
      </c>
      <c r="D20">
        <f t="shared" si="1"/>
        <v>1.7683465959327963E-2</v>
      </c>
      <c r="E20">
        <f t="shared" si="2"/>
        <v>4.9533464169944303E-3</v>
      </c>
      <c r="F20">
        <f t="shared" si="0"/>
        <v>1.7528932605762066E-2</v>
      </c>
      <c r="H20">
        <f>'Risk-free rate'!C20</f>
        <v>1.73337883251512E-3</v>
      </c>
    </row>
    <row r="21" spans="1:8" x14ac:dyDescent="0.2">
      <c r="A21" t="s">
        <v>11</v>
      </c>
      <c r="B21">
        <v>22.27</v>
      </c>
      <c r="C21">
        <v>6232.3033569999998</v>
      </c>
      <c r="D21">
        <f t="shared" si="1"/>
        <v>-3.2580364900086881E-2</v>
      </c>
      <c r="E21">
        <f t="shared" si="2"/>
        <v>-2.0454536622533732E-2</v>
      </c>
      <c r="F21">
        <f t="shared" si="0"/>
        <v>-3.3122922024460315E-2</v>
      </c>
      <c r="H21">
        <f>'Risk-free rate'!C21</f>
        <v>1.6106549662961989E-3</v>
      </c>
    </row>
    <row r="22" spans="1:8" x14ac:dyDescent="0.2">
      <c r="A22" t="s">
        <v>12</v>
      </c>
      <c r="B22">
        <v>22.55</v>
      </c>
      <c r="C22">
        <v>6364.9328020000003</v>
      </c>
      <c r="D22">
        <f t="shared" si="1"/>
        <v>1.2572968118545179E-2</v>
      </c>
      <c r="E22">
        <f t="shared" si="2"/>
        <v>2.1280967469440287E-2</v>
      </c>
      <c r="F22">
        <f t="shared" si="0"/>
        <v>1.2494584679411105E-2</v>
      </c>
      <c r="H22">
        <f>'Risk-free rate'!C22</f>
        <v>1.5615190697231274E-3</v>
      </c>
    </row>
    <row r="23" spans="1:8" x14ac:dyDescent="0.2">
      <c r="A23" t="s">
        <v>13</v>
      </c>
      <c r="B23">
        <v>23.07</v>
      </c>
      <c r="C23">
        <v>6526.9043300000003</v>
      </c>
      <c r="D23">
        <f t="shared" si="1"/>
        <v>2.3059866962305966E-2</v>
      </c>
      <c r="E23">
        <f t="shared" si="2"/>
        <v>2.5447484370786297E-2</v>
      </c>
      <c r="F23">
        <f t="shared" si="0"/>
        <v>2.2798006236974845E-2</v>
      </c>
      <c r="H23">
        <f>'Risk-free rate'!C23</f>
        <v>1.364709877352599E-3</v>
      </c>
    </row>
    <row r="24" spans="1:8" x14ac:dyDescent="0.2">
      <c r="A24" t="s">
        <v>14</v>
      </c>
      <c r="B24">
        <v>23.78</v>
      </c>
      <c r="C24">
        <v>6708.6796709999999</v>
      </c>
      <c r="D24">
        <f t="shared" si="1"/>
        <v>3.0775899436497653E-2</v>
      </c>
      <c r="E24">
        <f t="shared" si="2"/>
        <v>2.7850161701389542E-2</v>
      </c>
      <c r="F24">
        <f t="shared" si="0"/>
        <v>3.0311819076973577E-2</v>
      </c>
      <c r="H24">
        <f>'Risk-free rate'!C24</f>
        <v>1.2743632726075482E-3</v>
      </c>
    </row>
    <row r="25" spans="1:8" x14ac:dyDescent="0.2">
      <c r="A25" t="s">
        <v>15</v>
      </c>
      <c r="B25">
        <v>24.22</v>
      </c>
      <c r="C25">
        <v>6909.6599249999999</v>
      </c>
      <c r="D25">
        <f t="shared" si="1"/>
        <v>1.8502943650126061E-2</v>
      </c>
      <c r="E25">
        <f t="shared" si="2"/>
        <v>2.9958242732737575E-2</v>
      </c>
      <c r="F25">
        <f t="shared" si="0"/>
        <v>1.8333846862310325E-2</v>
      </c>
      <c r="H25">
        <f>'Risk-free rate'!C25</f>
        <v>1.2743632726075482E-3</v>
      </c>
    </row>
    <row r="26" spans="1:8" x14ac:dyDescent="0.2">
      <c r="A26" t="s">
        <v>16</v>
      </c>
      <c r="B26">
        <v>24.24</v>
      </c>
      <c r="C26">
        <v>6867.6031700000003</v>
      </c>
      <c r="D26">
        <f t="shared" si="1"/>
        <v>8.2576383154416076E-4</v>
      </c>
      <c r="E26">
        <f t="shared" si="2"/>
        <v>-6.0866606253417912E-3</v>
      </c>
      <c r="F26">
        <f t="shared" si="0"/>
        <v>8.2542307616742148E-4</v>
      </c>
      <c r="H26">
        <f>'Risk-free rate'!C26</f>
        <v>1.2579269787644787E-3</v>
      </c>
    </row>
    <row r="27" spans="1:8" x14ac:dyDescent="0.2">
      <c r="A27" t="s">
        <v>17</v>
      </c>
      <c r="B27">
        <v>21.61</v>
      </c>
      <c r="C27">
        <v>6287.1173120000003</v>
      </c>
      <c r="D27">
        <f t="shared" si="1"/>
        <v>-0.10849834983498347</v>
      </c>
      <c r="E27">
        <f t="shared" si="2"/>
        <v>-8.4525247547172999E-2</v>
      </c>
      <c r="F27">
        <f t="shared" si="0"/>
        <v>-0.11484799068231899</v>
      </c>
      <c r="H27">
        <f>'Risk-free rate'!C27</f>
        <v>1.2579269787644787E-3</v>
      </c>
    </row>
    <row r="28" spans="1:8" x14ac:dyDescent="0.2">
      <c r="A28" t="s">
        <v>18</v>
      </c>
      <c r="B28">
        <v>18.559999999999999</v>
      </c>
      <c r="C28">
        <v>5455.0630090000004</v>
      </c>
      <c r="D28">
        <f t="shared" si="1"/>
        <v>-0.1411383618695049</v>
      </c>
      <c r="E28">
        <f t="shared" si="2"/>
        <v>-0.13234273542373498</v>
      </c>
      <c r="F28">
        <f t="shared" si="0"/>
        <v>-0.15214744316074014</v>
      </c>
      <c r="H28">
        <f>'Risk-free rate'!C28</f>
        <v>2.4134604527370485E-4</v>
      </c>
    </row>
    <row r="29" spans="1:8" x14ac:dyDescent="0.2">
      <c r="A29" t="s">
        <v>19</v>
      </c>
      <c r="B29">
        <v>20.76</v>
      </c>
      <c r="C29">
        <v>6050.9972959999996</v>
      </c>
      <c r="D29">
        <f t="shared" si="1"/>
        <v>0.11853448275862086</v>
      </c>
      <c r="E29">
        <f t="shared" si="2"/>
        <v>0.10924425364414687</v>
      </c>
      <c r="F29">
        <f t="shared" si="0"/>
        <v>0.11201933093963345</v>
      </c>
      <c r="H29">
        <f>'Risk-free rate'!C29</f>
        <v>1.1659187244639213E-4</v>
      </c>
    </row>
    <row r="30" spans="1:8" x14ac:dyDescent="0.2">
      <c r="A30" t="s">
        <v>20</v>
      </c>
      <c r="B30">
        <v>21.86</v>
      </c>
      <c r="C30">
        <v>6343.3098609999997</v>
      </c>
      <c r="D30">
        <f t="shared" si="1"/>
        <v>5.2986512524084671E-2</v>
      </c>
      <c r="E30">
        <f t="shared" si="2"/>
        <v>4.8308163216868871E-2</v>
      </c>
      <c r="F30">
        <f t="shared" si="0"/>
        <v>5.1630424450704544E-2</v>
      </c>
      <c r="H30">
        <f>'Risk-free rate'!C30</f>
        <v>1.0826883828274347E-4</v>
      </c>
    </row>
    <row r="31" spans="1:8" x14ac:dyDescent="0.2">
      <c r="A31" t="s">
        <v>21</v>
      </c>
      <c r="B31">
        <v>22.49</v>
      </c>
      <c r="C31">
        <v>6511.0970690000004</v>
      </c>
      <c r="D31">
        <f t="shared" si="1"/>
        <v>2.8819762122598309E-2</v>
      </c>
      <c r="E31">
        <f t="shared" si="2"/>
        <v>2.6451050268187531E-2</v>
      </c>
      <c r="F31">
        <f t="shared" si="0"/>
        <v>2.8412283222831753E-2</v>
      </c>
      <c r="H31">
        <f>'Risk-free rate'!C31</f>
        <v>1.3323565538980731E-4</v>
      </c>
    </row>
    <row r="32" spans="1:8" x14ac:dyDescent="0.2">
      <c r="A32" t="s">
        <v>22</v>
      </c>
      <c r="B32">
        <v>24.01</v>
      </c>
      <c r="C32">
        <v>6822.5967840000003</v>
      </c>
      <c r="D32">
        <f t="shared" si="1"/>
        <v>6.7585593597154436E-2</v>
      </c>
      <c r="E32">
        <f t="shared" si="2"/>
        <v>4.7841356333494386E-2</v>
      </c>
      <c r="F32">
        <f t="shared" si="0"/>
        <v>6.5399644261937576E-2</v>
      </c>
      <c r="H32">
        <f>'Risk-free rate'!C32</f>
        <v>1.0826883828274347E-4</v>
      </c>
    </row>
    <row r="33" spans="1:8" x14ac:dyDescent="0.2">
      <c r="A33" t="s">
        <v>74</v>
      </c>
      <c r="B33">
        <v>25.28</v>
      </c>
      <c r="C33">
        <v>7278.4442790000003</v>
      </c>
      <c r="D33">
        <f t="shared" si="1"/>
        <v>5.2894627238650543E-2</v>
      </c>
      <c r="E33">
        <f t="shared" si="2"/>
        <v>6.6814368404275307E-2</v>
      </c>
      <c r="F33">
        <f t="shared" si="0"/>
        <v>5.1543159045494828E-2</v>
      </c>
      <c r="H33">
        <f>'Risk-free rate'!C33</f>
        <v>8.3295163273211514E-5</v>
      </c>
    </row>
    <row r="34" spans="1:8" x14ac:dyDescent="0.2">
      <c r="A34" t="s">
        <v>23</v>
      </c>
      <c r="B34">
        <v>24.88</v>
      </c>
      <c r="C34">
        <v>7027.3442759999998</v>
      </c>
      <c r="D34">
        <f t="shared" si="1"/>
        <v>-1.5822784810126667E-2</v>
      </c>
      <c r="E34">
        <f t="shared" si="2"/>
        <v>-3.4499131047067602E-2</v>
      </c>
      <c r="F34">
        <f t="shared" si="0"/>
        <v>-1.5949301407678064E-2</v>
      </c>
      <c r="H34">
        <f>'Risk-free rate'!C34</f>
        <v>9.1620483841925449E-5</v>
      </c>
    </row>
    <row r="35" spans="1:8" x14ac:dyDescent="0.2">
      <c r="A35" t="s">
        <v>24</v>
      </c>
      <c r="B35">
        <v>23.89</v>
      </c>
      <c r="C35">
        <v>6811.780377</v>
      </c>
      <c r="D35">
        <f t="shared" si="1"/>
        <v>-3.9790996784565852E-2</v>
      </c>
      <c r="E35">
        <f t="shared" si="2"/>
        <v>-3.0675016127529167E-2</v>
      </c>
      <c r="F35">
        <f t="shared" si="0"/>
        <v>-4.0604306533260491E-2</v>
      </c>
      <c r="H35">
        <f>'Risk-free rate'!C35</f>
        <v>8.3295163273211514E-5</v>
      </c>
    </row>
    <row r="36" spans="1:8" x14ac:dyDescent="0.2">
      <c r="A36" t="s">
        <v>25</v>
      </c>
      <c r="B36">
        <v>26.55</v>
      </c>
      <c r="C36">
        <v>7682.7449470000001</v>
      </c>
      <c r="D36">
        <f t="shared" si="1"/>
        <v>0.11134365843449143</v>
      </c>
      <c r="E36">
        <f t="shared" si="2"/>
        <v>0.12786151663679807</v>
      </c>
      <c r="F36">
        <f t="shared" si="0"/>
        <v>0.10556978635022961</v>
      </c>
      <c r="H36">
        <f>'Risk-free rate'!C36</f>
        <v>7.4969080277487166E-5</v>
      </c>
    </row>
    <row r="37" spans="1:8" x14ac:dyDescent="0.2">
      <c r="A37" t="s">
        <v>26</v>
      </c>
      <c r="B37">
        <v>27.39</v>
      </c>
      <c r="C37">
        <v>8008.4680799999996</v>
      </c>
      <c r="D37">
        <f t="shared" si="1"/>
        <v>3.1638418079096037E-2</v>
      </c>
      <c r="E37">
        <f t="shared" si="2"/>
        <v>4.239671305594879E-2</v>
      </c>
      <c r="F37">
        <f t="shared" si="0"/>
        <v>3.1148235587038969E-2</v>
      </c>
      <c r="H37">
        <f>'Risk-free rate'!C37</f>
        <v>7.4969080277487166E-5</v>
      </c>
    </row>
    <row r="38" spans="1:8" x14ac:dyDescent="0.2">
      <c r="A38" t="s">
        <v>27</v>
      </c>
      <c r="B38">
        <v>27.78</v>
      </c>
      <c r="C38">
        <v>7928.8745250000002</v>
      </c>
      <c r="D38">
        <f t="shared" si="1"/>
        <v>1.4238773274917873E-2</v>
      </c>
      <c r="E38">
        <f t="shared" si="2"/>
        <v>-9.9386741889841528E-3</v>
      </c>
      <c r="F38">
        <f t="shared" si="0"/>
        <v>1.4138354051210911E-2</v>
      </c>
      <c r="H38">
        <f>'Risk-free rate'!C38</f>
        <v>6.6642234708869097E-5</v>
      </c>
    </row>
    <row r="39" spans="1:8" x14ac:dyDescent="0.2">
      <c r="A39" t="s">
        <v>28</v>
      </c>
      <c r="B39">
        <v>28.32</v>
      </c>
      <c r="C39">
        <v>8132.0469270000003</v>
      </c>
      <c r="D39">
        <f t="shared" si="1"/>
        <v>1.9438444924406016E-2</v>
      </c>
      <c r="E39">
        <f t="shared" si="2"/>
        <v>2.5624368421948276E-2</v>
      </c>
      <c r="F39">
        <f t="shared" si="0"/>
        <v>1.9251931499321306E-2</v>
      </c>
      <c r="H39">
        <f>'Risk-free rate'!C39</f>
        <v>3.3327223783574667E-5</v>
      </c>
    </row>
    <row r="40" spans="1:8" x14ac:dyDescent="0.2">
      <c r="A40" t="s">
        <v>29</v>
      </c>
      <c r="B40">
        <v>29.04</v>
      </c>
      <c r="C40">
        <v>8402.6172839999999</v>
      </c>
      <c r="D40">
        <f t="shared" si="1"/>
        <v>2.5423728813559282E-2</v>
      </c>
      <c r="E40">
        <f t="shared" si="2"/>
        <v>3.327210964580795E-2</v>
      </c>
      <c r="F40">
        <f t="shared" si="0"/>
        <v>2.5105921131076261E-2</v>
      </c>
      <c r="H40">
        <f>'Risk-free rate'!C40</f>
        <v>2.4996563158685703E-5</v>
      </c>
    </row>
    <row r="41" spans="1:8" x14ac:dyDescent="0.2">
      <c r="A41" t="s">
        <v>30</v>
      </c>
      <c r="B41">
        <v>30.65</v>
      </c>
      <c r="C41">
        <v>8793.6760520000007</v>
      </c>
      <c r="D41">
        <f t="shared" si="1"/>
        <v>5.5440771349862243E-2</v>
      </c>
      <c r="E41">
        <f t="shared" si="2"/>
        <v>4.6540114202826138E-2</v>
      </c>
      <c r="F41">
        <f t="shared" si="0"/>
        <v>5.3958472425624952E-2</v>
      </c>
      <c r="H41">
        <f>'Risk-free rate'!C41</f>
        <v>1.6665139084048874E-5</v>
      </c>
    </row>
    <row r="42" spans="1:8" x14ac:dyDescent="0.2">
      <c r="A42" t="s">
        <v>76</v>
      </c>
      <c r="B42">
        <v>30.89</v>
      </c>
      <c r="C42">
        <v>8920.3528370000004</v>
      </c>
      <c r="D42">
        <f t="shared" si="1"/>
        <v>7.8303425774878307E-3</v>
      </c>
      <c r="E42">
        <f t="shared" si="2"/>
        <v>1.4405441393441911E-2</v>
      </c>
      <c r="F42">
        <f t="shared" si="0"/>
        <v>7.7998445482701023E-3</v>
      </c>
      <c r="H42">
        <f>'Risk-free rate'!C42</f>
        <v>1.6665139084048874E-5</v>
      </c>
    </row>
    <row r="43" spans="1:8" x14ac:dyDescent="0.2">
      <c r="A43" t="s">
        <v>31</v>
      </c>
      <c r="B43">
        <v>31.25</v>
      </c>
      <c r="C43">
        <v>9053.3092159999997</v>
      </c>
      <c r="D43">
        <f t="shared" si="1"/>
        <v>1.165425704111361E-2</v>
      </c>
      <c r="E43">
        <f t="shared" si="2"/>
        <v>1.4904834083302223E-2</v>
      </c>
      <c r="F43">
        <f t="shared" si="0"/>
        <v>1.1586869251920097E-2</v>
      </c>
      <c r="H43">
        <f>'Risk-free rate'!C43</f>
        <v>3.3327223783574667E-5</v>
      </c>
    </row>
    <row r="44" spans="1:8" x14ac:dyDescent="0.2">
      <c r="A44" t="s">
        <v>32</v>
      </c>
      <c r="B44">
        <v>32.049999999999997</v>
      </c>
      <c r="C44">
        <v>9215.4796239999996</v>
      </c>
      <c r="D44">
        <f t="shared" si="1"/>
        <v>2.5599999999999908E-2</v>
      </c>
      <c r="E44">
        <f t="shared" si="2"/>
        <v>1.7912832107114449E-2</v>
      </c>
      <c r="F44">
        <f t="shared" si="0"/>
        <v>2.5277807184268392E-2</v>
      </c>
      <c r="H44">
        <f>'Risk-free rate'!C44</f>
        <v>4.1657121104599071E-5</v>
      </c>
    </row>
    <row r="45" spans="1:8" x14ac:dyDescent="0.2">
      <c r="A45" t="s">
        <v>33</v>
      </c>
      <c r="B45">
        <v>32.93</v>
      </c>
      <c r="C45">
        <v>9444.8377830000009</v>
      </c>
      <c r="D45">
        <f t="shared" si="1"/>
        <v>2.745709828393144E-2</v>
      </c>
      <c r="E45">
        <f t="shared" si="2"/>
        <v>2.4888358322954853E-2</v>
      </c>
      <c r="F45">
        <f t="shared" si="0"/>
        <v>2.7086913021594008E-2</v>
      </c>
      <c r="H45">
        <f>'Risk-free rate'!C45</f>
        <v>4.1657121104599071E-5</v>
      </c>
    </row>
    <row r="46" spans="1:8" x14ac:dyDescent="0.2">
      <c r="A46" t="s">
        <v>34</v>
      </c>
      <c r="B46">
        <v>31.62</v>
      </c>
      <c r="C46">
        <v>9052.6830699999991</v>
      </c>
      <c r="D46">
        <f t="shared" si="1"/>
        <v>-3.9781354388095921E-2</v>
      </c>
      <c r="E46">
        <f t="shared" si="2"/>
        <v>-4.1520534498310897E-2</v>
      </c>
      <c r="F46">
        <f t="shared" si="0"/>
        <v>-4.0594264606946928E-2</v>
      </c>
      <c r="H46">
        <f>'Risk-free rate'!C46</f>
        <v>3.3327223783574667E-5</v>
      </c>
    </row>
    <row r="47" spans="1:8" x14ac:dyDescent="0.2">
      <c r="A47" t="s">
        <v>35</v>
      </c>
      <c r="B47">
        <v>32.49</v>
      </c>
      <c r="C47">
        <v>9565.4316469999994</v>
      </c>
      <c r="D47">
        <f t="shared" si="1"/>
        <v>2.7514231499051266E-2</v>
      </c>
      <c r="E47">
        <f t="shared" si="2"/>
        <v>5.664050901099317E-2</v>
      </c>
      <c r="F47">
        <f t="shared" si="0"/>
        <v>2.7142517899683041E-2</v>
      </c>
      <c r="H47">
        <f>'Risk-free rate'!C47</f>
        <v>4.1657121104599071E-5</v>
      </c>
    </row>
    <row r="48" spans="1:8" x14ac:dyDescent="0.2">
      <c r="A48" t="s">
        <v>36</v>
      </c>
      <c r="B48">
        <v>32.25</v>
      </c>
      <c r="C48">
        <v>9355.8247090000004</v>
      </c>
      <c r="D48">
        <f t="shared" si="1"/>
        <v>-7.3868882733149266E-3</v>
      </c>
      <c r="E48">
        <f t="shared" si="2"/>
        <v>-2.1912961770600065E-2</v>
      </c>
      <c r="F48">
        <f t="shared" si="0"/>
        <v>-7.4143064392274798E-3</v>
      </c>
      <c r="H48">
        <f>'Risk-free rate'!C48</f>
        <v>4.1657121104599071E-5</v>
      </c>
    </row>
    <row r="49" spans="1:8" x14ac:dyDescent="0.2">
      <c r="A49" t="s">
        <v>37</v>
      </c>
      <c r="B49">
        <v>33.450000000000003</v>
      </c>
      <c r="C49">
        <v>9755.6944120000007</v>
      </c>
      <c r="D49">
        <f t="shared" si="1"/>
        <v>3.7209302325581485E-2</v>
      </c>
      <c r="E49">
        <f t="shared" si="2"/>
        <v>4.2740187576979567E-2</v>
      </c>
      <c r="F49">
        <f t="shared" si="0"/>
        <v>3.653374333245607E-2</v>
      </c>
      <c r="H49">
        <f>'Risk-free rate'!C49</f>
        <v>4.99862552685304E-5</v>
      </c>
    </row>
    <row r="50" spans="1:8" x14ac:dyDescent="0.2">
      <c r="A50" t="s">
        <v>38</v>
      </c>
      <c r="B50">
        <v>30.89</v>
      </c>
      <c r="C50">
        <v>9239.5117740000005</v>
      </c>
      <c r="D50">
        <f t="shared" si="1"/>
        <v>-7.6532137518684665E-2</v>
      </c>
      <c r="E50">
        <f t="shared" si="2"/>
        <v>-5.2910906820233042E-2</v>
      </c>
      <c r="F50">
        <f t="shared" si="0"/>
        <v>-7.9619279643747223E-2</v>
      </c>
      <c r="H50">
        <f>'Risk-free rate'!C50</f>
        <v>1.2491414476678564E-4</v>
      </c>
    </row>
    <row r="51" spans="1:8" x14ac:dyDescent="0.2">
      <c r="A51" t="s">
        <v>39</v>
      </c>
      <c r="B51">
        <v>30.36</v>
      </c>
      <c r="C51">
        <v>9005.8332809999993</v>
      </c>
      <c r="D51">
        <f t="shared" si="1"/>
        <v>-1.7157656199417323E-2</v>
      </c>
      <c r="E51">
        <f t="shared" si="2"/>
        <v>-2.5291216539987844E-2</v>
      </c>
      <c r="F51">
        <f t="shared" si="0"/>
        <v>-1.7306554403061211E-2</v>
      </c>
      <c r="H51">
        <f>'Risk-free rate'!C51</f>
        <v>2.7458493733023559E-4</v>
      </c>
    </row>
    <row r="52" spans="1:8" x14ac:dyDescent="0.2">
      <c r="A52" t="s">
        <v>40</v>
      </c>
      <c r="B52">
        <v>31.61</v>
      </c>
      <c r="C52">
        <v>9252.9836140000007</v>
      </c>
      <c r="D52">
        <f t="shared" si="1"/>
        <v>4.1172595520421608E-2</v>
      </c>
      <c r="E52">
        <f t="shared" si="2"/>
        <v>2.744336090713841E-2</v>
      </c>
      <c r="F52">
        <f t="shared" si="0"/>
        <v>4.03475737000972E-2</v>
      </c>
      <c r="H52">
        <f>'Risk-free rate'!C52</f>
        <v>3.6592929423662213E-4</v>
      </c>
    </row>
    <row r="53" spans="1:8" x14ac:dyDescent="0.2">
      <c r="A53" t="s">
        <v>41</v>
      </c>
      <c r="B53">
        <v>29.45</v>
      </c>
      <c r="C53">
        <v>8484.3073420000001</v>
      </c>
      <c r="D53">
        <f t="shared" si="1"/>
        <v>-6.8332806074027211E-2</v>
      </c>
      <c r="E53">
        <f t="shared" si="2"/>
        <v>-8.3073341969067557E-2</v>
      </c>
      <c r="F53">
        <f t="shared" si="0"/>
        <v>-7.0779616129930695E-2</v>
      </c>
      <c r="H53">
        <f>'Risk-free rate'!C53</f>
        <v>6.3113787510671315E-4</v>
      </c>
    </row>
    <row r="54" spans="1:8" x14ac:dyDescent="0.2">
      <c r="A54" t="s">
        <v>42</v>
      </c>
      <c r="B54">
        <v>28.58</v>
      </c>
      <c r="C54">
        <v>8490.7329769999997</v>
      </c>
      <c r="D54">
        <f t="shared" si="1"/>
        <v>-2.9541595925297148E-2</v>
      </c>
      <c r="E54">
        <f t="shared" si="2"/>
        <v>7.5735528440732931E-4</v>
      </c>
      <c r="F54">
        <f t="shared" si="0"/>
        <v>-2.9986737595874401E-2</v>
      </c>
      <c r="H54">
        <f>'Risk-free rate'!C54</f>
        <v>8.1302127632687515E-4</v>
      </c>
    </row>
    <row r="55" spans="1:8" x14ac:dyDescent="0.2">
      <c r="A55" t="s">
        <v>43</v>
      </c>
      <c r="B55">
        <v>25.49</v>
      </c>
      <c r="C55">
        <v>7755.2487279999996</v>
      </c>
      <c r="D55">
        <f t="shared" si="1"/>
        <v>-0.10811756473058083</v>
      </c>
      <c r="E55">
        <f t="shared" si="2"/>
        <v>-8.6621997298973602E-2</v>
      </c>
      <c r="F55">
        <f t="shared" si="0"/>
        <v>-0.11442095411369732</v>
      </c>
      <c r="H55">
        <f>'Risk-free rate'!C55</f>
        <v>1.2332669717645128E-3</v>
      </c>
    </row>
    <row r="56" spans="1:8" x14ac:dyDescent="0.2">
      <c r="A56" t="s">
        <v>44</v>
      </c>
      <c r="B56">
        <v>27.37</v>
      </c>
      <c r="C56">
        <v>8370.9868600000009</v>
      </c>
      <c r="D56">
        <f t="shared" si="1"/>
        <v>7.375441349548853E-2</v>
      </c>
      <c r="E56">
        <f t="shared" si="2"/>
        <v>7.9396309982541852E-2</v>
      </c>
      <c r="F56">
        <f t="shared" si="0"/>
        <v>7.1161304664563801E-2</v>
      </c>
      <c r="H56">
        <f>'Risk-free rate'!C56</f>
        <v>1.8396059010297172E-3</v>
      </c>
    </row>
    <row r="57" spans="1:8" x14ac:dyDescent="0.2">
      <c r="A57" t="s">
        <v>45</v>
      </c>
      <c r="B57">
        <v>26.83</v>
      </c>
      <c r="C57">
        <v>8021.0142690000002</v>
      </c>
      <c r="D57">
        <f t="shared" si="1"/>
        <v>-1.9729630982828011E-2</v>
      </c>
      <c r="E57">
        <f t="shared" si="2"/>
        <v>-4.1807805561410311E-2</v>
      </c>
      <c r="F57">
        <f t="shared" si="0"/>
        <v>-1.9926858615055009E-2</v>
      </c>
      <c r="H57">
        <f>'Risk-free rate'!C57</f>
        <v>2.1656835180154932E-3</v>
      </c>
    </row>
    <row r="58" spans="1:8" x14ac:dyDescent="0.2">
      <c r="A58" t="s">
        <v>46</v>
      </c>
      <c r="B58">
        <v>24.45</v>
      </c>
      <c r="C58">
        <v>7275.3815860000004</v>
      </c>
      <c r="D58">
        <f t="shared" si="1"/>
        <v>-8.8706671636228071E-2</v>
      </c>
      <c r="E58">
        <f t="shared" si="2"/>
        <v>-9.2959899832338752E-2</v>
      </c>
      <c r="F58">
        <f t="shared" si="0"/>
        <v>-9.2890448516651652E-2</v>
      </c>
      <c r="H58">
        <f>'Risk-free rate'!C58</f>
        <v>2.5716462189622202E-3</v>
      </c>
    </row>
    <row r="59" spans="1:8" x14ac:dyDescent="0.2">
      <c r="A59" t="s">
        <v>47</v>
      </c>
      <c r="B59">
        <v>25.96</v>
      </c>
      <c r="C59">
        <v>7797.8480239999999</v>
      </c>
      <c r="D59">
        <f t="shared" si="1"/>
        <v>6.1758691206544036E-2</v>
      </c>
      <c r="E59">
        <f t="shared" si="2"/>
        <v>7.1812925799710686E-2</v>
      </c>
      <c r="F59">
        <f t="shared" si="0"/>
        <v>5.9926675915008228E-2</v>
      </c>
      <c r="H59">
        <f>'Risk-free rate'!C59</f>
        <v>3.0483680766628662E-3</v>
      </c>
    </row>
    <row r="60" spans="1:8" x14ac:dyDescent="0.2">
      <c r="A60" t="s">
        <v>48</v>
      </c>
      <c r="B60">
        <v>27.1</v>
      </c>
      <c r="C60">
        <v>8340.0357280000007</v>
      </c>
      <c r="D60">
        <f t="shared" si="1"/>
        <v>4.3913713405238849E-2</v>
      </c>
      <c r="E60">
        <f t="shared" si="2"/>
        <v>6.9530427155193406E-2</v>
      </c>
      <c r="F60">
        <f t="shared" si="0"/>
        <v>4.2976836049765897E-2</v>
      </c>
      <c r="H60">
        <f>'Risk-free rate'!C60</f>
        <v>3.3942459274463044E-3</v>
      </c>
    </row>
    <row r="61" spans="1:8" x14ac:dyDescent="0.2">
      <c r="A61" t="s">
        <v>49</v>
      </c>
      <c r="B61">
        <v>26.38</v>
      </c>
      <c r="C61">
        <v>7985.8569200000002</v>
      </c>
      <c r="D61">
        <f t="shared" si="1"/>
        <v>-2.6568265682656914E-2</v>
      </c>
      <c r="E61">
        <f t="shared" si="2"/>
        <v>-4.2467301046555009E-2</v>
      </c>
      <c r="F61">
        <f t="shared" si="0"/>
        <v>-2.6927580596486762E-2</v>
      </c>
      <c r="H61">
        <f>'Risk-free rate'!C61</f>
        <v>3.474495003497502E-3</v>
      </c>
    </row>
    <row r="62" spans="1:8" x14ac:dyDescent="0.2">
      <c r="A62" t="s">
        <v>50</v>
      </c>
      <c r="B62">
        <v>28.26</v>
      </c>
      <c r="C62">
        <v>8550.9047050000008</v>
      </c>
      <c r="D62">
        <f t="shared" si="1"/>
        <v>7.1266110689916701E-2</v>
      </c>
      <c r="E62">
        <f t="shared" si="2"/>
        <v>7.0756061705147685E-2</v>
      </c>
      <c r="F62">
        <f t="shared" si="0"/>
        <v>6.8841229967212855E-2</v>
      </c>
      <c r="H62">
        <f>'Risk-free rate'!C62</f>
        <v>3.7068189305531352E-3</v>
      </c>
    </row>
    <row r="63" spans="1:8" x14ac:dyDescent="0.2">
      <c r="A63" t="s">
        <v>51</v>
      </c>
      <c r="B63">
        <v>28.02</v>
      </c>
      <c r="C63">
        <v>8345.3537199999992</v>
      </c>
      <c r="D63">
        <f t="shared" si="1"/>
        <v>-8.4925690021232115E-3</v>
      </c>
      <c r="E63">
        <f t="shared" si="2"/>
        <v>-2.4038507279798022E-2</v>
      </c>
      <c r="F63">
        <f t="shared" si="0"/>
        <v>-8.5288363475205468E-3</v>
      </c>
      <c r="H63">
        <f>'Risk-free rate'!C63</f>
        <v>3.7947872834442897E-3</v>
      </c>
    </row>
    <row r="64" spans="1:8" x14ac:dyDescent="0.2">
      <c r="A64" t="s">
        <v>52</v>
      </c>
      <c r="B64">
        <v>28.28</v>
      </c>
      <c r="C64">
        <v>8603.2225639999997</v>
      </c>
      <c r="D64">
        <f t="shared" si="1"/>
        <v>9.2790863668808562E-3</v>
      </c>
      <c r="E64">
        <f t="shared" si="2"/>
        <v>3.0899690133206308E-2</v>
      </c>
      <c r="F64">
        <f t="shared" si="0"/>
        <v>9.2363001195110584E-3</v>
      </c>
      <c r="H64">
        <f>'Risk-free rate'!C64</f>
        <v>3.8267547616503972E-3</v>
      </c>
    </row>
    <row r="65" spans="1:8" x14ac:dyDescent="0.2">
      <c r="A65" t="s">
        <v>53</v>
      </c>
      <c r="B65">
        <v>28.56</v>
      </c>
      <c r="C65">
        <v>8754.0334980000007</v>
      </c>
      <c r="D65">
        <f t="shared" si="1"/>
        <v>9.9009900990098144E-3</v>
      </c>
      <c r="E65">
        <f t="shared" si="2"/>
        <v>1.7529586486703962E-2</v>
      </c>
      <c r="F65">
        <f t="shared" si="0"/>
        <v>9.8522964430116395E-3</v>
      </c>
      <c r="H65">
        <f>'Risk-free rate'!C65</f>
        <v>4.0103507726252374E-3</v>
      </c>
    </row>
    <row r="66" spans="1:8" x14ac:dyDescent="0.2">
      <c r="A66" t="s">
        <v>54</v>
      </c>
      <c r="B66">
        <v>28.62</v>
      </c>
      <c r="C66">
        <v>8666.6383229999992</v>
      </c>
      <c r="D66">
        <f t="shared" si="1"/>
        <v>2.1008403361345335E-3</v>
      </c>
      <c r="E66">
        <f t="shared" si="2"/>
        <v>-9.9834179318560191E-3</v>
      </c>
      <c r="F66">
        <f t="shared" si="0"/>
        <v>2.0986366569212054E-3</v>
      </c>
      <c r="H66">
        <f>'Risk-free rate'!C66</f>
        <v>4.1856194553282489E-3</v>
      </c>
    </row>
    <row r="67" spans="1:8" x14ac:dyDescent="0.2">
      <c r="A67" t="s">
        <v>55</v>
      </c>
      <c r="B67">
        <v>30.44</v>
      </c>
      <c r="C67">
        <v>9190.7774420000005</v>
      </c>
      <c r="D67">
        <f t="shared" si="1"/>
        <v>6.3591893780573033E-2</v>
      </c>
      <c r="E67">
        <f t="shared" si="2"/>
        <v>6.0477788441801274E-2</v>
      </c>
      <c r="F67">
        <f t="shared" si="0"/>
        <v>6.1651758865180269E-2</v>
      </c>
      <c r="H67">
        <f>'Risk-free rate'!C67</f>
        <v>4.2015362976310922E-3</v>
      </c>
    </row>
    <row r="68" spans="1:8" x14ac:dyDescent="0.2">
      <c r="A68" t="s">
        <v>56</v>
      </c>
      <c r="B68">
        <v>31.36</v>
      </c>
      <c r="C68">
        <v>9499.5210160000006</v>
      </c>
      <c r="D68">
        <f t="shared" ref="D68:D85" si="3">(B68-B67)/B67</f>
        <v>3.0223390275952632E-2</v>
      </c>
      <c r="E68">
        <f t="shared" ref="E68:E85" si="4">(C68-C67)/C67</f>
        <v>3.3592759257677615E-2</v>
      </c>
      <c r="F68">
        <f t="shared" ref="F68:F85" si="5">LN(B68/B67)</f>
        <v>2.9775662488721877E-2</v>
      </c>
      <c r="H68">
        <f>'Risk-free rate'!C68</f>
        <v>4.2731277661580691E-3</v>
      </c>
    </row>
    <row r="69" spans="1:8" x14ac:dyDescent="0.2">
      <c r="A69" t="s">
        <v>57</v>
      </c>
      <c r="B69">
        <v>30.59</v>
      </c>
      <c r="C69">
        <v>9272.6180789999999</v>
      </c>
      <c r="D69">
        <f t="shared" si="3"/>
        <v>-2.4553571428571414E-2</v>
      </c>
      <c r="E69">
        <f t="shared" si="4"/>
        <v>-2.3885723987328324E-2</v>
      </c>
      <c r="F69">
        <f t="shared" si="5"/>
        <v>-2.4860037319394977E-2</v>
      </c>
      <c r="H69">
        <f>'Risk-free rate'!C69</f>
        <v>4.3128765598297036E-3</v>
      </c>
    </row>
    <row r="70" spans="1:8" x14ac:dyDescent="0.2">
      <c r="A70" t="s">
        <v>58</v>
      </c>
      <c r="B70">
        <v>29.7</v>
      </c>
      <c r="C70">
        <v>8872.6123389999993</v>
      </c>
      <c r="D70">
        <f t="shared" si="3"/>
        <v>-2.9094475318731629E-2</v>
      </c>
      <c r="E70">
        <f t="shared" si="4"/>
        <v>-4.3138381910272625E-2</v>
      </c>
      <c r="F70">
        <f t="shared" si="5"/>
        <v>-2.9526112354158203E-2</v>
      </c>
      <c r="H70">
        <f>'Risk-free rate'!C70</f>
        <v>4.3287712331259165E-3</v>
      </c>
    </row>
    <row r="71" spans="1:8" x14ac:dyDescent="0.2">
      <c r="A71" t="s">
        <v>59</v>
      </c>
      <c r="B71">
        <v>28.48</v>
      </c>
      <c r="C71">
        <v>8615.1660620000002</v>
      </c>
      <c r="D71">
        <f t="shared" si="3"/>
        <v>-4.1077441077441039E-2</v>
      </c>
      <c r="E71">
        <f t="shared" si="4"/>
        <v>-2.9015837406575453E-2</v>
      </c>
      <c r="F71">
        <f t="shared" si="5"/>
        <v>-4.1944959264878887E-2</v>
      </c>
      <c r="H71">
        <f>'Risk-free rate'!C71</f>
        <v>4.3446631398347257E-3</v>
      </c>
    </row>
    <row r="72" spans="1:8" x14ac:dyDescent="0.2">
      <c r="A72" t="s">
        <v>60</v>
      </c>
      <c r="B72">
        <v>30.98</v>
      </c>
      <c r="C72">
        <v>9422.8557509999991</v>
      </c>
      <c r="D72">
        <f t="shared" si="3"/>
        <v>8.7780898876404487E-2</v>
      </c>
      <c r="E72">
        <f t="shared" si="4"/>
        <v>9.3752074328848717E-2</v>
      </c>
      <c r="F72">
        <f t="shared" si="5"/>
        <v>8.4139748444947454E-2</v>
      </c>
      <c r="H72">
        <f>'Risk-free rate'!C72</f>
        <v>4.2890293603305985E-3</v>
      </c>
    </row>
    <row r="73" spans="1:8" x14ac:dyDescent="0.2">
      <c r="A73" t="s">
        <v>61</v>
      </c>
      <c r="B73">
        <v>32.619999999999997</v>
      </c>
      <c r="C73">
        <v>9885.4637610000009</v>
      </c>
      <c r="D73">
        <f t="shared" si="3"/>
        <v>5.293737895416388E-2</v>
      </c>
      <c r="E73">
        <f t="shared" si="4"/>
        <v>4.909424724568319E-2</v>
      </c>
      <c r="F73">
        <f t="shared" si="5"/>
        <v>5.1583762204145109E-2</v>
      </c>
      <c r="H73">
        <f>'Risk-free rate'!C73</f>
        <v>4.2651759303415915E-3</v>
      </c>
    </row>
    <row r="74" spans="1:8" x14ac:dyDescent="0.2">
      <c r="A74" t="s">
        <v>62</v>
      </c>
      <c r="B74">
        <v>33.43</v>
      </c>
      <c r="C74">
        <v>10004.094090000001</v>
      </c>
      <c r="D74">
        <f t="shared" si="3"/>
        <v>2.4831391784181554E-2</v>
      </c>
      <c r="E74">
        <f t="shared" si="4"/>
        <v>1.2000481906374327E-2</v>
      </c>
      <c r="F74">
        <f t="shared" si="5"/>
        <v>2.4528103239139534E-2</v>
      </c>
      <c r="H74">
        <f>'Risk-free rate'!C74</f>
        <v>4.2492701806178257E-3</v>
      </c>
    </row>
    <row r="75" spans="1:8" x14ac:dyDescent="0.2">
      <c r="A75" t="s">
        <v>63</v>
      </c>
      <c r="B75">
        <v>35.03</v>
      </c>
      <c r="C75">
        <v>10428.244322</v>
      </c>
      <c r="D75">
        <f t="shared" si="3"/>
        <v>4.7861202512713176E-2</v>
      </c>
      <c r="E75">
        <f t="shared" si="4"/>
        <v>4.239766521428228E-2</v>
      </c>
      <c r="F75">
        <f t="shared" si="5"/>
        <v>4.6751136777388264E-2</v>
      </c>
      <c r="H75">
        <f>'Risk-free rate'!C75</f>
        <v>4.2651759303415915E-3</v>
      </c>
    </row>
    <row r="76" spans="1:8" x14ac:dyDescent="0.2">
      <c r="A76" t="s">
        <v>77</v>
      </c>
      <c r="B76">
        <v>36.340000000000003</v>
      </c>
      <c r="C76">
        <v>10763.354051</v>
      </c>
      <c r="D76">
        <f t="shared" si="3"/>
        <v>3.7396517270910715E-2</v>
      </c>
      <c r="E76">
        <f t="shared" si="4"/>
        <v>3.2134817583150961E-2</v>
      </c>
      <c r="F76">
        <f t="shared" si="5"/>
        <v>3.6714225758629787E-2</v>
      </c>
      <c r="H76">
        <f>'Risk-free rate'!C76</f>
        <v>4.2651759303415915E-3</v>
      </c>
    </row>
    <row r="77" spans="1:8" x14ac:dyDescent="0.2">
      <c r="A77" t="s">
        <v>64</v>
      </c>
      <c r="B77">
        <v>35.15</v>
      </c>
      <c r="C77">
        <v>10363.552441</v>
      </c>
      <c r="D77">
        <f t="shared" si="3"/>
        <v>-3.2746285085305575E-2</v>
      </c>
      <c r="E77">
        <f t="shared" si="4"/>
        <v>-3.7144704903845076E-2</v>
      </c>
      <c r="F77">
        <f t="shared" si="5"/>
        <v>-3.3294444711351297E-2</v>
      </c>
      <c r="H77">
        <f>'Risk-free rate'!C77</f>
        <v>4.2651759303415915E-3</v>
      </c>
    </row>
    <row r="78" spans="1:8" x14ac:dyDescent="0.2">
      <c r="A78" t="s">
        <v>65</v>
      </c>
      <c r="B78">
        <v>36.42</v>
      </c>
      <c r="C78">
        <v>10826.305639</v>
      </c>
      <c r="D78">
        <f t="shared" si="3"/>
        <v>3.6130867709815169E-2</v>
      </c>
      <c r="E78">
        <f t="shared" si="4"/>
        <v>4.4651985951194587E-2</v>
      </c>
      <c r="F78">
        <f t="shared" si="5"/>
        <v>3.5493456042788009E-2</v>
      </c>
      <c r="H78">
        <f>'Risk-free rate'!C78</f>
        <v>4.2731277661580691E-3</v>
      </c>
    </row>
    <row r="79" spans="1:8" x14ac:dyDescent="0.2">
      <c r="A79" t="s">
        <v>66</v>
      </c>
      <c r="B79">
        <v>37.67</v>
      </c>
      <c r="C79">
        <v>11046.598228999999</v>
      </c>
      <c r="D79">
        <f t="shared" si="3"/>
        <v>3.4321801208127403E-2</v>
      </c>
      <c r="E79">
        <f t="shared" si="4"/>
        <v>2.0347900506931096E-2</v>
      </c>
      <c r="F79">
        <f t="shared" si="5"/>
        <v>3.3745947404487844E-2</v>
      </c>
      <c r="H79">
        <f>'Risk-free rate'!C79</f>
        <v>4.2651759303415915E-3</v>
      </c>
    </row>
    <row r="80" spans="1:8" x14ac:dyDescent="0.2">
      <c r="A80" t="s">
        <v>67</v>
      </c>
      <c r="B80">
        <v>37.659999999999997</v>
      </c>
      <c r="C80">
        <v>11241.266073999999</v>
      </c>
      <c r="D80">
        <f t="shared" si="3"/>
        <v>-2.6546323334231792E-4</v>
      </c>
      <c r="E80">
        <f t="shared" si="4"/>
        <v>1.7622424656393281E-2</v>
      </c>
      <c r="F80">
        <f t="shared" si="5"/>
        <v>-2.654984749434771E-4</v>
      </c>
      <c r="H80">
        <f>'Risk-free rate'!C80</f>
        <v>4.2333616592649115E-3</v>
      </c>
    </row>
    <row r="81" spans="1:8" x14ac:dyDescent="0.2">
      <c r="A81" t="s">
        <v>68</v>
      </c>
      <c r="B81">
        <v>38.67</v>
      </c>
      <c r="C81">
        <v>11538.378269999999</v>
      </c>
      <c r="D81">
        <f t="shared" si="3"/>
        <v>2.6818906001062272E-2</v>
      </c>
      <c r="E81">
        <f t="shared" si="4"/>
        <v>2.6430492263428661E-2</v>
      </c>
      <c r="F81">
        <f t="shared" si="5"/>
        <v>2.6465582390199405E-2</v>
      </c>
      <c r="H81">
        <f>'Risk-free rate'!C81</f>
        <v>4.1139593013970188E-3</v>
      </c>
    </row>
    <row r="82" spans="1:8" x14ac:dyDescent="0.2">
      <c r="A82" t="s">
        <v>69</v>
      </c>
      <c r="B82">
        <v>38.99</v>
      </c>
      <c r="C82">
        <v>11749.691392999999</v>
      </c>
      <c r="D82">
        <f t="shared" si="3"/>
        <v>8.2751486940781036E-3</v>
      </c>
      <c r="E82">
        <f t="shared" si="4"/>
        <v>1.8313936157685003E-2</v>
      </c>
      <c r="F82">
        <f t="shared" si="5"/>
        <v>8.2410973753003439E-3</v>
      </c>
      <c r="H82">
        <f>'Risk-free rate'!C82</f>
        <v>3.8507230235700352E-3</v>
      </c>
    </row>
    <row r="83" spans="1:8" x14ac:dyDescent="0.2">
      <c r="A83" t="s">
        <v>70</v>
      </c>
      <c r="B83">
        <v>38.35</v>
      </c>
      <c r="C83">
        <v>11516.613707</v>
      </c>
      <c r="D83">
        <f t="shared" si="3"/>
        <v>-1.6414465247499371E-2</v>
      </c>
      <c r="E83">
        <f t="shared" si="4"/>
        <v>-1.9836919813813764E-2</v>
      </c>
      <c r="F83">
        <f t="shared" si="5"/>
        <v>-1.6550675181240749E-2</v>
      </c>
      <c r="H83">
        <f>'Risk-free rate'!C83</f>
        <v>3.6828128357737633E-3</v>
      </c>
    </row>
    <row r="84" spans="1:8" x14ac:dyDescent="0.2">
      <c r="A84" t="s">
        <v>71</v>
      </c>
      <c r="B84">
        <v>40.17</v>
      </c>
      <c r="C84">
        <v>12045.071732</v>
      </c>
      <c r="D84">
        <f t="shared" si="3"/>
        <v>4.7457627118644076E-2</v>
      </c>
      <c r="E84">
        <f t="shared" si="4"/>
        <v>4.5886580764517078E-2</v>
      </c>
      <c r="F84">
        <f t="shared" si="5"/>
        <v>4.6365920557925558E-2</v>
      </c>
      <c r="H84">
        <f>'Risk-free rate'!C84</f>
        <v>3.6107566318024364E-3</v>
      </c>
    </row>
    <row r="85" spans="1:8" x14ac:dyDescent="0.2">
      <c r="A85" t="s">
        <v>72</v>
      </c>
      <c r="B85">
        <v>39.49</v>
      </c>
      <c r="C85">
        <v>11731.170265000001</v>
      </c>
      <c r="D85">
        <f t="shared" si="3"/>
        <v>-1.692805576300721E-2</v>
      </c>
      <c r="E85">
        <f t="shared" si="4"/>
        <v>-2.6060572654462599E-2</v>
      </c>
      <c r="F85">
        <f t="shared" si="5"/>
        <v>-1.7072973072632829E-2</v>
      </c>
      <c r="H85">
        <f>'Risk-free rate'!C85</f>
        <v>3.4905363507502507E-3</v>
      </c>
    </row>
  </sheetData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A2EA-89BC-4D4C-BE79-3A41B3B18248}">
  <dimension ref="A1:L85"/>
  <sheetViews>
    <sheetView workbookViewId="0">
      <selection activeCell="F3" sqref="F3"/>
    </sheetView>
  </sheetViews>
  <sheetFormatPr baseColWidth="10" defaultRowHeight="15" x14ac:dyDescent="0.2"/>
  <sheetData>
    <row r="1" spans="1:12" ht="48" x14ac:dyDescent="0.2">
      <c r="A1" s="1" t="s">
        <v>0</v>
      </c>
      <c r="B1" s="1" t="s">
        <v>73</v>
      </c>
      <c r="C1" s="1" t="s">
        <v>103</v>
      </c>
      <c r="D1" s="7" t="s">
        <v>104</v>
      </c>
      <c r="E1" s="7" t="s">
        <v>105</v>
      </c>
      <c r="F1" s="9" t="s">
        <v>115</v>
      </c>
      <c r="G1" s="7"/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</row>
    <row r="2" spans="1:12" x14ac:dyDescent="0.2">
      <c r="A2" t="s">
        <v>81</v>
      </c>
      <c r="B2">
        <v>24.86</v>
      </c>
      <c r="C2">
        <v>260.06649800000002</v>
      </c>
      <c r="H2">
        <f>'Risk-free rate'!C2</f>
        <v>1.1674742711142994E-3</v>
      </c>
    </row>
    <row r="3" spans="1:12" x14ac:dyDescent="0.2">
      <c r="A3" t="s">
        <v>82</v>
      </c>
      <c r="B3">
        <v>24.37</v>
      </c>
      <c r="C3">
        <v>249.14415500000001</v>
      </c>
      <c r="D3">
        <f>(B3-B2)/B2</f>
        <v>-1.97103781174577E-2</v>
      </c>
      <c r="E3">
        <f>(C3-C2)/C2</f>
        <v>-4.1998269996314598E-2</v>
      </c>
      <c r="F3">
        <f>LN(B3/B2)</f>
        <v>-1.9907218445450115E-2</v>
      </c>
      <c r="H3">
        <f>'Risk-free rate'!C3</f>
        <v>1.2990121499387719E-3</v>
      </c>
    </row>
    <row r="4" spans="1:12" x14ac:dyDescent="0.2">
      <c r="A4" t="s">
        <v>83</v>
      </c>
      <c r="B4">
        <v>24.22</v>
      </c>
      <c r="C4">
        <v>243.81079</v>
      </c>
      <c r="D4">
        <f t="shared" ref="D4:D67" si="0">(B4-B3)/B3</f>
        <v>-6.1551087402544986E-3</v>
      </c>
      <c r="E4">
        <f t="shared" ref="E4:E67" si="1">(C4-C3)/C3</f>
        <v>-2.1406743417279907E-2</v>
      </c>
      <c r="F4">
        <f t="shared" ref="F4:F67" si="2">LN(B4/B3)</f>
        <v>-6.1741295121687419E-3</v>
      </c>
      <c r="H4">
        <f>'Risk-free rate'!C4</f>
        <v>1.4057468926966799E-3</v>
      </c>
    </row>
    <row r="5" spans="1:12" x14ac:dyDescent="0.2">
      <c r="A5" t="s">
        <v>84</v>
      </c>
      <c r="B5">
        <v>24.62</v>
      </c>
      <c r="C5">
        <v>246.13907699999999</v>
      </c>
      <c r="D5">
        <f t="shared" si="0"/>
        <v>1.6515276630883657E-2</v>
      </c>
      <c r="E5">
        <f t="shared" si="1"/>
        <v>9.5495650541142542E-3</v>
      </c>
      <c r="F5">
        <f t="shared" si="2"/>
        <v>1.6380382631361282E-2</v>
      </c>
      <c r="H5">
        <f>'Risk-free rate'!C5</f>
        <v>1.4549669057570824E-3</v>
      </c>
    </row>
    <row r="6" spans="1:12" x14ac:dyDescent="0.2">
      <c r="A6" t="s">
        <v>85</v>
      </c>
      <c r="B6">
        <v>26.11</v>
      </c>
      <c r="C6">
        <v>246.44637800000001</v>
      </c>
      <c r="D6">
        <f t="shared" si="0"/>
        <v>6.0519902518277754E-2</v>
      </c>
      <c r="E6">
        <f t="shared" si="1"/>
        <v>1.2484852212232185E-3</v>
      </c>
      <c r="F6">
        <f t="shared" si="2"/>
        <v>5.8759261954729872E-2</v>
      </c>
      <c r="H6">
        <f>'Risk-free rate'!C6</f>
        <v>1.5369411743291206E-3</v>
      </c>
    </row>
    <row r="7" spans="1:12" x14ac:dyDescent="0.2">
      <c r="A7" t="s">
        <v>86</v>
      </c>
      <c r="B7">
        <v>25.82</v>
      </c>
      <c r="C7">
        <v>245.111774</v>
      </c>
      <c r="D7">
        <f t="shared" si="0"/>
        <v>-1.1106855610877027E-2</v>
      </c>
      <c r="E7">
        <f t="shared" si="1"/>
        <v>-5.4153930393735098E-3</v>
      </c>
      <c r="F7">
        <f t="shared" si="2"/>
        <v>-1.1168997292540965E-2</v>
      </c>
      <c r="H7">
        <f>'Risk-free rate'!C7</f>
        <v>1.5697102274137009E-3</v>
      </c>
    </row>
    <row r="8" spans="1:12" x14ac:dyDescent="0.2">
      <c r="A8" t="s">
        <v>87</v>
      </c>
      <c r="B8">
        <v>25.35</v>
      </c>
      <c r="C8">
        <v>252.503546</v>
      </c>
      <c r="D8">
        <f t="shared" si="0"/>
        <v>-1.8202943454686246E-2</v>
      </c>
      <c r="E8">
        <f t="shared" si="1"/>
        <v>3.0156739839025452E-2</v>
      </c>
      <c r="F8">
        <f t="shared" si="2"/>
        <v>-1.8370655381304186E-2</v>
      </c>
      <c r="H8">
        <f>'Risk-free rate'!C8</f>
        <v>1.6188417051281601E-3</v>
      </c>
    </row>
    <row r="9" spans="1:12" x14ac:dyDescent="0.2">
      <c r="A9" t="s">
        <v>88</v>
      </c>
      <c r="B9">
        <v>25.72</v>
      </c>
      <c r="C9">
        <v>254.48731100000001</v>
      </c>
      <c r="D9">
        <f t="shared" si="0"/>
        <v>1.4595660749506802E-2</v>
      </c>
      <c r="E9">
        <f t="shared" si="1"/>
        <v>7.8563847178605775E-3</v>
      </c>
      <c r="F9">
        <f t="shared" si="2"/>
        <v>1.4490169332226367E-2</v>
      </c>
      <c r="H9">
        <f>'Risk-free rate'!C9</f>
        <v>1.6761282769228725E-3</v>
      </c>
    </row>
    <row r="10" spans="1:12" x14ac:dyDescent="0.2">
      <c r="A10" t="s">
        <v>89</v>
      </c>
      <c r="B10">
        <v>25.39</v>
      </c>
      <c r="C10">
        <v>255.59489199999999</v>
      </c>
      <c r="D10">
        <f t="shared" si="0"/>
        <v>-1.2830482115085471E-2</v>
      </c>
      <c r="E10">
        <f t="shared" si="1"/>
        <v>4.3522052068049157E-3</v>
      </c>
      <c r="F10">
        <f t="shared" si="2"/>
        <v>-1.291350365283145E-2</v>
      </c>
      <c r="H10">
        <f>'Risk-free rate'!C10</f>
        <v>1.7579037712718293E-3</v>
      </c>
    </row>
    <row r="11" spans="1:12" x14ac:dyDescent="0.2">
      <c r="A11" t="s">
        <v>90</v>
      </c>
      <c r="B11">
        <v>22.58</v>
      </c>
      <c r="C11">
        <v>236.44088300000001</v>
      </c>
      <c r="D11">
        <f t="shared" si="0"/>
        <v>-0.11067349350137859</v>
      </c>
      <c r="E11">
        <f t="shared" si="1"/>
        <v>-7.4938935008137697E-2</v>
      </c>
      <c r="F11">
        <f t="shared" si="2"/>
        <v>-0.11729083699507119</v>
      </c>
      <c r="H11">
        <f>'Risk-free rate'!C11</f>
        <v>1.855937535336194E-3</v>
      </c>
    </row>
    <row r="12" spans="1:12" x14ac:dyDescent="0.2">
      <c r="A12" t="s">
        <v>91</v>
      </c>
      <c r="B12">
        <v>22.94</v>
      </c>
      <c r="C12">
        <v>239.89893000000001</v>
      </c>
      <c r="D12">
        <f t="shared" si="0"/>
        <v>1.5943312666076306E-2</v>
      </c>
      <c r="E12">
        <f t="shared" si="1"/>
        <v>1.4625419073570256E-2</v>
      </c>
      <c r="F12">
        <f t="shared" si="2"/>
        <v>1.5817552979708899E-2</v>
      </c>
      <c r="H12">
        <f>'Risk-free rate'!C12</f>
        <v>1.921234803683225E-3</v>
      </c>
    </row>
    <row r="13" spans="1:12" x14ac:dyDescent="0.2">
      <c r="A13" t="s">
        <v>92</v>
      </c>
      <c r="B13">
        <v>21.5</v>
      </c>
      <c r="C13">
        <v>223.00177600000001</v>
      </c>
      <c r="D13">
        <f t="shared" si="0"/>
        <v>-6.2772449869224117E-2</v>
      </c>
      <c r="E13">
        <f t="shared" si="1"/>
        <v>-7.0434470049532946E-2</v>
      </c>
      <c r="F13">
        <f t="shared" si="2"/>
        <v>-6.4829176567607602E-2</v>
      </c>
      <c r="H13">
        <f>'Risk-free rate'!C13</f>
        <v>1.9538658918776264E-3</v>
      </c>
    </row>
    <row r="14" spans="1:12" x14ac:dyDescent="0.2">
      <c r="A14" t="s">
        <v>4</v>
      </c>
      <c r="B14">
        <v>23.7600002288818</v>
      </c>
      <c r="C14">
        <v>240.60990200000001</v>
      </c>
      <c r="D14">
        <f t="shared" si="0"/>
        <v>0.10511628971543258</v>
      </c>
      <c r="E14">
        <f t="shared" si="1"/>
        <v>7.8959577434038003E-2</v>
      </c>
      <c r="F14">
        <f t="shared" si="2"/>
        <v>9.9950568993899369E-2</v>
      </c>
      <c r="H14">
        <f>'Risk-free rate'!C14</f>
        <v>1.9538658918776264E-3</v>
      </c>
    </row>
    <row r="15" spans="1:12" x14ac:dyDescent="0.2">
      <c r="A15" t="s">
        <v>5</v>
      </c>
      <c r="B15">
        <v>24.4799995422363</v>
      </c>
      <c r="C15">
        <v>247.04553100000001</v>
      </c>
      <c r="D15">
        <f t="shared" si="0"/>
        <v>3.030300111189789E-2</v>
      </c>
      <c r="E15">
        <f t="shared" si="1"/>
        <v>2.6747149416984532E-2</v>
      </c>
      <c r="F15">
        <f t="shared" si="2"/>
        <v>2.9852934817111043E-2</v>
      </c>
      <c r="H15">
        <f>'Risk-free rate'!C15</f>
        <v>1.970177053312705E-3</v>
      </c>
    </row>
    <row r="16" spans="1:12" x14ac:dyDescent="0.2">
      <c r="A16" t="s">
        <v>6</v>
      </c>
      <c r="B16">
        <v>25.4699993133544</v>
      </c>
      <c r="C16">
        <v>250.152376</v>
      </c>
      <c r="D16">
        <f t="shared" si="0"/>
        <v>4.044116787706694E-2</v>
      </c>
      <c r="E16">
        <f t="shared" si="1"/>
        <v>1.2576001627813266E-2</v>
      </c>
      <c r="F16">
        <f t="shared" si="2"/>
        <v>3.9644823087742698E-2</v>
      </c>
      <c r="H16">
        <f>'Risk-free rate'!C16</f>
        <v>1.9783315388433032E-3</v>
      </c>
    </row>
    <row r="17" spans="1:8" x14ac:dyDescent="0.2">
      <c r="A17" t="s">
        <v>7</v>
      </c>
      <c r="B17">
        <v>26.75</v>
      </c>
      <c r="C17">
        <v>258.598928</v>
      </c>
      <c r="D17">
        <f t="shared" si="0"/>
        <v>5.0255230512490499E-2</v>
      </c>
      <c r="E17">
        <f t="shared" si="1"/>
        <v>3.376562771484528E-2</v>
      </c>
      <c r="F17">
        <f t="shared" si="2"/>
        <v>4.9033211309645268E-2</v>
      </c>
      <c r="H17">
        <f>'Risk-free rate'!C17</f>
        <v>1.9620218377029985E-3</v>
      </c>
    </row>
    <row r="18" spans="1:8" x14ac:dyDescent="0.2">
      <c r="A18" t="s">
        <v>8</v>
      </c>
      <c r="B18">
        <v>25.5100002288818</v>
      </c>
      <c r="C18">
        <v>243.25909100000001</v>
      </c>
      <c r="D18">
        <f t="shared" si="0"/>
        <v>-4.6355131630586903E-2</v>
      </c>
      <c r="E18">
        <f t="shared" si="1"/>
        <v>-5.9319027803549085E-2</v>
      </c>
      <c r="F18">
        <f t="shared" si="2"/>
        <v>-4.7463932216057221E-2</v>
      </c>
      <c r="H18">
        <f>'Risk-free rate'!C18</f>
        <v>1.937551809032545E-3</v>
      </c>
    </row>
    <row r="19" spans="1:8" x14ac:dyDescent="0.2">
      <c r="A19" t="s">
        <v>9</v>
      </c>
      <c r="B19">
        <v>27.079999923706001</v>
      </c>
      <c r="C19">
        <v>259.18760200000003</v>
      </c>
      <c r="D19">
        <f t="shared" si="0"/>
        <v>6.1544479840760079E-2</v>
      </c>
      <c r="E19">
        <f t="shared" si="1"/>
        <v>6.5479612435121751E-2</v>
      </c>
      <c r="F19">
        <f t="shared" si="2"/>
        <v>5.9724904100759951E-2</v>
      </c>
      <c r="H19">
        <f>'Risk-free rate'!C19</f>
        <v>1.7905934192179451E-3</v>
      </c>
    </row>
    <row r="20" spans="1:8" x14ac:dyDescent="0.2">
      <c r="A20" t="s">
        <v>10</v>
      </c>
      <c r="B20">
        <v>26.870000839233398</v>
      </c>
      <c r="C20">
        <v>259.94706100000002</v>
      </c>
      <c r="D20">
        <f t="shared" si="0"/>
        <v>-7.7547668044403665E-3</v>
      </c>
      <c r="E20">
        <f t="shared" si="1"/>
        <v>2.9301517284765514E-3</v>
      </c>
      <c r="F20">
        <f t="shared" si="2"/>
        <v>-7.7849913662188354E-3</v>
      </c>
      <c r="H20">
        <f>'Risk-free rate'!C20</f>
        <v>1.73337883251512E-3</v>
      </c>
    </row>
    <row r="21" spans="1:8" x14ac:dyDescent="0.2">
      <c r="A21" t="s">
        <v>11</v>
      </c>
      <c r="B21">
        <v>26.549999237060501</v>
      </c>
      <c r="C21">
        <v>253.780519</v>
      </c>
      <c r="D21">
        <f t="shared" si="0"/>
        <v>-1.1909251662756085E-2</v>
      </c>
      <c r="E21">
        <f t="shared" si="1"/>
        <v>-2.372229936463879E-2</v>
      </c>
      <c r="F21">
        <f t="shared" si="2"/>
        <v>-1.1980734908503059E-2</v>
      </c>
      <c r="H21">
        <f>'Risk-free rate'!C21</f>
        <v>1.6106549662961989E-3</v>
      </c>
    </row>
    <row r="22" spans="1:8" x14ac:dyDescent="0.2">
      <c r="A22" t="s">
        <v>12</v>
      </c>
      <c r="B22">
        <v>26.129999160766602</v>
      </c>
      <c r="C22">
        <v>259.12045499999999</v>
      </c>
      <c r="D22">
        <f t="shared" si="0"/>
        <v>-1.5819212367721321E-2</v>
      </c>
      <c r="E22">
        <f t="shared" si="1"/>
        <v>2.1041552050730869E-2</v>
      </c>
      <c r="F22">
        <f t="shared" si="2"/>
        <v>-1.5945671537095352E-2</v>
      </c>
      <c r="H22">
        <f>'Risk-free rate'!C22</f>
        <v>1.5615190697231274E-3</v>
      </c>
    </row>
    <row r="23" spans="1:8" x14ac:dyDescent="0.2">
      <c r="A23" t="s">
        <v>13</v>
      </c>
      <c r="B23">
        <v>27.059999465942301</v>
      </c>
      <c r="C23">
        <v>266.21224999999998</v>
      </c>
      <c r="D23">
        <f t="shared" si="0"/>
        <v>3.5591287219483216E-2</v>
      </c>
      <c r="E23">
        <f t="shared" si="1"/>
        <v>2.7368719308554744E-2</v>
      </c>
      <c r="F23">
        <f t="shared" si="2"/>
        <v>3.4972555591683864E-2</v>
      </c>
      <c r="H23">
        <f>'Risk-free rate'!C23</f>
        <v>1.364709877352599E-3</v>
      </c>
    </row>
    <row r="24" spans="1:8" x14ac:dyDescent="0.2">
      <c r="A24" t="s">
        <v>14</v>
      </c>
      <c r="B24">
        <v>28.420000076293899</v>
      </c>
      <c r="C24">
        <v>272.71087999999997</v>
      </c>
      <c r="D24">
        <f t="shared" si="0"/>
        <v>5.0258707952426013E-2</v>
      </c>
      <c r="E24">
        <f t="shared" si="1"/>
        <v>2.4411461155525307E-2</v>
      </c>
      <c r="F24">
        <f t="shared" si="2"/>
        <v>4.9036522346883972E-2</v>
      </c>
      <c r="H24">
        <f>'Risk-free rate'!C24</f>
        <v>1.2743632726075482E-3</v>
      </c>
    </row>
    <row r="25" spans="1:8" x14ac:dyDescent="0.2">
      <c r="A25" t="s">
        <v>15</v>
      </c>
      <c r="B25">
        <v>29.120000839233398</v>
      </c>
      <c r="C25">
        <v>282.31445300000001</v>
      </c>
      <c r="D25">
        <f t="shared" si="0"/>
        <v>2.4630568650961901E-2</v>
      </c>
      <c r="E25">
        <f t="shared" si="1"/>
        <v>3.5215217669350193E-2</v>
      </c>
      <c r="F25">
        <f t="shared" si="2"/>
        <v>2.4332126794843985E-2</v>
      </c>
      <c r="H25">
        <f>'Risk-free rate'!C25</f>
        <v>1.2743632726075482E-3</v>
      </c>
    </row>
    <row r="26" spans="1:8" x14ac:dyDescent="0.2">
      <c r="A26" t="s">
        <v>16</v>
      </c>
      <c r="B26">
        <v>29.7000007629394</v>
      </c>
      <c r="C26">
        <v>279.19602800000001</v>
      </c>
      <c r="D26">
        <f t="shared" si="0"/>
        <v>1.991757922357499E-2</v>
      </c>
      <c r="E26">
        <f t="shared" si="1"/>
        <v>-1.1045927570700753E-2</v>
      </c>
      <c r="F26">
        <f t="shared" si="2"/>
        <v>1.9721819348535913E-2</v>
      </c>
      <c r="H26">
        <f>'Risk-free rate'!C26</f>
        <v>1.2579269787644787E-3</v>
      </c>
    </row>
    <row r="27" spans="1:8" x14ac:dyDescent="0.2">
      <c r="A27" t="s">
        <v>17</v>
      </c>
      <c r="B27">
        <v>28.389999389648398</v>
      </c>
      <c r="C27">
        <v>256.64542499999999</v>
      </c>
      <c r="D27">
        <f t="shared" si="0"/>
        <v>-4.4107789213448864E-2</v>
      </c>
      <c r="E27">
        <f t="shared" si="1"/>
        <v>-8.0769784446933543E-2</v>
      </c>
      <c r="F27">
        <f t="shared" si="2"/>
        <v>-4.5110122510792841E-2</v>
      </c>
      <c r="H27">
        <f>'Risk-free rate'!C27</f>
        <v>1.2579269787644787E-3</v>
      </c>
    </row>
    <row r="28" spans="1:8" x14ac:dyDescent="0.2">
      <c r="A28" t="s">
        <v>18</v>
      </c>
      <c r="B28">
        <v>25.709999084472599</v>
      </c>
      <c r="C28">
        <v>221.99744200000001</v>
      </c>
      <c r="D28">
        <f t="shared" si="0"/>
        <v>-9.4399449200163937E-2</v>
      </c>
      <c r="E28">
        <f t="shared" si="1"/>
        <v>-0.13500331439767524</v>
      </c>
      <c r="F28">
        <f t="shared" si="2"/>
        <v>-9.9156963318036875E-2</v>
      </c>
      <c r="H28">
        <f>'Risk-free rate'!C28</f>
        <v>2.4134604527370485E-4</v>
      </c>
    </row>
    <row r="29" spans="1:8" x14ac:dyDescent="0.2">
      <c r="A29" t="s">
        <v>19</v>
      </c>
      <c r="B29">
        <v>29</v>
      </c>
      <c r="C29">
        <v>245.778931</v>
      </c>
      <c r="D29">
        <f t="shared" si="0"/>
        <v>0.12796581223973583</v>
      </c>
      <c r="E29">
        <f t="shared" si="1"/>
        <v>0.10712505867522561</v>
      </c>
      <c r="F29">
        <f t="shared" si="2"/>
        <v>0.12041584431845484</v>
      </c>
      <c r="H29">
        <f>'Risk-free rate'!C29</f>
        <v>1.1659187244639213E-4</v>
      </c>
    </row>
    <row r="30" spans="1:8" x14ac:dyDescent="0.2">
      <c r="A30" t="s">
        <v>20</v>
      </c>
      <c r="B30">
        <v>31.520000457763601</v>
      </c>
      <c r="C30">
        <v>256.46810699999997</v>
      </c>
      <c r="D30">
        <f t="shared" si="0"/>
        <v>8.6896567509089681E-2</v>
      </c>
      <c r="E30">
        <f t="shared" si="1"/>
        <v>4.3491018357468464E-2</v>
      </c>
      <c r="F30">
        <f t="shared" si="2"/>
        <v>8.3326449526161028E-2</v>
      </c>
      <c r="H30">
        <f>'Risk-free rate'!C30</f>
        <v>1.0826883828274347E-4</v>
      </c>
    </row>
    <row r="31" spans="1:8" x14ac:dyDescent="0.2">
      <c r="A31" t="s">
        <v>21</v>
      </c>
      <c r="B31">
        <v>33.849998474121001</v>
      </c>
      <c r="C31">
        <v>264.66290300000003</v>
      </c>
      <c r="D31">
        <f t="shared" si="0"/>
        <v>7.3921255790575513E-2</v>
      </c>
      <c r="E31">
        <f t="shared" si="1"/>
        <v>3.1952495364267863E-2</v>
      </c>
      <c r="F31">
        <f t="shared" si="2"/>
        <v>7.1316674767981703E-2</v>
      </c>
      <c r="H31">
        <f>'Risk-free rate'!C31</f>
        <v>1.3323565538980731E-4</v>
      </c>
    </row>
    <row r="32" spans="1:8" x14ac:dyDescent="0.2">
      <c r="A32" t="s">
        <v>22</v>
      </c>
      <c r="B32">
        <v>36.159999847412102</v>
      </c>
      <c r="C32">
        <v>278.66013900000002</v>
      </c>
      <c r="D32">
        <f t="shared" si="0"/>
        <v>6.8242288845511853E-2</v>
      </c>
      <c r="E32">
        <f t="shared" si="1"/>
        <v>5.2887034190809826E-2</v>
      </c>
      <c r="F32">
        <f t="shared" si="2"/>
        <v>6.6014577023560839E-2</v>
      </c>
      <c r="H32">
        <f>'Risk-free rate'!C32</f>
        <v>1.0826883828274347E-4</v>
      </c>
    </row>
    <row r="33" spans="1:8" x14ac:dyDescent="0.2">
      <c r="A33" t="s">
        <v>74</v>
      </c>
      <c r="B33">
        <v>40.349998474121001</v>
      </c>
      <c r="C33">
        <v>295.71556299999997</v>
      </c>
      <c r="D33">
        <f t="shared" si="0"/>
        <v>0.11587385631609091</v>
      </c>
      <c r="E33">
        <f t="shared" si="1"/>
        <v>6.1205108348847695E-2</v>
      </c>
      <c r="F33">
        <f t="shared" si="2"/>
        <v>0.1096378255956951</v>
      </c>
      <c r="H33">
        <f>'Risk-free rate'!C33</f>
        <v>8.3295163273211514E-5</v>
      </c>
    </row>
    <row r="34" spans="1:8" x14ac:dyDescent="0.2">
      <c r="A34" t="s">
        <v>23</v>
      </c>
      <c r="B34">
        <v>40.189998626708899</v>
      </c>
      <c r="C34">
        <v>286.180744</v>
      </c>
      <c r="D34">
        <f t="shared" si="0"/>
        <v>-3.9652999619001292E-3</v>
      </c>
      <c r="E34">
        <f t="shared" si="1"/>
        <v>-3.2243210006501995E-2</v>
      </c>
      <c r="F34">
        <f t="shared" si="2"/>
        <v>-3.9731826087338312E-3</v>
      </c>
      <c r="H34">
        <f>'Risk-free rate'!C34</f>
        <v>9.1620483841925449E-5</v>
      </c>
    </row>
    <row r="35" spans="1:8" x14ac:dyDescent="0.2">
      <c r="A35" t="s">
        <v>24</v>
      </c>
      <c r="B35">
        <v>39.409999847412102</v>
      </c>
      <c r="C35">
        <v>279.22409299999998</v>
      </c>
      <c r="D35">
        <f t="shared" si="0"/>
        <v>-1.9407783178634803E-2</v>
      </c>
      <c r="E35">
        <f t="shared" si="1"/>
        <v>-2.4308592195147909E-2</v>
      </c>
      <c r="F35">
        <f t="shared" si="2"/>
        <v>-1.9598586956033254E-2</v>
      </c>
      <c r="H35">
        <f>'Risk-free rate'!C35</f>
        <v>8.3295163273211514E-5</v>
      </c>
    </row>
    <row r="36" spans="1:8" x14ac:dyDescent="0.2">
      <c r="A36" t="s">
        <v>25</v>
      </c>
      <c r="B36">
        <v>43.75</v>
      </c>
      <c r="C36">
        <v>313.64207099999999</v>
      </c>
      <c r="D36">
        <f t="shared" si="0"/>
        <v>0.11012433822358637</v>
      </c>
      <c r="E36">
        <f t="shared" si="1"/>
        <v>0.12326292344693911</v>
      </c>
      <c r="F36">
        <f t="shared" si="2"/>
        <v>0.10447202546851771</v>
      </c>
      <c r="H36">
        <f>'Risk-free rate'!C36</f>
        <v>7.4969080277487166E-5</v>
      </c>
    </row>
    <row r="37" spans="1:8" x14ac:dyDescent="0.2">
      <c r="A37" t="s">
        <v>26</v>
      </c>
      <c r="B37">
        <v>44.75</v>
      </c>
      <c r="C37">
        <v>328.20430499999998</v>
      </c>
      <c r="D37">
        <f t="shared" si="0"/>
        <v>2.2857142857142857E-2</v>
      </c>
      <c r="E37">
        <f t="shared" si="1"/>
        <v>4.6429466409179491E-2</v>
      </c>
      <c r="F37">
        <f t="shared" si="2"/>
        <v>2.2599831917240992E-2</v>
      </c>
      <c r="H37">
        <f>'Risk-free rate'!C37</f>
        <v>7.4969080277487166E-5</v>
      </c>
    </row>
    <row r="38" spans="1:8" x14ac:dyDescent="0.2">
      <c r="A38" t="s">
        <v>27</v>
      </c>
      <c r="B38">
        <v>44.209999084472599</v>
      </c>
      <c r="C38">
        <v>326.71161699999999</v>
      </c>
      <c r="D38">
        <f t="shared" si="0"/>
        <v>-1.2067059564858113E-2</v>
      </c>
      <c r="E38">
        <f t="shared" si="1"/>
        <v>-4.5480451574210368E-3</v>
      </c>
      <c r="F38">
        <f t="shared" si="2"/>
        <v>-1.2140457591317138E-2</v>
      </c>
      <c r="H38">
        <f>'Risk-free rate'!C38</f>
        <v>6.6642234708869097E-5</v>
      </c>
    </row>
    <row r="39" spans="1:8" x14ac:dyDescent="0.2">
      <c r="A39" t="s">
        <v>28</v>
      </c>
      <c r="B39">
        <v>45.840000152587798</v>
      </c>
      <c r="C39">
        <v>334.27938599999999</v>
      </c>
      <c r="D39">
        <f t="shared" si="0"/>
        <v>3.6869511465058742E-2</v>
      </c>
      <c r="E39">
        <f t="shared" si="1"/>
        <v>2.3163452433954922E-2</v>
      </c>
      <c r="F39">
        <f t="shared" si="2"/>
        <v>3.6206088605641097E-2</v>
      </c>
      <c r="H39">
        <f>'Risk-free rate'!C39</f>
        <v>3.3327223783574667E-5</v>
      </c>
    </row>
    <row r="40" spans="1:8" x14ac:dyDescent="0.2">
      <c r="A40" t="s">
        <v>29</v>
      </c>
      <c r="B40">
        <v>44.209999084472599</v>
      </c>
      <c r="C40">
        <v>343.20776799999999</v>
      </c>
      <c r="D40">
        <f t="shared" si="0"/>
        <v>-3.5558487405964387E-2</v>
      </c>
      <c r="E40">
        <f t="shared" si="1"/>
        <v>2.6709340671099591E-2</v>
      </c>
      <c r="F40">
        <f t="shared" si="2"/>
        <v>-3.6206088605641007E-2</v>
      </c>
      <c r="H40">
        <f>'Risk-free rate'!C40</f>
        <v>2.4996563158685703E-5</v>
      </c>
    </row>
    <row r="41" spans="1:8" x14ac:dyDescent="0.2">
      <c r="A41" t="s">
        <v>30</v>
      </c>
      <c r="B41">
        <v>46.849998474121001</v>
      </c>
      <c r="C41">
        <v>358.21367900000001</v>
      </c>
      <c r="D41">
        <f t="shared" si="0"/>
        <v>5.9714984037980236E-2</v>
      </c>
      <c r="E41">
        <f t="shared" si="1"/>
        <v>4.3722527282657617E-2</v>
      </c>
      <c r="F41">
        <f t="shared" si="2"/>
        <v>5.7999988985427783E-2</v>
      </c>
      <c r="H41">
        <f>'Risk-free rate'!C41</f>
        <v>1.6665139084048874E-5</v>
      </c>
    </row>
    <row r="42" spans="1:8" x14ac:dyDescent="0.2">
      <c r="A42" t="s">
        <v>76</v>
      </c>
      <c r="B42">
        <v>46.080001831054602</v>
      </c>
      <c r="C42">
        <v>363.78834899999998</v>
      </c>
      <c r="D42">
        <f t="shared" si="0"/>
        <v>-1.6435361113015402E-2</v>
      </c>
      <c r="E42">
        <f t="shared" si="1"/>
        <v>1.5562415191855274E-2</v>
      </c>
      <c r="F42">
        <f t="shared" si="2"/>
        <v>-1.657191999091193E-2</v>
      </c>
      <c r="H42">
        <f>'Risk-free rate'!C42</f>
        <v>1.6665139084048874E-5</v>
      </c>
    </row>
    <row r="43" spans="1:8" x14ac:dyDescent="0.2">
      <c r="A43" t="s">
        <v>31</v>
      </c>
      <c r="B43">
        <v>47.659999847412102</v>
      </c>
      <c r="C43">
        <v>368.58210000000003</v>
      </c>
      <c r="D43">
        <f t="shared" si="0"/>
        <v>3.4288150034158534E-2</v>
      </c>
      <c r="E43">
        <f t="shared" si="1"/>
        <v>1.3177307665782454E-2</v>
      </c>
      <c r="F43">
        <f t="shared" si="2"/>
        <v>3.371341234494056E-2</v>
      </c>
      <c r="H43">
        <f>'Risk-free rate'!C43</f>
        <v>3.3327223783574667E-5</v>
      </c>
    </row>
    <row r="44" spans="1:8" x14ac:dyDescent="0.2">
      <c r="A44" t="s">
        <v>32</v>
      </c>
      <c r="B44">
        <v>46.380001068115199</v>
      </c>
      <c r="C44">
        <v>371.12192199999998</v>
      </c>
      <c r="D44">
        <f t="shared" si="0"/>
        <v>-2.6856877536612211E-2</v>
      </c>
      <c r="E44">
        <f t="shared" si="1"/>
        <v>6.8907904100604942E-3</v>
      </c>
      <c r="F44">
        <f t="shared" si="2"/>
        <v>-2.722411361196761E-2</v>
      </c>
      <c r="H44">
        <f>'Risk-free rate'!C44</f>
        <v>4.1657121104599071E-5</v>
      </c>
    </row>
    <row r="45" spans="1:8" x14ac:dyDescent="0.2">
      <c r="A45" t="s">
        <v>33</v>
      </c>
      <c r="B45">
        <v>47.380001068115199</v>
      </c>
      <c r="C45">
        <v>380.41085199999998</v>
      </c>
      <c r="D45">
        <f t="shared" si="0"/>
        <v>2.1561017183491803E-2</v>
      </c>
      <c r="E45">
        <f t="shared" si="1"/>
        <v>2.5029321765584072E-2</v>
      </c>
      <c r="F45">
        <f t="shared" si="2"/>
        <v>2.133186641719122E-2</v>
      </c>
      <c r="H45">
        <f>'Risk-free rate'!C45</f>
        <v>4.1657121104599071E-5</v>
      </c>
    </row>
    <row r="46" spans="1:8" x14ac:dyDescent="0.2">
      <c r="A46" t="s">
        <v>34</v>
      </c>
      <c r="B46">
        <v>45.209999084472599</v>
      </c>
      <c r="C46">
        <v>364.69617399999998</v>
      </c>
      <c r="D46">
        <f t="shared" si="0"/>
        <v>-4.5799956410362386E-2</v>
      </c>
      <c r="E46">
        <f t="shared" si="1"/>
        <v>-4.1309752120320668E-2</v>
      </c>
      <c r="F46">
        <f t="shared" si="2"/>
        <v>-4.6881940218264334E-2</v>
      </c>
      <c r="H46">
        <f>'Risk-free rate'!C46</f>
        <v>3.3327223783574667E-5</v>
      </c>
    </row>
    <row r="47" spans="1:8" x14ac:dyDescent="0.2">
      <c r="A47" t="s">
        <v>35</v>
      </c>
      <c r="B47">
        <v>47.560001373291001</v>
      </c>
      <c r="C47">
        <v>383.31155100000001</v>
      </c>
      <c r="D47">
        <f t="shared" si="0"/>
        <v>5.1979702198788842E-2</v>
      </c>
      <c r="E47">
        <f t="shared" si="1"/>
        <v>5.1043521504012333E-2</v>
      </c>
      <c r="F47">
        <f t="shared" si="2"/>
        <v>5.0673819641533835E-2</v>
      </c>
      <c r="H47">
        <f>'Risk-free rate'!C47</f>
        <v>4.1657121104599071E-5</v>
      </c>
    </row>
    <row r="48" spans="1:8" x14ac:dyDescent="0.2">
      <c r="A48" t="s">
        <v>36</v>
      </c>
      <c r="B48">
        <v>44.830001831054602</v>
      </c>
      <c r="C48">
        <v>374.08123499999999</v>
      </c>
      <c r="D48">
        <f t="shared" si="0"/>
        <v>-5.7401166177626035E-2</v>
      </c>
      <c r="E48">
        <f t="shared" si="1"/>
        <v>-2.4080453552520299E-2</v>
      </c>
      <c r="F48">
        <f t="shared" si="2"/>
        <v>-5.9114501685745939E-2</v>
      </c>
      <c r="H48">
        <f>'Risk-free rate'!C48</f>
        <v>4.1657121104599071E-5</v>
      </c>
    </row>
    <row r="49" spans="1:8" x14ac:dyDescent="0.2">
      <c r="A49" t="s">
        <v>37</v>
      </c>
      <c r="B49">
        <v>42.689998626708899</v>
      </c>
      <c r="C49">
        <v>389.04467</v>
      </c>
      <c r="D49">
        <f t="shared" si="0"/>
        <v>-4.773596067228536E-2</v>
      </c>
      <c r="E49">
        <f t="shared" si="1"/>
        <v>4.0000496148918041E-2</v>
      </c>
      <c r="F49">
        <f t="shared" si="2"/>
        <v>-4.8912930410798271E-2</v>
      </c>
      <c r="H49">
        <f>'Risk-free rate'!C49</f>
        <v>4.99862552685304E-5</v>
      </c>
    </row>
    <row r="50" spans="1:8" x14ac:dyDescent="0.2">
      <c r="A50" t="s">
        <v>38</v>
      </c>
      <c r="B50">
        <v>38.029998779296797</v>
      </c>
      <c r="C50">
        <v>369.93775199999999</v>
      </c>
      <c r="D50">
        <f t="shared" si="0"/>
        <v>-0.10915905357974372</v>
      </c>
      <c r="E50">
        <f t="shared" si="1"/>
        <v>-4.9112401411385502E-2</v>
      </c>
      <c r="F50">
        <f t="shared" si="2"/>
        <v>-0.1155893787592123</v>
      </c>
      <c r="H50">
        <f>'Risk-free rate'!C50</f>
        <v>1.2491414476678564E-4</v>
      </c>
    </row>
    <row r="51" spans="1:8" x14ac:dyDescent="0.2">
      <c r="A51" t="s">
        <v>39</v>
      </c>
      <c r="B51">
        <v>35.099998474121001</v>
      </c>
      <c r="C51">
        <v>360.38328000000001</v>
      </c>
      <c r="D51">
        <f t="shared" si="0"/>
        <v>-7.7044449098716841E-2</v>
      </c>
      <c r="E51">
        <f t="shared" si="1"/>
        <v>-2.5827242416718736E-2</v>
      </c>
      <c r="F51">
        <f t="shared" si="2"/>
        <v>-8.0174202842257153E-2</v>
      </c>
      <c r="H51">
        <f>'Risk-free rate'!C51</f>
        <v>2.7458493733023559E-4</v>
      </c>
    </row>
    <row r="52" spans="1:8" x14ac:dyDescent="0.2">
      <c r="A52" t="s">
        <v>40</v>
      </c>
      <c r="B52">
        <v>34.029998779296797</v>
      </c>
      <c r="C52">
        <v>368.188827</v>
      </c>
      <c r="D52">
        <f t="shared" si="0"/>
        <v>-3.048432311508812E-2</v>
      </c>
      <c r="E52">
        <f t="shared" si="1"/>
        <v>2.1659015368304516E-2</v>
      </c>
      <c r="F52">
        <f t="shared" si="2"/>
        <v>-3.0958634358053454E-2</v>
      </c>
      <c r="H52">
        <f>'Risk-free rate'!C52</f>
        <v>3.6592929423662213E-4</v>
      </c>
    </row>
    <row r="53" spans="1:8" x14ac:dyDescent="0.2">
      <c r="A53" t="s">
        <v>41</v>
      </c>
      <c r="B53">
        <v>28.940000534057599</v>
      </c>
      <c r="C53">
        <v>338.71831800000001</v>
      </c>
      <c r="D53">
        <f t="shared" si="0"/>
        <v>-0.14957385917791616</v>
      </c>
      <c r="E53">
        <f t="shared" si="1"/>
        <v>-8.0041834077708152E-2</v>
      </c>
      <c r="F53">
        <f t="shared" si="2"/>
        <v>-0.16201771298413198</v>
      </c>
      <c r="H53">
        <f>'Risk-free rate'!C53</f>
        <v>6.3113787510671315E-4</v>
      </c>
    </row>
    <row r="54" spans="1:8" x14ac:dyDescent="0.2">
      <c r="A54" t="s">
        <v>42</v>
      </c>
      <c r="B54">
        <v>27.4799995422363</v>
      </c>
      <c r="C54">
        <v>339.11470700000001</v>
      </c>
      <c r="D54">
        <f t="shared" si="0"/>
        <v>-5.0449238592899119E-2</v>
      </c>
      <c r="E54">
        <f t="shared" si="1"/>
        <v>1.1702614796286251E-3</v>
      </c>
      <c r="F54">
        <f t="shared" si="2"/>
        <v>-5.1766288961216725E-2</v>
      </c>
      <c r="H54">
        <f>'Risk-free rate'!C54</f>
        <v>8.1302127632687515E-4</v>
      </c>
    </row>
    <row r="55" spans="1:8" x14ac:dyDescent="0.2">
      <c r="A55" t="s">
        <v>43</v>
      </c>
      <c r="B55">
        <v>24.7299995422363</v>
      </c>
      <c r="C55">
        <v>310.528572</v>
      </c>
      <c r="D55">
        <f t="shared" si="0"/>
        <v>-0.10007278187080375</v>
      </c>
      <c r="E55">
        <f t="shared" si="1"/>
        <v>-8.4296358753912767E-2</v>
      </c>
      <c r="F55">
        <f t="shared" si="2"/>
        <v>-0.10544138767321704</v>
      </c>
      <c r="H55">
        <f>'Risk-free rate'!C55</f>
        <v>1.2332669717645128E-3</v>
      </c>
    </row>
    <row r="56" spans="1:8" x14ac:dyDescent="0.2">
      <c r="A56" t="s">
        <v>44</v>
      </c>
      <c r="B56">
        <v>27.600000381469702</v>
      </c>
      <c r="C56">
        <v>332.21356600000001</v>
      </c>
      <c r="D56">
        <f t="shared" si="0"/>
        <v>0.11605341254987632</v>
      </c>
      <c r="E56">
        <f t="shared" si="1"/>
        <v>6.9832524138873822E-2</v>
      </c>
      <c r="F56">
        <f t="shared" si="2"/>
        <v>0.10979872352160645</v>
      </c>
      <c r="H56">
        <f>'Risk-free rate'!C56</f>
        <v>1.8396059010297172E-3</v>
      </c>
    </row>
    <row r="57" spans="1:8" x14ac:dyDescent="0.2">
      <c r="A57" t="s">
        <v>45</v>
      </c>
      <c r="B57">
        <v>26.920000076293899</v>
      </c>
      <c r="C57">
        <v>319.98315700000001</v>
      </c>
      <c r="D57">
        <f t="shared" si="0"/>
        <v>-2.4637691875988028E-2</v>
      </c>
      <c r="E57">
        <f t="shared" si="1"/>
        <v>-3.6814899365066892E-2</v>
      </c>
      <c r="F57">
        <f t="shared" si="2"/>
        <v>-2.494627893384593E-2</v>
      </c>
      <c r="H57">
        <f>'Risk-free rate'!C57</f>
        <v>2.1656835180154932E-3</v>
      </c>
    </row>
    <row r="58" spans="1:8" x14ac:dyDescent="0.2">
      <c r="A58" t="s">
        <v>46</v>
      </c>
      <c r="B58">
        <v>23.7399997711181</v>
      </c>
      <c r="C58">
        <v>289.35139299999997</v>
      </c>
      <c r="D58">
        <f t="shared" si="0"/>
        <v>-0.11812779703430047</v>
      </c>
      <c r="E58">
        <f t="shared" si="1"/>
        <v>-9.5729301151935425E-2</v>
      </c>
      <c r="F58">
        <f t="shared" si="2"/>
        <v>-0.12570812807029444</v>
      </c>
      <c r="H58">
        <f>'Risk-free rate'!C58</f>
        <v>2.5716462189622202E-3</v>
      </c>
    </row>
    <row r="59" spans="1:8" x14ac:dyDescent="0.2">
      <c r="A59" t="s">
        <v>47</v>
      </c>
      <c r="B59">
        <v>24.579999923706001</v>
      </c>
      <c r="C59">
        <v>306.81289299999997</v>
      </c>
      <c r="D59">
        <f t="shared" si="0"/>
        <v>3.5383326060931093E-2</v>
      </c>
      <c r="E59">
        <f t="shared" si="1"/>
        <v>6.0347039697852788E-2</v>
      </c>
      <c r="F59">
        <f t="shared" si="2"/>
        <v>3.4771721493653339E-2</v>
      </c>
      <c r="H59">
        <f>'Risk-free rate'!C59</f>
        <v>3.0483680766628662E-3</v>
      </c>
    </row>
    <row r="60" spans="1:8" x14ac:dyDescent="0.2">
      <c r="A60" t="s">
        <v>48</v>
      </c>
      <c r="B60">
        <v>26.889999389648398</v>
      </c>
      <c r="C60">
        <v>330.610342</v>
      </c>
      <c r="D60">
        <f t="shared" si="0"/>
        <v>9.3978823153475069E-2</v>
      </c>
      <c r="E60">
        <f t="shared" si="1"/>
        <v>7.7563393009041609E-2</v>
      </c>
      <c r="F60">
        <f t="shared" si="2"/>
        <v>8.9821346548701261E-2</v>
      </c>
      <c r="H60">
        <f>'Risk-free rate'!C60</f>
        <v>3.3942459274463044E-3</v>
      </c>
    </row>
    <row r="61" spans="1:8" x14ac:dyDescent="0.2">
      <c r="A61" t="s">
        <v>49</v>
      </c>
      <c r="B61">
        <v>20.340000152587798</v>
      </c>
      <c r="C61">
        <v>317.60050799999999</v>
      </c>
      <c r="D61">
        <f t="shared" si="0"/>
        <v>-0.24358495298375107</v>
      </c>
      <c r="E61">
        <f t="shared" si="1"/>
        <v>-3.9350958960624446E-2</v>
      </c>
      <c r="F61">
        <f t="shared" si="2"/>
        <v>-0.27916504946041226</v>
      </c>
      <c r="H61">
        <f>'Risk-free rate'!C61</f>
        <v>3.474495003497502E-3</v>
      </c>
    </row>
    <row r="62" spans="1:8" x14ac:dyDescent="0.2">
      <c r="A62" t="s">
        <v>50</v>
      </c>
      <c r="B62">
        <v>23.659999847412099</v>
      </c>
      <c r="C62">
        <v>340.365115</v>
      </c>
      <c r="D62">
        <f t="shared" si="0"/>
        <v>0.1632251558465159</v>
      </c>
      <c r="E62">
        <f t="shared" si="1"/>
        <v>7.1676859534494236E-2</v>
      </c>
      <c r="F62">
        <f t="shared" si="2"/>
        <v>0.15119645397877571</v>
      </c>
      <c r="H62">
        <f>'Risk-free rate'!C62</f>
        <v>3.7068189305531352E-3</v>
      </c>
    </row>
    <row r="63" spans="1:8" x14ac:dyDescent="0.2">
      <c r="A63" t="s">
        <v>51</v>
      </c>
      <c r="B63">
        <v>23.0100002288818</v>
      </c>
      <c r="C63">
        <v>330.61025000000001</v>
      </c>
      <c r="D63">
        <f t="shared" si="0"/>
        <v>-2.7472511526723212E-2</v>
      </c>
      <c r="E63">
        <f t="shared" si="1"/>
        <v>-2.8660002362463015E-2</v>
      </c>
      <c r="F63">
        <f t="shared" si="2"/>
        <v>-2.7856938106715676E-2</v>
      </c>
      <c r="H63">
        <f>'Risk-free rate'!C63</f>
        <v>3.7947872834442897E-3</v>
      </c>
    </row>
    <row r="64" spans="1:8" x14ac:dyDescent="0.2">
      <c r="A64" t="s">
        <v>52</v>
      </c>
      <c r="B64">
        <v>24.520000457763601</v>
      </c>
      <c r="C64">
        <v>340.80381699999998</v>
      </c>
      <c r="D64">
        <f t="shared" si="0"/>
        <v>6.5623651189123902E-2</v>
      </c>
      <c r="E64">
        <f t="shared" si="1"/>
        <v>3.083258005461105E-2</v>
      </c>
      <c r="F64">
        <f t="shared" si="2"/>
        <v>6.3560215742666848E-2</v>
      </c>
      <c r="H64">
        <f>'Risk-free rate'!C64</f>
        <v>3.8267547616503972E-3</v>
      </c>
    </row>
    <row r="65" spans="1:8" x14ac:dyDescent="0.2">
      <c r="A65" t="s">
        <v>53</v>
      </c>
      <c r="B65">
        <v>24.659999847412099</v>
      </c>
      <c r="C65">
        <v>345.70204200000001</v>
      </c>
      <c r="D65">
        <f t="shared" si="0"/>
        <v>5.7095997975061558E-3</v>
      </c>
      <c r="E65">
        <f t="shared" si="1"/>
        <v>1.4372564964552687E-2</v>
      </c>
      <c r="F65">
        <f t="shared" si="2"/>
        <v>5.6933618115307056E-3</v>
      </c>
      <c r="H65">
        <f>'Risk-free rate'!C65</f>
        <v>4.0103507726252374E-3</v>
      </c>
    </row>
    <row r="66" spans="1:8" x14ac:dyDescent="0.2">
      <c r="A66" t="s">
        <v>54</v>
      </c>
      <c r="B66">
        <v>25.590000152587798</v>
      </c>
      <c r="C66">
        <v>341.999393</v>
      </c>
      <c r="D66">
        <f t="shared" si="0"/>
        <v>3.7712907985816425E-2</v>
      </c>
      <c r="E66">
        <f t="shared" si="1"/>
        <v>-1.0710521056164338E-2</v>
      </c>
      <c r="F66">
        <f t="shared" si="2"/>
        <v>3.7019164585957706E-2</v>
      </c>
      <c r="H66">
        <f>'Risk-free rate'!C66</f>
        <v>4.1856194553282489E-3</v>
      </c>
    </row>
    <row r="67" spans="1:8" x14ac:dyDescent="0.2">
      <c r="A67" t="s">
        <v>55</v>
      </c>
      <c r="B67">
        <v>27.329999923706001</v>
      </c>
      <c r="C67">
        <v>361.856199</v>
      </c>
      <c r="D67">
        <f t="shared" si="0"/>
        <v>6.7995301318599058E-2</v>
      </c>
      <c r="E67">
        <f t="shared" si="1"/>
        <v>5.8060939306988787E-2</v>
      </c>
      <c r="F67">
        <f t="shared" si="2"/>
        <v>6.5783341013904775E-2</v>
      </c>
      <c r="H67">
        <f>'Risk-free rate'!C67</f>
        <v>4.2015362976310922E-3</v>
      </c>
    </row>
    <row r="68" spans="1:8" x14ac:dyDescent="0.2">
      <c r="A68" t="s">
        <v>56</v>
      </c>
      <c r="B68">
        <v>28.75</v>
      </c>
      <c r="C68">
        <v>375.10301399999997</v>
      </c>
      <c r="D68">
        <f t="shared" ref="D68:D85" si="3">(B68-B67)/B67</f>
        <v>5.1957558736115933E-2</v>
      </c>
      <c r="E68">
        <f t="shared" ref="E68:E85" si="4">(C68-C67)/C67</f>
        <v>3.6607953757895884E-2</v>
      </c>
      <c r="F68">
        <f t="shared" ref="F68:F85" si="5">LN(B68/B67)</f>
        <v>5.0652770094967013E-2</v>
      </c>
      <c r="H68">
        <f>'Risk-free rate'!C68</f>
        <v>4.2731277661580691E-3</v>
      </c>
    </row>
    <row r="69" spans="1:8" x14ac:dyDescent="0.2">
      <c r="A69" t="s">
        <v>57</v>
      </c>
      <c r="B69">
        <v>27.7600002288818</v>
      </c>
      <c r="C69">
        <v>364.62116600000002</v>
      </c>
      <c r="D69">
        <f t="shared" si="3"/>
        <v>-3.4434774647589553E-2</v>
      </c>
      <c r="E69">
        <f t="shared" si="4"/>
        <v>-2.7943918360517246E-2</v>
      </c>
      <c r="F69">
        <f t="shared" si="5"/>
        <v>-3.5041623359734146E-2</v>
      </c>
      <c r="H69">
        <f>'Risk-free rate'!C69</f>
        <v>4.3128765598297036E-3</v>
      </c>
    </row>
    <row r="70" spans="1:8" x14ac:dyDescent="0.2">
      <c r="A70" t="s">
        <v>58</v>
      </c>
      <c r="B70">
        <v>25.9899997711181</v>
      </c>
      <c r="C70">
        <v>349.54377599999998</v>
      </c>
      <c r="D70">
        <f t="shared" si="3"/>
        <v>-6.3760822880763984E-2</v>
      </c>
      <c r="E70">
        <f t="shared" si="4"/>
        <v>-4.1350835897442213E-2</v>
      </c>
      <c r="F70">
        <f t="shared" si="5"/>
        <v>-6.5884304036763638E-2</v>
      </c>
      <c r="H70">
        <f>'Risk-free rate'!C70</f>
        <v>4.3287712331259165E-3</v>
      </c>
    </row>
    <row r="71" spans="1:8" x14ac:dyDescent="0.2">
      <c r="A71" t="s">
        <v>59</v>
      </c>
      <c r="B71">
        <v>25.309999465942301</v>
      </c>
      <c r="C71">
        <v>339.03409499999998</v>
      </c>
      <c r="D71">
        <f t="shared" si="3"/>
        <v>-2.6163921168305002E-2</v>
      </c>
      <c r="E71">
        <f t="shared" si="4"/>
        <v>-3.0066852055749382E-2</v>
      </c>
      <c r="F71">
        <f t="shared" si="5"/>
        <v>-2.6512286390489054E-2</v>
      </c>
      <c r="H71">
        <f>'Risk-free rate'!C71</f>
        <v>4.3446631398347257E-3</v>
      </c>
    </row>
    <row r="72" spans="1:8" x14ac:dyDescent="0.2">
      <c r="A72" t="s">
        <v>60</v>
      </c>
      <c r="B72">
        <v>29.059999465942301</v>
      </c>
      <c r="C72">
        <v>370.32553300000001</v>
      </c>
      <c r="D72">
        <f t="shared" si="3"/>
        <v>0.14816278463561738</v>
      </c>
      <c r="E72">
        <f t="shared" si="4"/>
        <v>9.22958441687112E-2</v>
      </c>
      <c r="F72">
        <f t="shared" si="5"/>
        <v>0.13816308630800414</v>
      </c>
      <c r="H72">
        <f>'Risk-free rate'!C72</f>
        <v>4.2890293603305985E-3</v>
      </c>
    </row>
    <row r="73" spans="1:8" x14ac:dyDescent="0.2">
      <c r="A73" t="s">
        <v>61</v>
      </c>
      <c r="B73">
        <v>29.809999465942301</v>
      </c>
      <c r="C73">
        <v>388.11373900000001</v>
      </c>
      <c r="D73">
        <f t="shared" si="3"/>
        <v>2.580867218800138E-2</v>
      </c>
      <c r="E73">
        <f t="shared" si="4"/>
        <v>4.8033971235788384E-2</v>
      </c>
      <c r="F73">
        <f t="shared" si="5"/>
        <v>2.5481250010215527E-2</v>
      </c>
      <c r="H73">
        <f>'Risk-free rate'!C73</f>
        <v>4.2651759303415915E-3</v>
      </c>
    </row>
    <row r="74" spans="1:8" x14ac:dyDescent="0.2">
      <c r="A74" t="s">
        <v>62</v>
      </c>
      <c r="B74">
        <v>30.399999618530199</v>
      </c>
      <c r="C74">
        <v>390.38896699999998</v>
      </c>
      <c r="D74">
        <f t="shared" si="3"/>
        <v>1.979202157524251E-2</v>
      </c>
      <c r="E74">
        <f t="shared" si="4"/>
        <v>5.8622712142637392E-3</v>
      </c>
      <c r="F74">
        <f t="shared" si="5"/>
        <v>1.9598706089234717E-2</v>
      </c>
      <c r="H74">
        <f>'Risk-free rate'!C74</f>
        <v>4.2492701806178257E-3</v>
      </c>
    </row>
    <row r="75" spans="1:8" x14ac:dyDescent="0.2">
      <c r="A75" t="s">
        <v>63</v>
      </c>
      <c r="B75">
        <v>33.220001220703097</v>
      </c>
      <c r="C75">
        <v>407.14185700000002</v>
      </c>
      <c r="D75">
        <f t="shared" si="3"/>
        <v>9.2763211761817815E-2</v>
      </c>
      <c r="E75">
        <f t="shared" si="4"/>
        <v>4.2913328541889957E-2</v>
      </c>
      <c r="F75">
        <f t="shared" si="5"/>
        <v>8.8709545067350293E-2</v>
      </c>
      <c r="H75">
        <f>'Risk-free rate'!C75</f>
        <v>4.2651759303415915E-3</v>
      </c>
    </row>
    <row r="76" spans="1:8" x14ac:dyDescent="0.2">
      <c r="A76" t="s">
        <v>77</v>
      </c>
      <c r="B76">
        <v>33.569999694824197</v>
      </c>
      <c r="C76">
        <v>419.92483499999997</v>
      </c>
      <c r="D76">
        <f t="shared" si="3"/>
        <v>1.0535775474414422E-2</v>
      </c>
      <c r="E76">
        <f t="shared" si="4"/>
        <v>3.1396865196299278E-2</v>
      </c>
      <c r="F76">
        <f t="shared" si="5"/>
        <v>1.0480660970036084E-2</v>
      </c>
      <c r="H76">
        <f>'Risk-free rate'!C76</f>
        <v>4.2651759303415915E-3</v>
      </c>
    </row>
    <row r="77" spans="1:8" x14ac:dyDescent="0.2">
      <c r="A77" t="s">
        <v>64</v>
      </c>
      <c r="B77">
        <v>31.870000839233398</v>
      </c>
      <c r="C77">
        <v>406.07026400000001</v>
      </c>
      <c r="D77">
        <f t="shared" si="3"/>
        <v>-5.0640419155347914E-2</v>
      </c>
      <c r="E77">
        <f t="shared" si="4"/>
        <v>-3.2992978374332078E-2</v>
      </c>
      <c r="F77">
        <f t="shared" si="5"/>
        <v>-5.1967647138947297E-2</v>
      </c>
      <c r="H77">
        <f>'Risk-free rate'!C77</f>
        <v>4.2651759303415915E-3</v>
      </c>
    </row>
    <row r="78" spans="1:8" x14ac:dyDescent="0.2">
      <c r="A78" t="s">
        <v>65</v>
      </c>
      <c r="B78">
        <v>32.049999237060497</v>
      </c>
      <c r="C78">
        <v>422.56224500000002</v>
      </c>
      <c r="D78">
        <f t="shared" si="3"/>
        <v>5.6478943547912499E-3</v>
      </c>
      <c r="E78">
        <f t="shared" si="4"/>
        <v>4.0613614101031564E-2</v>
      </c>
      <c r="F78">
        <f t="shared" si="5"/>
        <v>5.6320047997478334E-3</v>
      </c>
      <c r="H78">
        <f>'Risk-free rate'!C78</f>
        <v>4.2731277661580691E-3</v>
      </c>
    </row>
    <row r="79" spans="1:8" x14ac:dyDescent="0.2">
      <c r="A79" t="s">
        <v>66</v>
      </c>
      <c r="B79">
        <v>33.330001831054602</v>
      </c>
      <c r="C79">
        <v>431.97360800000001</v>
      </c>
      <c r="D79">
        <f t="shared" si="3"/>
        <v>3.9937679390456733E-2</v>
      </c>
      <c r="E79">
        <f t="shared" si="4"/>
        <v>2.2272134132570207E-2</v>
      </c>
      <c r="F79">
        <f t="shared" si="5"/>
        <v>3.9160787694764443E-2</v>
      </c>
      <c r="H79">
        <f>'Risk-free rate'!C79</f>
        <v>4.2651759303415915E-3</v>
      </c>
    </row>
    <row r="80" spans="1:8" x14ac:dyDescent="0.2">
      <c r="A80" t="s">
        <v>67</v>
      </c>
      <c r="B80">
        <v>32.569999694824197</v>
      </c>
      <c r="C80">
        <v>438.94025599999998</v>
      </c>
      <c r="D80">
        <f t="shared" si="3"/>
        <v>-2.2802343068648954E-2</v>
      </c>
      <c r="E80">
        <f t="shared" si="4"/>
        <v>1.6127485269887051E-2</v>
      </c>
      <c r="F80">
        <f t="shared" si="5"/>
        <v>-2.3066337338479972E-2</v>
      </c>
      <c r="H80">
        <f>'Risk-free rate'!C80</f>
        <v>4.2333616592649115E-3</v>
      </c>
    </row>
    <row r="81" spans="1:8" x14ac:dyDescent="0.2">
      <c r="A81" t="s">
        <v>68</v>
      </c>
      <c r="B81">
        <v>34.639999389648402</v>
      </c>
      <c r="C81">
        <v>450.08780300000001</v>
      </c>
      <c r="D81">
        <f t="shared" si="3"/>
        <v>6.3555410322989808E-2</v>
      </c>
      <c r="E81">
        <f t="shared" si="4"/>
        <v>2.5396501796362991E-2</v>
      </c>
      <c r="F81">
        <f t="shared" si="5"/>
        <v>6.1617456156085867E-2</v>
      </c>
      <c r="H81">
        <f>'Risk-free rate'!C81</f>
        <v>4.1139593013970188E-3</v>
      </c>
    </row>
    <row r="82" spans="1:8" x14ac:dyDescent="0.2">
      <c r="A82" t="s">
        <v>69</v>
      </c>
      <c r="B82">
        <v>36.580001831054602</v>
      </c>
      <c r="C82">
        <v>460.54383300000001</v>
      </c>
      <c r="D82">
        <f t="shared" si="3"/>
        <v>5.6004690403832345E-2</v>
      </c>
      <c r="E82">
        <f t="shared" si="4"/>
        <v>2.3231089423678512E-2</v>
      </c>
      <c r="F82">
        <f t="shared" si="5"/>
        <v>5.449262694450125E-2</v>
      </c>
      <c r="H82">
        <f>'Risk-free rate'!C82</f>
        <v>3.8507230235700352E-3</v>
      </c>
    </row>
    <row r="83" spans="1:8" x14ac:dyDescent="0.2">
      <c r="A83" t="s">
        <v>70</v>
      </c>
      <c r="B83">
        <v>36.990001678466797</v>
      </c>
      <c r="C83">
        <v>450.20609000000002</v>
      </c>
      <c r="D83">
        <f t="shared" si="3"/>
        <v>1.1208305819824349E-2</v>
      </c>
      <c r="E83">
        <f t="shared" si="4"/>
        <v>-2.244681669638162E-2</v>
      </c>
      <c r="F83">
        <f t="shared" si="5"/>
        <v>1.1145958201707062E-2</v>
      </c>
      <c r="H83">
        <f>'Risk-free rate'!C83</f>
        <v>3.6828128357737633E-3</v>
      </c>
    </row>
    <row r="84" spans="1:8" x14ac:dyDescent="0.2">
      <c r="A84" t="s">
        <v>71</v>
      </c>
      <c r="B84">
        <v>39.200000762939403</v>
      </c>
      <c r="C84">
        <v>467.045456</v>
      </c>
      <c r="D84">
        <f t="shared" si="3"/>
        <v>5.9745849802410961E-2</v>
      </c>
      <c r="E84">
        <f t="shared" si="4"/>
        <v>3.7403683277585122E-2</v>
      </c>
      <c r="F84">
        <f t="shared" si="5"/>
        <v>5.8029115038563707E-2</v>
      </c>
      <c r="H84">
        <f>'Risk-free rate'!C84</f>
        <v>3.6107566318024364E-3</v>
      </c>
    </row>
    <row r="85" spans="1:8" x14ac:dyDescent="0.2">
      <c r="A85" t="s">
        <v>72</v>
      </c>
      <c r="B85">
        <v>35.139999389648402</v>
      </c>
      <c r="C85">
        <v>455.98973100000001</v>
      </c>
      <c r="D85">
        <f t="shared" si="3"/>
        <v>-0.10357146158857787</v>
      </c>
      <c r="E85">
        <f t="shared" si="4"/>
        <v>-2.3671625230414394E-2</v>
      </c>
      <c r="F85">
        <f t="shared" si="5"/>
        <v>-0.10933670086934612</v>
      </c>
      <c r="H85">
        <f>'Risk-free rate'!C85</f>
        <v>3.4905363507502507E-3</v>
      </c>
    </row>
  </sheetData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424C-DA7E-4050-B435-5040DC9CDCE3}">
  <dimension ref="A1:L85"/>
  <sheetViews>
    <sheetView tabSelected="1" workbookViewId="0">
      <selection activeCell="A2" sqref="A2"/>
    </sheetView>
  </sheetViews>
  <sheetFormatPr baseColWidth="10" defaultRowHeight="15" x14ac:dyDescent="0.2"/>
  <cols>
    <col min="3" max="3" width="12.83203125" bestFit="1" customWidth="1"/>
  </cols>
  <sheetData>
    <row r="1" spans="1:12" ht="48" x14ac:dyDescent="0.2">
      <c r="A1" s="3" t="s">
        <v>0</v>
      </c>
      <c r="B1" s="3" t="s">
        <v>75</v>
      </c>
      <c r="C1" s="3" t="s">
        <v>106</v>
      </c>
      <c r="D1" s="7" t="s">
        <v>107</v>
      </c>
      <c r="E1" s="7" t="s">
        <v>108</v>
      </c>
      <c r="F1" s="7" t="s">
        <v>116</v>
      </c>
      <c r="G1" s="7"/>
      <c r="H1" s="7" t="s">
        <v>95</v>
      </c>
      <c r="I1" s="7" t="s">
        <v>96</v>
      </c>
      <c r="J1" s="7" t="s">
        <v>97</v>
      </c>
      <c r="K1" s="7" t="s">
        <v>98</v>
      </c>
      <c r="L1" s="7" t="s">
        <v>99</v>
      </c>
    </row>
    <row r="2" spans="1:12" x14ac:dyDescent="0.2">
      <c r="A2" s="10">
        <v>43131</v>
      </c>
      <c r="B2">
        <v>19.670000000000002</v>
      </c>
      <c r="C2">
        <v>564.91753100000005</v>
      </c>
      <c r="H2">
        <f>'Risk-free rate'!C2</f>
        <v>1.1674742711142994E-3</v>
      </c>
    </row>
    <row r="3" spans="1:12" x14ac:dyDescent="0.2">
      <c r="A3" t="s">
        <v>82</v>
      </c>
      <c r="B3">
        <v>18.84</v>
      </c>
      <c r="C3">
        <v>538.863922</v>
      </c>
      <c r="D3">
        <f>(B3-B2)/B2</f>
        <v>-4.2196237925775384E-2</v>
      </c>
      <c r="E3">
        <f>(C3-C2)/C2</f>
        <v>-4.6119314006560809E-2</v>
      </c>
      <c r="F3">
        <f>LN(B3/B2)</f>
        <v>-4.3112363252750842E-2</v>
      </c>
      <c r="H3">
        <f>'Risk-free rate'!C3</f>
        <v>1.2990121499387719E-3</v>
      </c>
    </row>
    <row r="4" spans="1:12" x14ac:dyDescent="0.2">
      <c r="A4" t="s">
        <v>83</v>
      </c>
      <c r="B4">
        <v>18.350000000000001</v>
      </c>
      <c r="C4">
        <v>528.84461999999996</v>
      </c>
      <c r="D4">
        <f t="shared" ref="D4:D67" si="0">(B4-B3)/B3</f>
        <v>-2.6008492569002041E-2</v>
      </c>
      <c r="E4">
        <f t="shared" ref="E4:E67" si="1">(C4-C3)/C3</f>
        <v>-1.8593380612332105E-2</v>
      </c>
      <c r="F4">
        <f t="shared" ref="F4:F67" si="2">LN(B4/B3)</f>
        <v>-2.6352694647637658E-2</v>
      </c>
      <c r="H4">
        <f>'Risk-free rate'!C4</f>
        <v>1.4057468926966799E-3</v>
      </c>
    </row>
    <row r="5" spans="1:12" x14ac:dyDescent="0.2">
      <c r="A5" t="s">
        <v>84</v>
      </c>
      <c r="B5">
        <v>17.91</v>
      </c>
      <c r="C5">
        <v>526.50486100000001</v>
      </c>
      <c r="D5">
        <f t="shared" si="0"/>
        <v>-2.3978201634877454E-2</v>
      </c>
      <c r="E5">
        <f t="shared" si="1"/>
        <v>-4.4242843956698629E-3</v>
      </c>
      <c r="F5">
        <f t="shared" si="2"/>
        <v>-2.4270358427958889E-2</v>
      </c>
      <c r="H5">
        <f>'Risk-free rate'!C5</f>
        <v>1.4549669057570824E-3</v>
      </c>
    </row>
    <row r="6" spans="1:12" x14ac:dyDescent="0.2">
      <c r="A6" t="s">
        <v>85</v>
      </c>
      <c r="B6">
        <v>17.41</v>
      </c>
      <c r="C6">
        <v>507.84866599999998</v>
      </c>
      <c r="D6">
        <f t="shared" si="0"/>
        <v>-2.7917364600781685E-2</v>
      </c>
      <c r="E6">
        <f t="shared" si="1"/>
        <v>-3.5434041320275722E-2</v>
      </c>
      <c r="F6">
        <f t="shared" si="2"/>
        <v>-2.8314462292522696E-2</v>
      </c>
      <c r="H6">
        <f>'Risk-free rate'!C6</f>
        <v>1.5369411743291206E-3</v>
      </c>
    </row>
    <row r="7" spans="1:12" x14ac:dyDescent="0.2">
      <c r="A7" t="s">
        <v>86</v>
      </c>
      <c r="B7">
        <v>16.899999999999999</v>
      </c>
      <c r="C7">
        <v>486.74909000000002</v>
      </c>
      <c r="D7">
        <f t="shared" si="0"/>
        <v>-2.929350947731198E-2</v>
      </c>
      <c r="E7">
        <f t="shared" si="1"/>
        <v>-4.1546975334577248E-2</v>
      </c>
      <c r="F7">
        <f t="shared" si="2"/>
        <v>-2.9731131851070017E-2</v>
      </c>
      <c r="H7">
        <f>'Risk-free rate'!C7</f>
        <v>1.5697102274137009E-3</v>
      </c>
    </row>
    <row r="8" spans="1:12" x14ac:dyDescent="0.2">
      <c r="A8" t="s">
        <v>87</v>
      </c>
      <c r="B8">
        <v>17.149999999999999</v>
      </c>
      <c r="C8">
        <v>497.44163500000002</v>
      </c>
      <c r="D8">
        <f t="shared" si="0"/>
        <v>1.4792899408284025E-2</v>
      </c>
      <c r="E8">
        <f t="shared" si="1"/>
        <v>2.1967262434943628E-2</v>
      </c>
      <c r="F8">
        <f t="shared" si="2"/>
        <v>1.4684551682921099E-2</v>
      </c>
      <c r="H8">
        <f>'Risk-free rate'!C8</f>
        <v>1.6188417051281601E-3</v>
      </c>
    </row>
    <row r="9" spans="1:12" x14ac:dyDescent="0.2">
      <c r="A9" t="s">
        <v>88</v>
      </c>
      <c r="B9">
        <v>16.899999999999999</v>
      </c>
      <c r="C9">
        <v>483.99122899999998</v>
      </c>
      <c r="D9">
        <f t="shared" si="0"/>
        <v>-1.457725947521866E-2</v>
      </c>
      <c r="E9">
        <f t="shared" si="1"/>
        <v>-2.7039164102136411E-2</v>
      </c>
      <c r="F9">
        <f t="shared" si="2"/>
        <v>-1.4684551682921182E-2</v>
      </c>
      <c r="H9">
        <f>'Risk-free rate'!C9</f>
        <v>1.6761282769228725E-3</v>
      </c>
    </row>
    <row r="10" spans="1:12" x14ac:dyDescent="0.2">
      <c r="A10" t="s">
        <v>89</v>
      </c>
      <c r="B10">
        <v>16.96</v>
      </c>
      <c r="C10">
        <v>481.42252400000001</v>
      </c>
      <c r="D10">
        <f t="shared" si="0"/>
        <v>3.5502958579883004E-3</v>
      </c>
      <c r="E10">
        <f t="shared" si="1"/>
        <v>-5.3073379145884602E-3</v>
      </c>
      <c r="F10">
        <f t="shared" si="2"/>
        <v>3.5440084347293315E-3</v>
      </c>
      <c r="H10">
        <f>'Risk-free rate'!C10</f>
        <v>1.7579037712718293E-3</v>
      </c>
    </row>
    <row r="11" spans="1:12" x14ac:dyDescent="0.2">
      <c r="A11" t="s">
        <v>90</v>
      </c>
      <c r="B11">
        <v>15.49</v>
      </c>
      <c r="C11">
        <v>439.49900500000001</v>
      </c>
      <c r="D11">
        <f t="shared" si="0"/>
        <v>-8.6674528301886822E-2</v>
      </c>
      <c r="E11">
        <f t="shared" si="1"/>
        <v>-8.7082587353141783E-2</v>
      </c>
      <c r="F11">
        <f t="shared" si="2"/>
        <v>-9.0662975934979781E-2</v>
      </c>
      <c r="H11">
        <f>'Risk-free rate'!C11</f>
        <v>1.855937535336194E-3</v>
      </c>
    </row>
    <row r="12" spans="1:12" x14ac:dyDescent="0.2">
      <c r="A12" t="s">
        <v>91</v>
      </c>
      <c r="B12">
        <v>16.059999999999999</v>
      </c>
      <c r="C12">
        <v>457.61063899999999</v>
      </c>
      <c r="D12">
        <f t="shared" si="0"/>
        <v>3.6797934151065109E-2</v>
      </c>
      <c r="E12">
        <f t="shared" si="1"/>
        <v>4.1209726970826657E-2</v>
      </c>
      <c r="F12">
        <f t="shared" si="2"/>
        <v>3.6137054089838284E-2</v>
      </c>
      <c r="H12">
        <f>'Risk-free rate'!C12</f>
        <v>1.921234803683225E-3</v>
      </c>
    </row>
    <row r="13" spans="1:12" x14ac:dyDescent="0.2">
      <c r="A13" t="s">
        <v>92</v>
      </c>
      <c r="B13">
        <v>14.82</v>
      </c>
      <c r="C13">
        <v>445.48794900000001</v>
      </c>
      <c r="D13">
        <f t="shared" si="0"/>
        <v>-7.7210460772104514E-2</v>
      </c>
      <c r="E13">
        <f t="shared" si="1"/>
        <v>-2.6491276571915492E-2</v>
      </c>
      <c r="F13">
        <f t="shared" si="2"/>
        <v>-8.0354088650674643E-2</v>
      </c>
      <c r="H13">
        <f>'Risk-free rate'!C13</f>
        <v>1.9538658918776264E-3</v>
      </c>
    </row>
    <row r="14" spans="1:12" x14ac:dyDescent="0.2">
      <c r="A14" t="s">
        <v>4</v>
      </c>
      <c r="B14">
        <v>16.46</v>
      </c>
      <c r="C14">
        <v>484.49378200000001</v>
      </c>
      <c r="D14">
        <f t="shared" si="0"/>
        <v>0.11066126855600543</v>
      </c>
      <c r="E14">
        <f t="shared" si="1"/>
        <v>8.7557549171773427E-2</v>
      </c>
      <c r="F14">
        <f t="shared" si="2"/>
        <v>0.10495557538098287</v>
      </c>
      <c r="H14">
        <f>'Risk-free rate'!C14</f>
        <v>1.9538658918776264E-3</v>
      </c>
    </row>
    <row r="15" spans="1:12" x14ac:dyDescent="0.2">
      <c r="A15" t="s">
        <v>5</v>
      </c>
      <c r="B15">
        <v>16.399999999999999</v>
      </c>
      <c r="C15">
        <v>485.58305899999999</v>
      </c>
      <c r="D15">
        <f t="shared" si="0"/>
        <v>-3.6452004860268693E-3</v>
      </c>
      <c r="E15">
        <f t="shared" si="1"/>
        <v>2.2482785960707776E-3</v>
      </c>
      <c r="F15">
        <f t="shared" si="2"/>
        <v>-3.6518604187711842E-3</v>
      </c>
      <c r="H15">
        <f>'Risk-free rate'!C15</f>
        <v>1.970177053312705E-3</v>
      </c>
    </row>
    <row r="16" spans="1:12" x14ac:dyDescent="0.2">
      <c r="A16" t="s">
        <v>6</v>
      </c>
      <c r="B16">
        <v>16.68</v>
      </c>
      <c r="C16">
        <v>489.65846399999998</v>
      </c>
      <c r="D16">
        <f t="shared" si="0"/>
        <v>1.7073170731707388E-2</v>
      </c>
      <c r="E16">
        <f t="shared" si="1"/>
        <v>8.3928072128232733E-3</v>
      </c>
      <c r="F16">
        <f t="shared" si="2"/>
        <v>1.6929062100447975E-2</v>
      </c>
      <c r="H16">
        <f>'Risk-free rate'!C16</f>
        <v>1.9783315388433032E-3</v>
      </c>
    </row>
    <row r="17" spans="1:8" x14ac:dyDescent="0.2">
      <c r="A17" t="s">
        <v>7</v>
      </c>
      <c r="B17">
        <v>17.16</v>
      </c>
      <c r="C17">
        <v>499.96667600000001</v>
      </c>
      <c r="D17">
        <f t="shared" si="0"/>
        <v>2.8776978417266213E-2</v>
      </c>
      <c r="E17">
        <f t="shared" si="1"/>
        <v>2.1051840737710655E-2</v>
      </c>
      <c r="F17">
        <f t="shared" si="2"/>
        <v>2.8370697129215566E-2</v>
      </c>
      <c r="H17">
        <f>'Risk-free rate'!C17</f>
        <v>1.9620218377029985E-3</v>
      </c>
    </row>
    <row r="18" spans="1:8" x14ac:dyDescent="0.2">
      <c r="A18" t="s">
        <v>8</v>
      </c>
      <c r="B18">
        <v>15.93</v>
      </c>
      <c r="C18">
        <v>463.68839600000001</v>
      </c>
      <c r="D18">
        <f t="shared" si="0"/>
        <v>-7.1678321678321708E-2</v>
      </c>
      <c r="E18">
        <f t="shared" si="1"/>
        <v>-7.2561396071925396E-2</v>
      </c>
      <c r="F18">
        <f t="shared" si="2"/>
        <v>-7.4376970137859058E-2</v>
      </c>
      <c r="H18">
        <f>'Risk-free rate'!C18</f>
        <v>1.937551809032545E-3</v>
      </c>
    </row>
    <row r="19" spans="1:8" x14ac:dyDescent="0.2">
      <c r="A19" t="s">
        <v>9</v>
      </c>
      <c r="B19">
        <v>16.940000000000001</v>
      </c>
      <c r="C19">
        <v>492.62772000000001</v>
      </c>
      <c r="D19">
        <f t="shared" si="0"/>
        <v>6.3402385436283834E-2</v>
      </c>
      <c r="E19">
        <f t="shared" si="1"/>
        <v>6.2411145609087011E-2</v>
      </c>
      <c r="F19">
        <f t="shared" si="2"/>
        <v>6.1473565301951173E-2</v>
      </c>
      <c r="H19">
        <f>'Risk-free rate'!C19</f>
        <v>1.7905934192179451E-3</v>
      </c>
    </row>
    <row r="20" spans="1:8" x14ac:dyDescent="0.2">
      <c r="A20" t="s">
        <v>10</v>
      </c>
      <c r="B20">
        <v>16.850000000000001</v>
      </c>
      <c r="C20">
        <v>486.60388499999999</v>
      </c>
      <c r="D20">
        <f t="shared" si="0"/>
        <v>-5.3128689492325772E-3</v>
      </c>
      <c r="E20">
        <f t="shared" si="1"/>
        <v>-1.2227965978041226E-2</v>
      </c>
      <c r="F20">
        <f t="shared" si="2"/>
        <v>-5.3270324255375702E-3</v>
      </c>
      <c r="H20">
        <f>'Risk-free rate'!C20</f>
        <v>1.73337883251512E-3</v>
      </c>
    </row>
    <row r="21" spans="1:8" x14ac:dyDescent="0.2">
      <c r="A21" t="s">
        <v>11</v>
      </c>
      <c r="B21">
        <v>16.100000000000001</v>
      </c>
      <c r="C21">
        <v>462.87866200000002</v>
      </c>
      <c r="D21">
        <f t="shared" si="0"/>
        <v>-4.4510385756676554E-2</v>
      </c>
      <c r="E21">
        <f t="shared" si="1"/>
        <v>-4.8756748006646047E-2</v>
      </c>
      <c r="F21">
        <f t="shared" si="2"/>
        <v>-4.55313848079534E-2</v>
      </c>
      <c r="H21">
        <f>'Risk-free rate'!C21</f>
        <v>1.6106549662961989E-3</v>
      </c>
    </row>
    <row r="22" spans="1:8" x14ac:dyDescent="0.2">
      <c r="A22" t="s">
        <v>12</v>
      </c>
      <c r="B22">
        <v>16.53</v>
      </c>
      <c r="C22">
        <v>471.71491600000002</v>
      </c>
      <c r="D22">
        <f t="shared" si="0"/>
        <v>2.670807453416147E-2</v>
      </c>
      <c r="E22">
        <f t="shared" si="1"/>
        <v>1.9089784700423273E-2</v>
      </c>
      <c r="F22">
        <f t="shared" si="2"/>
        <v>2.6357639842515473E-2</v>
      </c>
      <c r="H22">
        <f>'Risk-free rate'!C22</f>
        <v>1.5615190697231274E-3</v>
      </c>
    </row>
    <row r="23" spans="1:8" x14ac:dyDescent="0.2">
      <c r="A23" t="s">
        <v>13</v>
      </c>
      <c r="B23">
        <v>17.16</v>
      </c>
      <c r="C23">
        <v>491.60564299999999</v>
      </c>
      <c r="D23">
        <f t="shared" si="0"/>
        <v>3.8112522686025344E-2</v>
      </c>
      <c r="E23">
        <f t="shared" si="1"/>
        <v>4.2166839176228148E-2</v>
      </c>
      <c r="F23">
        <f t="shared" si="2"/>
        <v>3.7404182226883284E-2</v>
      </c>
      <c r="H23">
        <f>'Risk-free rate'!C23</f>
        <v>1.364709877352599E-3</v>
      </c>
    </row>
    <row r="24" spans="1:8" x14ac:dyDescent="0.2">
      <c r="A24" t="s">
        <v>14</v>
      </c>
      <c r="B24">
        <v>17.350000000000001</v>
      </c>
      <c r="C24">
        <v>490.929216</v>
      </c>
      <c r="D24">
        <f t="shared" si="0"/>
        <v>1.1072261072261147E-2</v>
      </c>
      <c r="E24">
        <f t="shared" si="1"/>
        <v>-1.3759545066898055E-3</v>
      </c>
      <c r="F24">
        <f t="shared" si="2"/>
        <v>1.1011412333052018E-2</v>
      </c>
      <c r="H24">
        <f>'Risk-free rate'!C24</f>
        <v>1.2743632726075482E-3</v>
      </c>
    </row>
    <row r="25" spans="1:8" x14ac:dyDescent="0.2">
      <c r="A25" t="s">
        <v>15</v>
      </c>
      <c r="B25">
        <v>17.54</v>
      </c>
      <c r="C25">
        <v>527.55514600000004</v>
      </c>
      <c r="D25">
        <f t="shared" si="0"/>
        <v>1.0951008645533009E-2</v>
      </c>
      <c r="E25">
        <f t="shared" si="1"/>
        <v>7.4605317439490171E-2</v>
      </c>
      <c r="F25">
        <f t="shared" si="2"/>
        <v>1.0891480551168753E-2</v>
      </c>
      <c r="H25">
        <f>'Risk-free rate'!C25</f>
        <v>1.2743632726075482E-3</v>
      </c>
    </row>
    <row r="26" spans="1:8" x14ac:dyDescent="0.2">
      <c r="A26" t="s">
        <v>16</v>
      </c>
      <c r="B26">
        <v>16.690000000000001</v>
      </c>
      <c r="C26">
        <v>502.96333900000002</v>
      </c>
      <c r="D26">
        <f t="shared" si="0"/>
        <v>-4.8460661345495891E-2</v>
      </c>
      <c r="E26">
        <f t="shared" si="1"/>
        <v>-4.6614666137670499E-2</v>
      </c>
      <c r="F26">
        <f t="shared" si="2"/>
        <v>-4.9674249270293125E-2</v>
      </c>
      <c r="H26">
        <f>'Risk-free rate'!C26</f>
        <v>1.2579269787644787E-3</v>
      </c>
    </row>
    <row r="27" spans="1:8" x14ac:dyDescent="0.2">
      <c r="A27" t="s">
        <v>17</v>
      </c>
      <c r="B27">
        <v>15.93</v>
      </c>
      <c r="C27">
        <v>476.44049799999999</v>
      </c>
      <c r="D27">
        <f t="shared" si="0"/>
        <v>-4.553624925104862E-2</v>
      </c>
      <c r="E27">
        <f t="shared" si="1"/>
        <v>-5.2733149602380916E-2</v>
      </c>
      <c r="F27">
        <f t="shared" si="2"/>
        <v>-4.6605613751786623E-2</v>
      </c>
      <c r="H27">
        <f>'Risk-free rate'!C27</f>
        <v>1.2579269787644787E-3</v>
      </c>
    </row>
    <row r="28" spans="1:8" x14ac:dyDescent="0.2">
      <c r="A28" t="s">
        <v>18</v>
      </c>
      <c r="B28">
        <v>13.01</v>
      </c>
      <c r="C28">
        <v>403.057794</v>
      </c>
      <c r="D28">
        <f t="shared" si="0"/>
        <v>-0.18330194601381042</v>
      </c>
      <c r="E28">
        <f t="shared" si="1"/>
        <v>-0.15402280937083562</v>
      </c>
      <c r="F28">
        <f t="shared" si="2"/>
        <v>-0.20248583139754328</v>
      </c>
      <c r="H28">
        <f>'Risk-free rate'!C28</f>
        <v>2.4134604527370485E-4</v>
      </c>
    </row>
    <row r="29" spans="1:8" x14ac:dyDescent="0.2">
      <c r="A29" t="s">
        <v>19</v>
      </c>
      <c r="B29">
        <v>14.17</v>
      </c>
      <c r="C29">
        <v>439.96734199999997</v>
      </c>
      <c r="D29">
        <f t="shared" si="0"/>
        <v>8.9162182936202927E-2</v>
      </c>
      <c r="E29">
        <f t="shared" si="1"/>
        <v>9.1573835190493724E-2</v>
      </c>
      <c r="F29">
        <f t="shared" si="2"/>
        <v>8.5408761178175266E-2</v>
      </c>
      <c r="H29">
        <f>'Risk-free rate'!C29</f>
        <v>1.1659187244639213E-4</v>
      </c>
    </row>
    <row r="30" spans="1:8" x14ac:dyDescent="0.2">
      <c r="A30" t="s">
        <v>20</v>
      </c>
      <c r="B30">
        <v>14.4</v>
      </c>
      <c r="C30">
        <v>443.34662200000002</v>
      </c>
      <c r="D30">
        <f t="shared" si="0"/>
        <v>1.6231474947071306E-2</v>
      </c>
      <c r="E30">
        <f t="shared" si="1"/>
        <v>7.6807519045357948E-3</v>
      </c>
      <c r="F30">
        <f t="shared" si="2"/>
        <v>1.6101152879365924E-2</v>
      </c>
      <c r="H30">
        <f>'Risk-free rate'!C30</f>
        <v>1.0826883828274347E-4</v>
      </c>
    </row>
    <row r="31" spans="1:8" x14ac:dyDescent="0.2">
      <c r="A31" t="s">
        <v>21</v>
      </c>
      <c r="B31">
        <v>15.67</v>
      </c>
      <c r="C31">
        <v>475.93660199999999</v>
      </c>
      <c r="D31">
        <f t="shared" si="0"/>
        <v>8.8194444444444409E-2</v>
      </c>
      <c r="E31">
        <f t="shared" si="1"/>
        <v>7.3509029690994168E-2</v>
      </c>
      <c r="F31">
        <f t="shared" si="2"/>
        <v>8.4519849785974543E-2</v>
      </c>
      <c r="H31">
        <f>'Risk-free rate'!C31</f>
        <v>1.3323565538980731E-4</v>
      </c>
    </row>
    <row r="32" spans="1:8" x14ac:dyDescent="0.2">
      <c r="A32" t="s">
        <v>22</v>
      </c>
      <c r="B32">
        <v>17.21</v>
      </c>
      <c r="C32">
        <v>518.46717200000001</v>
      </c>
      <c r="D32">
        <f t="shared" si="0"/>
        <v>9.8276962348436567E-2</v>
      </c>
      <c r="E32">
        <f t="shared" si="1"/>
        <v>8.9361838995522372E-2</v>
      </c>
      <c r="F32">
        <f t="shared" si="2"/>
        <v>9.3742553855518607E-2</v>
      </c>
      <c r="H32">
        <f>'Risk-free rate'!C32</f>
        <v>1.0826883828274347E-4</v>
      </c>
    </row>
    <row r="33" spans="1:8" x14ac:dyDescent="0.2">
      <c r="A33" t="s">
        <v>74</v>
      </c>
      <c r="B33">
        <v>17.579999999999998</v>
      </c>
      <c r="C33">
        <v>529.92767200000003</v>
      </c>
      <c r="D33">
        <f t="shared" si="0"/>
        <v>2.1499128413712806E-2</v>
      </c>
      <c r="E33">
        <f t="shared" si="1"/>
        <v>2.210458177282635E-2</v>
      </c>
      <c r="F33">
        <f t="shared" si="2"/>
        <v>2.1271282033582646E-2</v>
      </c>
      <c r="H33">
        <f>'Risk-free rate'!C33</f>
        <v>8.3295163273211514E-5</v>
      </c>
    </row>
    <row r="34" spans="1:8" x14ac:dyDescent="0.2">
      <c r="A34" t="s">
        <v>23</v>
      </c>
      <c r="B34">
        <v>17.43</v>
      </c>
      <c r="C34">
        <v>521.42799600000001</v>
      </c>
      <c r="D34">
        <f t="shared" si="0"/>
        <v>-8.5324232081910468E-3</v>
      </c>
      <c r="E34">
        <f t="shared" si="1"/>
        <v>-1.603931338010977E-2</v>
      </c>
      <c r="F34">
        <f t="shared" si="2"/>
        <v>-8.5690327251012905E-3</v>
      </c>
      <c r="H34">
        <f>'Risk-free rate'!C34</f>
        <v>9.1620483841925449E-5</v>
      </c>
    </row>
    <row r="35" spans="1:8" x14ac:dyDescent="0.2">
      <c r="A35" t="s">
        <v>24</v>
      </c>
      <c r="B35">
        <v>17.71</v>
      </c>
      <c r="C35">
        <v>532.17096300000003</v>
      </c>
      <c r="D35">
        <f t="shared" si="0"/>
        <v>1.6064257028112514E-2</v>
      </c>
      <c r="E35">
        <f t="shared" si="1"/>
        <v>2.0602973147609858E-2</v>
      </c>
      <c r="F35">
        <f t="shared" si="2"/>
        <v>1.5936592262812597E-2</v>
      </c>
      <c r="H35">
        <f>'Risk-free rate'!C35</f>
        <v>8.3295163273211514E-5</v>
      </c>
    </row>
    <row r="36" spans="1:8" x14ac:dyDescent="0.2">
      <c r="A36" t="s">
        <v>25</v>
      </c>
      <c r="B36">
        <v>19.18</v>
      </c>
      <c r="C36">
        <v>581.39010900000005</v>
      </c>
      <c r="D36">
        <f t="shared" si="0"/>
        <v>8.3003952569169898E-2</v>
      </c>
      <c r="E36">
        <f t="shared" si="1"/>
        <v>9.2487470046350537E-2</v>
      </c>
      <c r="F36">
        <f t="shared" si="2"/>
        <v>7.973861766054996E-2</v>
      </c>
      <c r="H36">
        <f>'Risk-free rate'!C36</f>
        <v>7.4969080277487166E-5</v>
      </c>
    </row>
    <row r="37" spans="1:8" x14ac:dyDescent="0.2">
      <c r="A37" t="s">
        <v>26</v>
      </c>
      <c r="B37">
        <v>19.98</v>
      </c>
      <c r="C37">
        <v>624.13011200000005</v>
      </c>
      <c r="D37">
        <f t="shared" si="0"/>
        <v>4.1710114702815472E-2</v>
      </c>
      <c r="E37">
        <f t="shared" si="1"/>
        <v>7.3513467701597932E-2</v>
      </c>
      <c r="F37">
        <f t="shared" si="2"/>
        <v>4.086370376511525E-2</v>
      </c>
      <c r="H37">
        <f>'Risk-free rate'!C37</f>
        <v>7.4969080277487166E-5</v>
      </c>
    </row>
    <row r="38" spans="1:8" x14ac:dyDescent="0.2">
      <c r="A38" t="s">
        <v>27</v>
      </c>
      <c r="B38">
        <v>21.07</v>
      </c>
      <c r="C38">
        <v>643.26456099999996</v>
      </c>
      <c r="D38">
        <f t="shared" si="0"/>
        <v>5.4554554554554546E-2</v>
      </c>
      <c r="E38">
        <f t="shared" si="1"/>
        <v>3.0657788547782651E-2</v>
      </c>
      <c r="F38">
        <f t="shared" si="2"/>
        <v>5.3118454595690145E-2</v>
      </c>
      <c r="H38">
        <f>'Risk-free rate'!C38</f>
        <v>6.6642234708869097E-5</v>
      </c>
    </row>
    <row r="39" spans="1:8" x14ac:dyDescent="0.2">
      <c r="A39" t="s">
        <v>28</v>
      </c>
      <c r="B39">
        <v>21.3</v>
      </c>
      <c r="C39">
        <v>648.18468900000005</v>
      </c>
      <c r="D39">
        <f t="shared" si="0"/>
        <v>1.0915994304698643E-2</v>
      </c>
      <c r="E39">
        <f t="shared" si="1"/>
        <v>7.6486850019398022E-3</v>
      </c>
      <c r="F39">
        <f t="shared" si="2"/>
        <v>1.0856844899281725E-2</v>
      </c>
      <c r="H39">
        <f>'Risk-free rate'!C39</f>
        <v>3.3327223783574667E-5</v>
      </c>
    </row>
    <row r="40" spans="1:8" x14ac:dyDescent="0.2">
      <c r="A40" t="s">
        <v>29</v>
      </c>
      <c r="B40">
        <v>21.19</v>
      </c>
      <c r="C40">
        <v>638.39540799999997</v>
      </c>
      <c r="D40">
        <f t="shared" si="0"/>
        <v>-5.164319248826264E-3</v>
      </c>
      <c r="E40">
        <f t="shared" si="1"/>
        <v>-1.5102610669657568E-2</v>
      </c>
      <c r="F40">
        <f t="shared" si="2"/>
        <v>-5.1777004351716456E-3</v>
      </c>
      <c r="H40">
        <f>'Risk-free rate'!C40</f>
        <v>2.4996563158685703E-5</v>
      </c>
    </row>
    <row r="41" spans="1:8" x14ac:dyDescent="0.2">
      <c r="A41" t="s">
        <v>30</v>
      </c>
      <c r="B41">
        <v>21.49</v>
      </c>
      <c r="C41">
        <v>654.29002200000002</v>
      </c>
      <c r="D41">
        <f t="shared" si="0"/>
        <v>1.4157621519584575E-2</v>
      </c>
      <c r="E41">
        <f t="shared" si="1"/>
        <v>2.4897757409934326E-2</v>
      </c>
      <c r="F41">
        <f t="shared" si="2"/>
        <v>1.4058338374211341E-2</v>
      </c>
      <c r="H41">
        <f>'Risk-free rate'!C41</f>
        <v>1.6665139084048874E-5</v>
      </c>
    </row>
    <row r="42" spans="1:8" x14ac:dyDescent="0.2">
      <c r="A42" t="s">
        <v>76</v>
      </c>
      <c r="B42">
        <v>21.56</v>
      </c>
      <c r="C42">
        <v>669.46322299999997</v>
      </c>
      <c r="D42">
        <f t="shared" si="0"/>
        <v>3.2573289902280266E-3</v>
      </c>
      <c r="E42">
        <f t="shared" si="1"/>
        <v>2.3190329196247392E-2</v>
      </c>
      <c r="F42">
        <f t="shared" si="2"/>
        <v>3.2520353863773159E-3</v>
      </c>
      <c r="H42">
        <f>'Risk-free rate'!C42</f>
        <v>1.6665139084048874E-5</v>
      </c>
    </row>
    <row r="43" spans="1:8" x14ac:dyDescent="0.2">
      <c r="A43" t="s">
        <v>31</v>
      </c>
      <c r="B43">
        <v>21.63</v>
      </c>
      <c r="C43">
        <v>670.61697300000003</v>
      </c>
      <c r="D43">
        <f t="shared" si="0"/>
        <v>3.24675324675326E-3</v>
      </c>
      <c r="E43">
        <f t="shared" si="1"/>
        <v>1.7233956405101273E-3</v>
      </c>
      <c r="F43">
        <f t="shared" si="2"/>
        <v>3.2414939241710229E-3</v>
      </c>
      <c r="H43">
        <f>'Risk-free rate'!C43</f>
        <v>3.3327223783574667E-5</v>
      </c>
    </row>
    <row r="44" spans="1:8" x14ac:dyDescent="0.2">
      <c r="A44" t="s">
        <v>32</v>
      </c>
      <c r="B44">
        <v>20.03</v>
      </c>
      <c r="C44">
        <v>625.48549100000002</v>
      </c>
      <c r="D44">
        <f t="shared" si="0"/>
        <v>-7.397133610725834E-2</v>
      </c>
      <c r="E44">
        <f t="shared" si="1"/>
        <v>-6.7298448767415864E-2</v>
      </c>
      <c r="F44">
        <f t="shared" si="2"/>
        <v>-7.6850090287240436E-2</v>
      </c>
      <c r="H44">
        <f>'Risk-free rate'!C44</f>
        <v>4.1657121104599071E-5</v>
      </c>
    </row>
    <row r="45" spans="1:8" x14ac:dyDescent="0.2">
      <c r="A45" t="s">
        <v>33</v>
      </c>
      <c r="B45">
        <v>20.09</v>
      </c>
      <c r="C45">
        <v>641.85774300000003</v>
      </c>
      <c r="D45">
        <f t="shared" si="0"/>
        <v>2.9955067398901008E-3</v>
      </c>
      <c r="E45">
        <f t="shared" si="1"/>
        <v>2.617527062670108E-2</v>
      </c>
      <c r="F45">
        <f t="shared" si="2"/>
        <v>2.9910291491161262E-3</v>
      </c>
      <c r="H45">
        <f>'Risk-free rate'!C45</f>
        <v>4.1657121104599071E-5</v>
      </c>
    </row>
    <row r="46" spans="1:8" x14ac:dyDescent="0.2">
      <c r="A46" t="s">
        <v>34</v>
      </c>
      <c r="B46">
        <v>19.170000000000002</v>
      </c>
      <c r="C46">
        <v>616.34986200000003</v>
      </c>
      <c r="D46">
        <f t="shared" si="0"/>
        <v>-4.5793927327028278E-2</v>
      </c>
      <c r="E46">
        <f t="shared" si="1"/>
        <v>-3.9740707778608192E-2</v>
      </c>
      <c r="F46">
        <f t="shared" si="2"/>
        <v>-4.6875621769289791E-2</v>
      </c>
      <c r="H46">
        <f>'Risk-free rate'!C46</f>
        <v>3.3327223783574667E-5</v>
      </c>
    </row>
    <row r="47" spans="1:8" x14ac:dyDescent="0.2">
      <c r="A47" t="s">
        <v>35</v>
      </c>
      <c r="B47">
        <v>19.71</v>
      </c>
      <c r="C47">
        <v>622.42881299999999</v>
      </c>
      <c r="D47">
        <f t="shared" si="0"/>
        <v>2.8169014084506994E-2</v>
      </c>
      <c r="E47">
        <f t="shared" si="1"/>
        <v>9.8628252795811625E-3</v>
      </c>
      <c r="F47">
        <f t="shared" si="2"/>
        <v>2.7779564107075671E-2</v>
      </c>
      <c r="H47">
        <f>'Risk-free rate'!C47</f>
        <v>4.1657121104599071E-5</v>
      </c>
    </row>
    <row r="48" spans="1:8" x14ac:dyDescent="0.2">
      <c r="A48" t="s">
        <v>36</v>
      </c>
      <c r="B48">
        <v>18.510000000000002</v>
      </c>
      <c r="C48">
        <v>597.06282599999997</v>
      </c>
      <c r="D48">
        <f t="shared" si="0"/>
        <v>-6.0882800608827968E-2</v>
      </c>
      <c r="E48">
        <f t="shared" si="1"/>
        <v>-4.0753233896323529E-2</v>
      </c>
      <c r="F48">
        <f t="shared" si="2"/>
        <v>-6.2814994579222697E-2</v>
      </c>
      <c r="H48">
        <f>'Risk-free rate'!C48</f>
        <v>4.1657121104599071E-5</v>
      </c>
    </row>
    <row r="49" spans="1:8" x14ac:dyDescent="0.2">
      <c r="A49" t="s">
        <v>37</v>
      </c>
      <c r="B49">
        <v>17.77</v>
      </c>
      <c r="C49">
        <v>608.26582699999994</v>
      </c>
      <c r="D49">
        <f t="shared" si="0"/>
        <v>-3.9978390059427438E-2</v>
      </c>
      <c r="E49">
        <f t="shared" si="1"/>
        <v>1.8763521211082688E-2</v>
      </c>
      <c r="F49">
        <f t="shared" si="2"/>
        <v>-4.0799484418846337E-2</v>
      </c>
      <c r="H49">
        <f>'Risk-free rate'!C49</f>
        <v>4.99862552685304E-5</v>
      </c>
    </row>
    <row r="50" spans="1:8" x14ac:dyDescent="0.2">
      <c r="A50" t="s">
        <v>38</v>
      </c>
      <c r="B50">
        <v>17.760000000000002</v>
      </c>
      <c r="C50">
        <v>596.75196800000003</v>
      </c>
      <c r="D50">
        <f t="shared" si="0"/>
        <v>-5.6274620146302815E-4</v>
      </c>
      <c r="E50">
        <f t="shared" si="1"/>
        <v>-1.8928992044131246E-2</v>
      </c>
      <c r="F50">
        <f t="shared" si="2"/>
        <v>-5.6290460253583538E-4</v>
      </c>
      <c r="H50">
        <f>'Risk-free rate'!C50</f>
        <v>1.2491414476678564E-4</v>
      </c>
    </row>
    <row r="51" spans="1:8" x14ac:dyDescent="0.2">
      <c r="A51" t="s">
        <v>39</v>
      </c>
      <c r="B51">
        <v>16.16</v>
      </c>
      <c r="C51">
        <v>578.91493100000002</v>
      </c>
      <c r="D51">
        <f t="shared" si="0"/>
        <v>-9.0090090090090169E-2</v>
      </c>
      <c r="E51">
        <f t="shared" si="1"/>
        <v>-2.9890202222173499E-2</v>
      </c>
      <c r="F51">
        <f t="shared" si="2"/>
        <v>-9.440968447107477E-2</v>
      </c>
      <c r="H51">
        <f>'Risk-free rate'!C51</f>
        <v>2.7458493733023559E-4</v>
      </c>
    </row>
    <row r="52" spans="1:8" x14ac:dyDescent="0.2">
      <c r="A52" t="s">
        <v>40</v>
      </c>
      <c r="B52">
        <v>15.45</v>
      </c>
      <c r="C52">
        <v>565.83973900000001</v>
      </c>
      <c r="D52">
        <f t="shared" si="0"/>
        <v>-4.3935643564356489E-2</v>
      </c>
      <c r="E52">
        <f t="shared" si="1"/>
        <v>-2.2585687982540591E-2</v>
      </c>
      <c r="F52">
        <f t="shared" si="2"/>
        <v>-4.4930049749194949E-2</v>
      </c>
      <c r="H52">
        <f>'Risk-free rate'!C52</f>
        <v>3.6592929423662213E-4</v>
      </c>
    </row>
    <row r="53" spans="1:8" x14ac:dyDescent="0.2">
      <c r="A53" t="s">
        <v>41</v>
      </c>
      <c r="B53">
        <v>14.08</v>
      </c>
      <c r="C53">
        <v>534.36414200000002</v>
      </c>
      <c r="D53">
        <f t="shared" si="0"/>
        <v>-8.8673139158576011E-2</v>
      </c>
      <c r="E53">
        <f t="shared" si="1"/>
        <v>-5.5626345819447635E-2</v>
      </c>
      <c r="F53">
        <f t="shared" si="2"/>
        <v>-9.285365261385807E-2</v>
      </c>
      <c r="H53">
        <f>'Risk-free rate'!C53</f>
        <v>6.3113787510671315E-4</v>
      </c>
    </row>
    <row r="54" spans="1:8" x14ac:dyDescent="0.2">
      <c r="A54" t="s">
        <v>42</v>
      </c>
      <c r="B54">
        <v>14.56</v>
      </c>
      <c r="C54">
        <v>536.71687099999997</v>
      </c>
      <c r="D54">
        <f t="shared" si="0"/>
        <v>3.4090909090909123E-2</v>
      </c>
      <c r="E54">
        <f t="shared" si="1"/>
        <v>4.4028571812364491E-3</v>
      </c>
      <c r="F54">
        <f t="shared" si="2"/>
        <v>3.3522692038643644E-2</v>
      </c>
      <c r="H54">
        <f>'Risk-free rate'!C54</f>
        <v>8.1302127632687515E-4</v>
      </c>
    </row>
    <row r="55" spans="1:8" x14ac:dyDescent="0.2">
      <c r="A55" t="s">
        <v>43</v>
      </c>
      <c r="B55">
        <v>13.7</v>
      </c>
      <c r="C55">
        <v>501.05226900000002</v>
      </c>
      <c r="D55">
        <f t="shared" si="0"/>
        <v>-5.9065934065934148E-2</v>
      </c>
      <c r="E55">
        <f t="shared" si="1"/>
        <v>-6.6449563870705955E-2</v>
      </c>
      <c r="F55">
        <f t="shared" si="2"/>
        <v>-6.0882209934460814E-2</v>
      </c>
      <c r="H55">
        <f>'Risk-free rate'!C55</f>
        <v>1.2332669717645128E-3</v>
      </c>
    </row>
    <row r="56" spans="1:8" x14ac:dyDescent="0.2">
      <c r="A56" t="s">
        <v>44</v>
      </c>
      <c r="B56">
        <v>13.75</v>
      </c>
      <c r="C56">
        <v>499.821394</v>
      </c>
      <c r="D56">
        <f t="shared" si="0"/>
        <v>3.6496350364964023E-3</v>
      </c>
      <c r="E56">
        <f t="shared" si="1"/>
        <v>-2.4565800339685236E-3</v>
      </c>
      <c r="F56">
        <f t="shared" si="2"/>
        <v>3.6429912785012298E-3</v>
      </c>
      <c r="H56">
        <f>'Risk-free rate'!C56</f>
        <v>1.8396059010297172E-3</v>
      </c>
    </row>
    <row r="57" spans="1:8" x14ac:dyDescent="0.2">
      <c r="A57" t="s">
        <v>45</v>
      </c>
      <c r="B57">
        <v>13.72</v>
      </c>
      <c r="C57">
        <v>501.90800100000001</v>
      </c>
      <c r="D57">
        <f t="shared" si="0"/>
        <v>-2.1818181818181355E-3</v>
      </c>
      <c r="E57">
        <f t="shared" si="1"/>
        <v>4.1747052548135122E-3</v>
      </c>
      <c r="F57">
        <f t="shared" si="2"/>
        <v>-2.1842018148411253E-3</v>
      </c>
      <c r="H57">
        <f>'Risk-free rate'!C57</f>
        <v>2.1656835180154932E-3</v>
      </c>
    </row>
    <row r="58" spans="1:8" x14ac:dyDescent="0.2">
      <c r="A58" t="s">
        <v>46</v>
      </c>
      <c r="B58">
        <v>12.04</v>
      </c>
      <c r="C58">
        <v>443.06822799999998</v>
      </c>
      <c r="D58">
        <f t="shared" si="0"/>
        <v>-0.12244897959183684</v>
      </c>
      <c r="E58">
        <f t="shared" si="1"/>
        <v>-0.1172321877371308</v>
      </c>
      <c r="F58">
        <f t="shared" si="2"/>
        <v>-0.13062018241706433</v>
      </c>
      <c r="H58">
        <f>'Risk-free rate'!C58</f>
        <v>2.5716462189622202E-3</v>
      </c>
    </row>
    <row r="59" spans="1:8" x14ac:dyDescent="0.2">
      <c r="A59" t="s">
        <v>47</v>
      </c>
      <c r="B59">
        <v>11.87</v>
      </c>
      <c r="C59">
        <v>429.31169799999998</v>
      </c>
      <c r="D59">
        <f t="shared" si="0"/>
        <v>-1.411960132890365E-2</v>
      </c>
      <c r="E59">
        <f t="shared" si="1"/>
        <v>-3.1048333260312221E-2</v>
      </c>
      <c r="F59">
        <f t="shared" si="2"/>
        <v>-1.4220231259098319E-2</v>
      </c>
      <c r="H59">
        <f>'Risk-free rate'!C59</f>
        <v>3.0483680766628662E-3</v>
      </c>
    </row>
    <row r="60" spans="1:8" x14ac:dyDescent="0.2">
      <c r="A60" t="s">
        <v>48</v>
      </c>
      <c r="B60">
        <v>14.07</v>
      </c>
      <c r="C60">
        <v>492.98620899999997</v>
      </c>
      <c r="D60">
        <f t="shared" si="0"/>
        <v>0.18534119629317616</v>
      </c>
      <c r="E60">
        <f t="shared" si="1"/>
        <v>0.1483176705797567</v>
      </c>
      <c r="F60">
        <f t="shared" si="2"/>
        <v>0.17003066250472107</v>
      </c>
      <c r="H60">
        <f>'Risk-free rate'!C60</f>
        <v>3.3942459274463044E-3</v>
      </c>
    </row>
    <row r="61" spans="1:8" x14ac:dyDescent="0.2">
      <c r="A61" t="s">
        <v>49</v>
      </c>
      <c r="B61">
        <v>12.59</v>
      </c>
      <c r="C61">
        <v>486.056984</v>
      </c>
      <c r="D61">
        <f t="shared" si="0"/>
        <v>-0.10518834399431418</v>
      </c>
      <c r="E61">
        <f t="shared" si="1"/>
        <v>-1.4055616310353977E-2</v>
      </c>
      <c r="F61">
        <f t="shared" si="2"/>
        <v>-0.11114202307004195</v>
      </c>
      <c r="H61">
        <f>'Risk-free rate'!C61</f>
        <v>3.474495003497502E-3</v>
      </c>
    </row>
    <row r="62" spans="1:8" x14ac:dyDescent="0.2">
      <c r="A62" t="s">
        <v>50</v>
      </c>
      <c r="B62">
        <v>14</v>
      </c>
      <c r="C62">
        <v>524.43673899999999</v>
      </c>
      <c r="D62">
        <f t="shared" si="0"/>
        <v>0.11199364575059573</v>
      </c>
      <c r="E62">
        <f t="shared" si="1"/>
        <v>7.8961430991391718E-2</v>
      </c>
      <c r="F62">
        <f t="shared" si="2"/>
        <v>0.10615448155900278</v>
      </c>
      <c r="H62">
        <f>'Risk-free rate'!C62</f>
        <v>3.7068189305531352E-3</v>
      </c>
    </row>
    <row r="63" spans="1:8" x14ac:dyDescent="0.2">
      <c r="A63" t="s">
        <v>51</v>
      </c>
      <c r="B63">
        <v>13</v>
      </c>
      <c r="C63">
        <v>490.43101799999999</v>
      </c>
      <c r="D63">
        <f t="shared" si="0"/>
        <v>-7.1428571428571425E-2</v>
      </c>
      <c r="E63">
        <f t="shared" si="1"/>
        <v>-6.4842369863031268E-2</v>
      </c>
      <c r="F63">
        <f t="shared" si="2"/>
        <v>-7.4107972153721849E-2</v>
      </c>
      <c r="H63">
        <f>'Risk-free rate'!C63</f>
        <v>3.7947872834442897E-3</v>
      </c>
    </row>
    <row r="64" spans="1:8" x14ac:dyDescent="0.2">
      <c r="A64" t="s">
        <v>52</v>
      </c>
      <c r="B64">
        <v>13.46</v>
      </c>
      <c r="C64">
        <v>505.28481499999998</v>
      </c>
      <c r="D64">
        <f t="shared" si="0"/>
        <v>3.5384615384615452E-2</v>
      </c>
      <c r="E64">
        <f t="shared" si="1"/>
        <v>3.0287229915788048E-2</v>
      </c>
      <c r="F64">
        <f t="shared" si="2"/>
        <v>3.4772966755044973E-2</v>
      </c>
      <c r="H64">
        <f>'Risk-free rate'!C64</f>
        <v>3.8267547616503972E-3</v>
      </c>
    </row>
    <row r="65" spans="1:8" x14ac:dyDescent="0.2">
      <c r="A65" t="s">
        <v>53</v>
      </c>
      <c r="B65">
        <v>13.18</v>
      </c>
      <c r="C65">
        <v>499.55857800000001</v>
      </c>
      <c r="D65">
        <f t="shared" si="0"/>
        <v>-2.0802377414561746E-2</v>
      </c>
      <c r="E65">
        <f t="shared" si="1"/>
        <v>-1.1332691642435305E-2</v>
      </c>
      <c r="F65">
        <f t="shared" si="2"/>
        <v>-2.1021795142220624E-2</v>
      </c>
      <c r="H65">
        <f>'Risk-free rate'!C65</f>
        <v>4.0103507726252374E-3</v>
      </c>
    </row>
    <row r="66" spans="1:8" x14ac:dyDescent="0.2">
      <c r="A66" t="s">
        <v>54</v>
      </c>
      <c r="B66">
        <v>13.11</v>
      </c>
      <c r="C66">
        <v>491.16788200000002</v>
      </c>
      <c r="D66">
        <f t="shared" si="0"/>
        <v>-5.3110773899848474E-3</v>
      </c>
      <c r="E66">
        <f t="shared" si="1"/>
        <v>-1.6796220442440269E-2</v>
      </c>
      <c r="F66">
        <f t="shared" si="2"/>
        <v>-5.3252312987526803E-3</v>
      </c>
      <c r="H66">
        <f>'Risk-free rate'!C66</f>
        <v>4.1856194553282489E-3</v>
      </c>
    </row>
    <row r="67" spans="1:8" x14ac:dyDescent="0.2">
      <c r="A67" t="s">
        <v>55</v>
      </c>
      <c r="B67">
        <v>13.71</v>
      </c>
      <c r="C67">
        <v>509.81743399999999</v>
      </c>
      <c r="D67">
        <f t="shared" si="0"/>
        <v>4.5766590389016128E-2</v>
      </c>
      <c r="E67">
        <f t="shared" si="1"/>
        <v>3.7969811715009433E-2</v>
      </c>
      <c r="F67">
        <f t="shared" si="2"/>
        <v>4.4750195798614618E-2</v>
      </c>
      <c r="H67">
        <f>'Risk-free rate'!C67</f>
        <v>4.2015362976310922E-3</v>
      </c>
    </row>
    <row r="68" spans="1:8" x14ac:dyDescent="0.2">
      <c r="A68" t="s">
        <v>56</v>
      </c>
      <c r="B68">
        <v>14.55</v>
      </c>
      <c r="C68">
        <v>541.55428400000005</v>
      </c>
      <c r="D68">
        <f t="shared" ref="D68:D85" si="3">(B68-B67)/B67</f>
        <v>6.1269146608315082E-2</v>
      </c>
      <c r="E68">
        <f t="shared" ref="E68:E85" si="4">(C68-C67)/C67</f>
        <v>6.2251401940091482E-2</v>
      </c>
      <c r="F68">
        <f t="shared" ref="F68:F85" si="5">LN(B68/B67)</f>
        <v>5.9465500043278462E-2</v>
      </c>
      <c r="H68">
        <f>'Risk-free rate'!C68</f>
        <v>4.2731277661580691E-3</v>
      </c>
    </row>
    <row r="69" spans="1:8" x14ac:dyDescent="0.2">
      <c r="A69" t="s">
        <v>57</v>
      </c>
      <c r="B69">
        <v>13.63</v>
      </c>
      <c r="C69">
        <v>508.194411</v>
      </c>
      <c r="D69">
        <f t="shared" si="3"/>
        <v>-6.3230240549828176E-2</v>
      </c>
      <c r="E69">
        <f t="shared" si="4"/>
        <v>-6.1600238398261932E-2</v>
      </c>
      <c r="F69">
        <f t="shared" si="5"/>
        <v>-6.5317747909060267E-2</v>
      </c>
      <c r="H69">
        <f>'Risk-free rate'!C69</f>
        <v>4.3128765598297036E-3</v>
      </c>
    </row>
    <row r="70" spans="1:8" x14ac:dyDescent="0.2">
      <c r="A70" t="s">
        <v>58</v>
      </c>
      <c r="B70">
        <v>13.22</v>
      </c>
      <c r="C70">
        <v>494.90401700000001</v>
      </c>
      <c r="D70">
        <f t="shared" si="3"/>
        <v>-3.008070432868673E-2</v>
      </c>
      <c r="E70">
        <f t="shared" si="4"/>
        <v>-2.6152184503264817E-2</v>
      </c>
      <c r="F70">
        <f t="shared" si="5"/>
        <v>-3.0542411284901001E-2</v>
      </c>
      <c r="H70">
        <f>'Risk-free rate'!C70</f>
        <v>4.3287712331259165E-3</v>
      </c>
    </row>
    <row r="71" spans="1:8" x14ac:dyDescent="0.2">
      <c r="A71" t="s">
        <v>59</v>
      </c>
      <c r="B71">
        <v>12.77</v>
      </c>
      <c r="C71">
        <v>475.6746</v>
      </c>
      <c r="D71">
        <f t="shared" si="3"/>
        <v>-3.4039334341906279E-2</v>
      </c>
      <c r="E71">
        <f t="shared" si="4"/>
        <v>-3.8854841220656348E-2</v>
      </c>
      <c r="F71">
        <f t="shared" si="5"/>
        <v>-3.4632164379092417E-2</v>
      </c>
      <c r="H71">
        <f>'Risk-free rate'!C71</f>
        <v>4.3446631398347257E-3</v>
      </c>
    </row>
    <row r="72" spans="1:8" x14ac:dyDescent="0.2">
      <c r="A72" t="s">
        <v>60</v>
      </c>
      <c r="B72">
        <v>13.71</v>
      </c>
      <c r="C72">
        <v>513.742884</v>
      </c>
      <c r="D72">
        <f t="shared" si="3"/>
        <v>7.3610023492560794E-2</v>
      </c>
      <c r="E72">
        <f t="shared" si="4"/>
        <v>8.0030096204422113E-2</v>
      </c>
      <c r="F72">
        <f t="shared" si="5"/>
        <v>7.1026823529775143E-2</v>
      </c>
      <c r="H72">
        <f>'Risk-free rate'!C72</f>
        <v>4.2890293603305985E-3</v>
      </c>
    </row>
    <row r="73" spans="1:8" x14ac:dyDescent="0.2">
      <c r="A73" t="s">
        <v>61</v>
      </c>
      <c r="B73">
        <v>13.53</v>
      </c>
      <c r="C73">
        <v>533.82725600000003</v>
      </c>
      <c r="D73">
        <f t="shared" si="3"/>
        <v>-1.3129102844639058E-2</v>
      </c>
      <c r="E73">
        <f t="shared" si="4"/>
        <v>3.9094209624127914E-2</v>
      </c>
      <c r="F73">
        <f t="shared" si="5"/>
        <v>-1.3216051391526488E-2</v>
      </c>
      <c r="H73">
        <f>'Risk-free rate'!C73</f>
        <v>4.2651759303415915E-3</v>
      </c>
    </row>
    <row r="74" spans="1:8" x14ac:dyDescent="0.2">
      <c r="A74" t="s">
        <v>62</v>
      </c>
      <c r="B74">
        <v>12.89</v>
      </c>
      <c r="C74">
        <v>509.039715</v>
      </c>
      <c r="D74">
        <f t="shared" si="3"/>
        <v>-4.7302291204730139E-2</v>
      </c>
      <c r="E74">
        <f t="shared" si="4"/>
        <v>-4.6433636951650953E-2</v>
      </c>
      <c r="F74">
        <f t="shared" si="5"/>
        <v>-4.845762523160059E-2</v>
      </c>
      <c r="H74">
        <f>'Risk-free rate'!C74</f>
        <v>4.2492701806178257E-3</v>
      </c>
    </row>
    <row r="75" spans="1:8" x14ac:dyDescent="0.2">
      <c r="A75" t="s">
        <v>63</v>
      </c>
      <c r="B75">
        <v>13.38</v>
      </c>
      <c r="C75">
        <v>533.25595099999998</v>
      </c>
      <c r="D75">
        <f t="shared" si="3"/>
        <v>3.8013964313421272E-2</v>
      </c>
      <c r="E75">
        <f t="shared" si="4"/>
        <v>4.7572390299644857E-2</v>
      </c>
      <c r="F75">
        <f t="shared" si="5"/>
        <v>3.7309237748986306E-2</v>
      </c>
      <c r="H75">
        <f>'Risk-free rate'!C75</f>
        <v>4.2651759303415915E-3</v>
      </c>
    </row>
    <row r="76" spans="1:8" x14ac:dyDescent="0.2">
      <c r="A76" t="s">
        <v>77</v>
      </c>
      <c r="B76">
        <v>13.92</v>
      </c>
      <c r="C76">
        <v>546.46983399999999</v>
      </c>
      <c r="D76">
        <f t="shared" si="3"/>
        <v>4.035874439461877E-2</v>
      </c>
      <c r="E76">
        <f t="shared" si="4"/>
        <v>2.4779625947390523E-2</v>
      </c>
      <c r="F76">
        <f t="shared" si="5"/>
        <v>3.9565600206191098E-2</v>
      </c>
      <c r="H76">
        <f>'Risk-free rate'!C76</f>
        <v>4.2651759303415915E-3</v>
      </c>
    </row>
    <row r="77" spans="1:8" x14ac:dyDescent="0.2">
      <c r="A77" t="s">
        <v>64</v>
      </c>
      <c r="B77">
        <v>13.75</v>
      </c>
      <c r="C77">
        <v>548.91488000000004</v>
      </c>
      <c r="D77">
        <f t="shared" si="3"/>
        <v>-1.2212643678160915E-2</v>
      </c>
      <c r="E77">
        <f t="shared" si="4"/>
        <v>4.4742561215191387E-3</v>
      </c>
      <c r="F77">
        <f t="shared" si="5"/>
        <v>-1.2287830793693253E-2</v>
      </c>
      <c r="H77">
        <f>'Risk-free rate'!C77</f>
        <v>4.2651759303415915E-3</v>
      </c>
    </row>
    <row r="78" spans="1:8" x14ac:dyDescent="0.2">
      <c r="A78" t="s">
        <v>65</v>
      </c>
      <c r="B78">
        <v>14.01</v>
      </c>
      <c r="C78">
        <v>552.01527299999998</v>
      </c>
      <c r="D78">
        <f t="shared" si="3"/>
        <v>1.8909090909090893E-2</v>
      </c>
      <c r="E78">
        <f t="shared" si="4"/>
        <v>5.6482218153749812E-3</v>
      </c>
      <c r="F78">
        <f t="shared" si="5"/>
        <v>1.8732536236335411E-2</v>
      </c>
      <c r="H78">
        <f>'Risk-free rate'!C78</f>
        <v>4.2731277661580691E-3</v>
      </c>
    </row>
    <row r="79" spans="1:8" x14ac:dyDescent="0.2">
      <c r="A79" t="s">
        <v>66</v>
      </c>
      <c r="B79">
        <v>14.45</v>
      </c>
      <c r="C79">
        <v>573.78874499999995</v>
      </c>
      <c r="D79">
        <f t="shared" si="3"/>
        <v>3.1406138472519593E-2</v>
      </c>
      <c r="E79">
        <f t="shared" si="4"/>
        <v>3.9443604307665546E-2</v>
      </c>
      <c r="F79">
        <f t="shared" si="5"/>
        <v>3.0923054209525402E-2</v>
      </c>
      <c r="H79">
        <f>'Risk-free rate'!C79</f>
        <v>4.2651759303415915E-3</v>
      </c>
    </row>
    <row r="80" spans="1:8" x14ac:dyDescent="0.2">
      <c r="A80" t="s">
        <v>67</v>
      </c>
      <c r="B80">
        <v>14.62</v>
      </c>
      <c r="C80">
        <v>575.49635799999999</v>
      </c>
      <c r="D80">
        <f t="shared" si="3"/>
        <v>1.1764705882352938E-2</v>
      </c>
      <c r="E80">
        <f t="shared" si="4"/>
        <v>2.9760308386670041E-3</v>
      </c>
      <c r="F80">
        <f t="shared" si="5"/>
        <v>1.1696039763191236E-2</v>
      </c>
      <c r="H80">
        <f>'Risk-free rate'!C80</f>
        <v>4.2333616592649115E-3</v>
      </c>
    </row>
    <row r="81" spans="1:8" x14ac:dyDescent="0.2">
      <c r="A81" t="s">
        <v>68</v>
      </c>
      <c r="B81">
        <v>14.81</v>
      </c>
      <c r="C81">
        <v>584.78799700000002</v>
      </c>
      <c r="D81">
        <f t="shared" si="3"/>
        <v>1.2995896032831826E-2</v>
      </c>
      <c r="E81">
        <f t="shared" si="4"/>
        <v>1.6145434929060024E-2</v>
      </c>
      <c r="F81">
        <f t="shared" si="5"/>
        <v>1.2912173958075032E-2</v>
      </c>
      <c r="H81">
        <f>'Risk-free rate'!C81</f>
        <v>4.1139593013970188E-3</v>
      </c>
    </row>
    <row r="82" spans="1:8" x14ac:dyDescent="0.2">
      <c r="A82" t="s">
        <v>69</v>
      </c>
      <c r="B82">
        <v>15.61</v>
      </c>
      <c r="C82">
        <v>623.83724900000004</v>
      </c>
      <c r="D82">
        <f t="shared" si="3"/>
        <v>5.401755570560425E-2</v>
      </c>
      <c r="E82">
        <f t="shared" si="4"/>
        <v>6.6775057286273309E-2</v>
      </c>
      <c r="F82">
        <f t="shared" si="5"/>
        <v>5.2609106247633146E-2</v>
      </c>
      <c r="H82">
        <f>'Risk-free rate'!C82</f>
        <v>3.8507230235700352E-3</v>
      </c>
    </row>
    <row r="83" spans="1:8" x14ac:dyDescent="0.2">
      <c r="A83" t="s">
        <v>70</v>
      </c>
      <c r="B83">
        <v>15.13</v>
      </c>
      <c r="C83">
        <v>596.09319000000005</v>
      </c>
      <c r="D83">
        <f t="shared" si="3"/>
        <v>-3.0749519538757122E-2</v>
      </c>
      <c r="E83">
        <f t="shared" si="4"/>
        <v>-4.447323247284965E-2</v>
      </c>
      <c r="F83">
        <f t="shared" si="5"/>
        <v>-3.1232206727076089E-2</v>
      </c>
      <c r="H83">
        <f>'Risk-free rate'!C83</f>
        <v>3.6828128357737633E-3</v>
      </c>
    </row>
    <row r="84" spans="1:8" x14ac:dyDescent="0.2">
      <c r="A84" t="s">
        <v>71</v>
      </c>
      <c r="B84">
        <v>14.88</v>
      </c>
      <c r="C84">
        <v>574.67542900000001</v>
      </c>
      <c r="D84">
        <f t="shared" si="3"/>
        <v>-1.6523463317911432E-2</v>
      </c>
      <c r="E84">
        <f t="shared" si="4"/>
        <v>-3.5930222588182965E-2</v>
      </c>
      <c r="F84">
        <f t="shared" si="5"/>
        <v>-1.6661498395318743E-2</v>
      </c>
      <c r="H84">
        <f>'Risk-free rate'!C84</f>
        <v>3.6107566318024364E-3</v>
      </c>
    </row>
    <row r="85" spans="1:8" x14ac:dyDescent="0.2">
      <c r="A85" t="s">
        <v>72</v>
      </c>
      <c r="B85">
        <v>14.08</v>
      </c>
      <c r="C85">
        <v>573.88626599999998</v>
      </c>
      <c r="D85">
        <f t="shared" si="3"/>
        <v>-5.3763440860215096E-2</v>
      </c>
      <c r="E85">
        <f t="shared" si="4"/>
        <v>-1.3732325416683693E-3</v>
      </c>
      <c r="F85">
        <f t="shared" si="5"/>
        <v>-5.5262678675049533E-2</v>
      </c>
      <c r="H85">
        <f>'Risk-free rate'!C85</f>
        <v>3.4905363507502507E-3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17F95-7215-482D-AD98-04505DB0B464}">
  <dimension ref="A1:C85"/>
  <sheetViews>
    <sheetView workbookViewId="0">
      <selection activeCell="C1" sqref="C1"/>
    </sheetView>
  </sheetViews>
  <sheetFormatPr baseColWidth="10" defaultRowHeight="15" x14ac:dyDescent="0.2"/>
  <sheetData>
    <row r="1" spans="1:3" ht="32" x14ac:dyDescent="0.2">
      <c r="A1" s="4" t="s">
        <v>79</v>
      </c>
      <c r="B1" s="4" t="s">
        <v>80</v>
      </c>
      <c r="C1" s="7" t="s">
        <v>93</v>
      </c>
    </row>
    <row r="2" spans="1:3" x14ac:dyDescent="0.2">
      <c r="A2" s="5" t="s">
        <v>81</v>
      </c>
      <c r="B2" s="6">
        <v>1.41</v>
      </c>
      <c r="C2">
        <f>(1+B2/100)^(1/12)-1</f>
        <v>1.1674742711142994E-3</v>
      </c>
    </row>
    <row r="3" spans="1:3" x14ac:dyDescent="0.2">
      <c r="A3" s="5" t="s">
        <v>82</v>
      </c>
      <c r="B3" s="6">
        <v>1.57</v>
      </c>
      <c r="C3">
        <f t="shared" ref="C3:C66" si="0">(1+B3/100)^(1/12)-1</f>
        <v>1.2990121499387719E-3</v>
      </c>
    </row>
    <row r="4" spans="1:3" x14ac:dyDescent="0.2">
      <c r="A4" s="5" t="s">
        <v>83</v>
      </c>
      <c r="B4" s="6">
        <v>1.7</v>
      </c>
      <c r="C4">
        <f t="shared" si="0"/>
        <v>1.4057468926966799E-3</v>
      </c>
    </row>
    <row r="5" spans="1:3" x14ac:dyDescent="0.2">
      <c r="A5" s="5" t="s">
        <v>84</v>
      </c>
      <c r="B5" s="6">
        <v>1.76</v>
      </c>
      <c r="C5">
        <f t="shared" si="0"/>
        <v>1.4549669057570824E-3</v>
      </c>
    </row>
    <row r="6" spans="1:3" x14ac:dyDescent="0.2">
      <c r="A6" s="5" t="s">
        <v>85</v>
      </c>
      <c r="B6" s="6">
        <v>1.86</v>
      </c>
      <c r="C6">
        <f t="shared" si="0"/>
        <v>1.5369411743291206E-3</v>
      </c>
    </row>
    <row r="7" spans="1:3" x14ac:dyDescent="0.2">
      <c r="A7" s="5" t="s">
        <v>86</v>
      </c>
      <c r="B7" s="6">
        <v>1.9</v>
      </c>
      <c r="C7">
        <f t="shared" si="0"/>
        <v>1.5697102274137009E-3</v>
      </c>
    </row>
    <row r="8" spans="1:3" x14ac:dyDescent="0.2">
      <c r="A8" s="5" t="s">
        <v>87</v>
      </c>
      <c r="B8" s="6">
        <v>1.96</v>
      </c>
      <c r="C8">
        <f t="shared" si="0"/>
        <v>1.6188417051281601E-3</v>
      </c>
    </row>
    <row r="9" spans="1:3" x14ac:dyDescent="0.2">
      <c r="A9" s="5" t="s">
        <v>88</v>
      </c>
      <c r="B9" s="6">
        <v>2.0299999999999998</v>
      </c>
      <c r="C9">
        <f t="shared" si="0"/>
        <v>1.6761282769228725E-3</v>
      </c>
    </row>
    <row r="10" spans="1:3" x14ac:dyDescent="0.2">
      <c r="A10" s="5" t="s">
        <v>89</v>
      </c>
      <c r="B10" s="6">
        <v>2.13</v>
      </c>
      <c r="C10">
        <f t="shared" si="0"/>
        <v>1.7579037712718293E-3</v>
      </c>
    </row>
    <row r="11" spans="1:3" x14ac:dyDescent="0.2">
      <c r="A11" s="5" t="s">
        <v>90</v>
      </c>
      <c r="B11" s="6">
        <v>2.25</v>
      </c>
      <c r="C11">
        <f t="shared" si="0"/>
        <v>1.855937535336194E-3</v>
      </c>
    </row>
    <row r="12" spans="1:3" x14ac:dyDescent="0.2">
      <c r="A12" s="5" t="s">
        <v>91</v>
      </c>
      <c r="B12" s="6">
        <v>2.33</v>
      </c>
      <c r="C12">
        <f t="shared" si="0"/>
        <v>1.921234803683225E-3</v>
      </c>
    </row>
    <row r="13" spans="1:3" x14ac:dyDescent="0.2">
      <c r="A13" s="5" t="s">
        <v>92</v>
      </c>
      <c r="B13" s="6">
        <v>2.37</v>
      </c>
      <c r="C13">
        <f t="shared" si="0"/>
        <v>1.9538658918776264E-3</v>
      </c>
    </row>
    <row r="14" spans="1:3" x14ac:dyDescent="0.2">
      <c r="A14" s="5" t="s">
        <v>4</v>
      </c>
      <c r="B14" s="6">
        <v>2.37</v>
      </c>
      <c r="C14">
        <f t="shared" si="0"/>
        <v>1.9538658918776264E-3</v>
      </c>
    </row>
    <row r="15" spans="1:3" x14ac:dyDescent="0.2">
      <c r="A15" s="5" t="s">
        <v>5</v>
      </c>
      <c r="B15" s="6">
        <v>2.39</v>
      </c>
      <c r="C15">
        <f t="shared" si="0"/>
        <v>1.970177053312705E-3</v>
      </c>
    </row>
    <row r="16" spans="1:3" x14ac:dyDescent="0.2">
      <c r="A16" s="5" t="s">
        <v>6</v>
      </c>
      <c r="B16" s="6">
        <v>2.4</v>
      </c>
      <c r="C16">
        <f t="shared" si="0"/>
        <v>1.9783315388433032E-3</v>
      </c>
    </row>
    <row r="17" spans="1:3" x14ac:dyDescent="0.2">
      <c r="A17" s="5" t="s">
        <v>7</v>
      </c>
      <c r="B17" s="6">
        <v>2.38</v>
      </c>
      <c r="C17">
        <f t="shared" si="0"/>
        <v>1.9620218377029985E-3</v>
      </c>
    </row>
    <row r="18" spans="1:3" x14ac:dyDescent="0.2">
      <c r="A18" s="5" t="s">
        <v>8</v>
      </c>
      <c r="B18" s="6">
        <v>2.35</v>
      </c>
      <c r="C18">
        <f t="shared" si="0"/>
        <v>1.937551809032545E-3</v>
      </c>
    </row>
    <row r="19" spans="1:3" x14ac:dyDescent="0.2">
      <c r="A19" s="5" t="s">
        <v>9</v>
      </c>
      <c r="B19" s="6">
        <v>2.17</v>
      </c>
      <c r="C19">
        <f t="shared" si="0"/>
        <v>1.7905934192179451E-3</v>
      </c>
    </row>
    <row r="20" spans="1:3" x14ac:dyDescent="0.2">
      <c r="A20" s="5" t="s">
        <v>10</v>
      </c>
      <c r="B20" s="6">
        <v>2.1</v>
      </c>
      <c r="C20">
        <f t="shared" si="0"/>
        <v>1.73337883251512E-3</v>
      </c>
    </row>
    <row r="21" spans="1:3" x14ac:dyDescent="0.2">
      <c r="A21" s="5" t="s">
        <v>11</v>
      </c>
      <c r="B21" s="6">
        <v>1.95</v>
      </c>
      <c r="C21">
        <f t="shared" si="0"/>
        <v>1.6106549662961989E-3</v>
      </c>
    </row>
    <row r="22" spans="1:3" x14ac:dyDescent="0.2">
      <c r="A22" s="5" t="s">
        <v>12</v>
      </c>
      <c r="B22" s="6">
        <v>1.89</v>
      </c>
      <c r="C22">
        <f t="shared" si="0"/>
        <v>1.5615190697231274E-3</v>
      </c>
    </row>
    <row r="23" spans="1:3" x14ac:dyDescent="0.2">
      <c r="A23" s="5" t="s">
        <v>13</v>
      </c>
      <c r="B23" s="6">
        <v>1.65</v>
      </c>
      <c r="C23">
        <f t="shared" si="0"/>
        <v>1.364709877352599E-3</v>
      </c>
    </row>
    <row r="24" spans="1:3" x14ac:dyDescent="0.2">
      <c r="A24" s="5" t="s">
        <v>14</v>
      </c>
      <c r="B24" s="6">
        <v>1.54</v>
      </c>
      <c r="C24">
        <f t="shared" si="0"/>
        <v>1.2743632726075482E-3</v>
      </c>
    </row>
    <row r="25" spans="1:3" x14ac:dyDescent="0.2">
      <c r="A25" s="5" t="s">
        <v>15</v>
      </c>
      <c r="B25" s="6">
        <v>1.54</v>
      </c>
      <c r="C25">
        <f t="shared" si="0"/>
        <v>1.2743632726075482E-3</v>
      </c>
    </row>
    <row r="26" spans="1:3" x14ac:dyDescent="0.2">
      <c r="A26" s="5" t="s">
        <v>16</v>
      </c>
      <c r="B26" s="6">
        <v>1.52</v>
      </c>
      <c r="C26">
        <f t="shared" si="0"/>
        <v>1.2579269787644787E-3</v>
      </c>
    </row>
    <row r="27" spans="1:3" x14ac:dyDescent="0.2">
      <c r="A27" s="5" t="s">
        <v>17</v>
      </c>
      <c r="B27" s="6">
        <v>1.52</v>
      </c>
      <c r="C27">
        <f t="shared" si="0"/>
        <v>1.2579269787644787E-3</v>
      </c>
    </row>
    <row r="28" spans="1:3" x14ac:dyDescent="0.2">
      <c r="A28" s="5" t="s">
        <v>18</v>
      </c>
      <c r="B28" s="6">
        <v>0.28999999999999998</v>
      </c>
      <c r="C28">
        <f t="shared" si="0"/>
        <v>2.4134604527370485E-4</v>
      </c>
    </row>
    <row r="29" spans="1:3" x14ac:dyDescent="0.2">
      <c r="A29" s="5" t="s">
        <v>19</v>
      </c>
      <c r="B29" s="6">
        <v>0.14000000000000001</v>
      </c>
      <c r="C29">
        <f t="shared" si="0"/>
        <v>1.1659187244639213E-4</v>
      </c>
    </row>
    <row r="30" spans="1:3" x14ac:dyDescent="0.2">
      <c r="A30" s="5" t="s">
        <v>20</v>
      </c>
      <c r="B30" s="6">
        <v>0.13</v>
      </c>
      <c r="C30">
        <f t="shared" si="0"/>
        <v>1.0826883828274347E-4</v>
      </c>
    </row>
    <row r="31" spans="1:3" x14ac:dyDescent="0.2">
      <c r="A31" s="5" t="s">
        <v>21</v>
      </c>
      <c r="B31" s="6">
        <v>0.16</v>
      </c>
      <c r="C31">
        <f t="shared" si="0"/>
        <v>1.3323565538980731E-4</v>
      </c>
    </row>
    <row r="32" spans="1:3" x14ac:dyDescent="0.2">
      <c r="A32" s="5" t="s">
        <v>22</v>
      </c>
      <c r="B32" s="6">
        <v>0.13</v>
      </c>
      <c r="C32">
        <f t="shared" si="0"/>
        <v>1.0826883828274347E-4</v>
      </c>
    </row>
    <row r="33" spans="1:3" x14ac:dyDescent="0.2">
      <c r="A33" s="5" t="s">
        <v>74</v>
      </c>
      <c r="B33" s="6">
        <v>0.1</v>
      </c>
      <c r="C33">
        <f t="shared" si="0"/>
        <v>8.3295163273211514E-5</v>
      </c>
    </row>
    <row r="34" spans="1:3" x14ac:dyDescent="0.2">
      <c r="A34" s="5" t="s">
        <v>23</v>
      </c>
      <c r="B34" s="6">
        <v>0.11</v>
      </c>
      <c r="C34">
        <f t="shared" si="0"/>
        <v>9.1620483841925449E-5</v>
      </c>
    </row>
    <row r="35" spans="1:3" x14ac:dyDescent="0.2">
      <c r="A35" s="5" t="s">
        <v>24</v>
      </c>
      <c r="B35" s="6">
        <v>0.1</v>
      </c>
      <c r="C35">
        <f t="shared" si="0"/>
        <v>8.3295163273211514E-5</v>
      </c>
    </row>
    <row r="36" spans="1:3" x14ac:dyDescent="0.2">
      <c r="A36" s="5" t="s">
        <v>25</v>
      </c>
      <c r="B36" s="6">
        <v>0.09</v>
      </c>
      <c r="C36">
        <f t="shared" si="0"/>
        <v>7.4969080277487166E-5</v>
      </c>
    </row>
    <row r="37" spans="1:3" x14ac:dyDescent="0.2">
      <c r="A37" s="5" t="s">
        <v>26</v>
      </c>
      <c r="B37" s="6">
        <v>0.09</v>
      </c>
      <c r="C37">
        <f t="shared" si="0"/>
        <v>7.4969080277487166E-5</v>
      </c>
    </row>
    <row r="38" spans="1:3" x14ac:dyDescent="0.2">
      <c r="A38" s="5" t="s">
        <v>27</v>
      </c>
      <c r="B38" s="6">
        <v>0.08</v>
      </c>
      <c r="C38">
        <f t="shared" si="0"/>
        <v>6.6642234708869097E-5</v>
      </c>
    </row>
    <row r="39" spans="1:3" x14ac:dyDescent="0.2">
      <c r="A39" s="5" t="s">
        <v>28</v>
      </c>
      <c r="B39" s="6">
        <v>0.04</v>
      </c>
      <c r="C39">
        <f t="shared" si="0"/>
        <v>3.3327223783574667E-5</v>
      </c>
    </row>
    <row r="40" spans="1:3" x14ac:dyDescent="0.2">
      <c r="A40" s="5" t="s">
        <v>29</v>
      </c>
      <c r="B40" s="6">
        <v>0.03</v>
      </c>
      <c r="C40">
        <f t="shared" si="0"/>
        <v>2.4996563158685703E-5</v>
      </c>
    </row>
    <row r="41" spans="1:3" x14ac:dyDescent="0.2">
      <c r="A41" s="5" t="s">
        <v>30</v>
      </c>
      <c r="B41" s="6">
        <v>0.02</v>
      </c>
      <c r="C41">
        <f t="shared" si="0"/>
        <v>1.6665139084048874E-5</v>
      </c>
    </row>
    <row r="42" spans="1:3" x14ac:dyDescent="0.2">
      <c r="A42" s="5" t="s">
        <v>76</v>
      </c>
      <c r="B42" s="6">
        <v>0.02</v>
      </c>
      <c r="C42">
        <f t="shared" si="0"/>
        <v>1.6665139084048874E-5</v>
      </c>
    </row>
    <row r="43" spans="1:3" x14ac:dyDescent="0.2">
      <c r="A43" s="5" t="s">
        <v>31</v>
      </c>
      <c r="B43" s="6">
        <v>0.04</v>
      </c>
      <c r="C43">
        <f t="shared" si="0"/>
        <v>3.3327223783574667E-5</v>
      </c>
    </row>
    <row r="44" spans="1:3" x14ac:dyDescent="0.2">
      <c r="A44" s="5" t="s">
        <v>32</v>
      </c>
      <c r="B44" s="6">
        <v>0.05</v>
      </c>
      <c r="C44">
        <f t="shared" si="0"/>
        <v>4.1657121104599071E-5</v>
      </c>
    </row>
    <row r="45" spans="1:3" x14ac:dyDescent="0.2">
      <c r="A45" s="5" t="s">
        <v>33</v>
      </c>
      <c r="B45" s="6">
        <v>0.05</v>
      </c>
      <c r="C45">
        <f t="shared" si="0"/>
        <v>4.1657121104599071E-5</v>
      </c>
    </row>
    <row r="46" spans="1:3" x14ac:dyDescent="0.2">
      <c r="A46" s="5" t="s">
        <v>34</v>
      </c>
      <c r="B46" s="6">
        <v>0.04</v>
      </c>
      <c r="C46">
        <f t="shared" si="0"/>
        <v>3.3327223783574667E-5</v>
      </c>
    </row>
    <row r="47" spans="1:3" x14ac:dyDescent="0.2">
      <c r="A47" s="5" t="s">
        <v>35</v>
      </c>
      <c r="B47" s="6">
        <v>0.05</v>
      </c>
      <c r="C47">
        <f t="shared" si="0"/>
        <v>4.1657121104599071E-5</v>
      </c>
    </row>
    <row r="48" spans="1:3" x14ac:dyDescent="0.2">
      <c r="A48" s="5" t="s">
        <v>36</v>
      </c>
      <c r="B48" s="6">
        <v>0.05</v>
      </c>
      <c r="C48">
        <f t="shared" si="0"/>
        <v>4.1657121104599071E-5</v>
      </c>
    </row>
    <row r="49" spans="1:3" x14ac:dyDescent="0.2">
      <c r="A49" s="5" t="s">
        <v>37</v>
      </c>
      <c r="B49" s="6">
        <v>0.06</v>
      </c>
      <c r="C49">
        <f t="shared" si="0"/>
        <v>4.99862552685304E-5</v>
      </c>
    </row>
    <row r="50" spans="1:3" x14ac:dyDescent="0.2">
      <c r="A50" s="5" t="s">
        <v>38</v>
      </c>
      <c r="B50" s="6">
        <v>0.15</v>
      </c>
      <c r="C50">
        <f t="shared" si="0"/>
        <v>1.2491414476678564E-4</v>
      </c>
    </row>
    <row r="51" spans="1:3" x14ac:dyDescent="0.2">
      <c r="A51" s="5" t="s">
        <v>39</v>
      </c>
      <c r="B51" s="6">
        <v>0.33</v>
      </c>
      <c r="C51">
        <f t="shared" si="0"/>
        <v>2.7458493733023559E-4</v>
      </c>
    </row>
    <row r="52" spans="1:3" x14ac:dyDescent="0.2">
      <c r="A52" s="5" t="s">
        <v>40</v>
      </c>
      <c r="B52" s="6">
        <v>0.44</v>
      </c>
      <c r="C52">
        <f t="shared" si="0"/>
        <v>3.6592929423662213E-4</v>
      </c>
    </row>
    <row r="53" spans="1:3" x14ac:dyDescent="0.2">
      <c r="A53" s="5" t="s">
        <v>41</v>
      </c>
      <c r="B53" s="6">
        <v>0.76</v>
      </c>
      <c r="C53">
        <f t="shared" si="0"/>
        <v>6.3113787510671315E-4</v>
      </c>
    </row>
    <row r="54" spans="1:3" x14ac:dyDescent="0.2">
      <c r="A54" s="5" t="s">
        <v>42</v>
      </c>
      <c r="B54" s="6">
        <v>0.98</v>
      </c>
      <c r="C54">
        <f t="shared" si="0"/>
        <v>8.1302127632687515E-4</v>
      </c>
    </row>
    <row r="55" spans="1:3" x14ac:dyDescent="0.2">
      <c r="A55" s="5" t="s">
        <v>43</v>
      </c>
      <c r="B55" s="6">
        <v>1.49</v>
      </c>
      <c r="C55">
        <f t="shared" si="0"/>
        <v>1.2332669717645128E-3</v>
      </c>
    </row>
    <row r="56" spans="1:3" x14ac:dyDescent="0.2">
      <c r="A56" s="5" t="s">
        <v>44</v>
      </c>
      <c r="B56" s="6">
        <v>2.23</v>
      </c>
      <c r="C56">
        <f t="shared" si="0"/>
        <v>1.8396059010297172E-3</v>
      </c>
    </row>
    <row r="57" spans="1:3" x14ac:dyDescent="0.2">
      <c r="A57" s="5" t="s">
        <v>45</v>
      </c>
      <c r="B57" s="6">
        <v>2.63</v>
      </c>
      <c r="C57">
        <f t="shared" si="0"/>
        <v>2.1656835180154932E-3</v>
      </c>
    </row>
    <row r="58" spans="1:3" x14ac:dyDescent="0.2">
      <c r="A58" s="5" t="s">
        <v>46</v>
      </c>
      <c r="B58" s="6">
        <v>3.13</v>
      </c>
      <c r="C58">
        <f t="shared" si="0"/>
        <v>2.5716462189622202E-3</v>
      </c>
    </row>
    <row r="59" spans="1:3" x14ac:dyDescent="0.2">
      <c r="A59" s="5" t="s">
        <v>47</v>
      </c>
      <c r="B59" s="6">
        <v>3.72</v>
      </c>
      <c r="C59">
        <f t="shared" si="0"/>
        <v>3.0483680766628662E-3</v>
      </c>
    </row>
    <row r="60" spans="1:3" x14ac:dyDescent="0.2">
      <c r="A60" s="5" t="s">
        <v>48</v>
      </c>
      <c r="B60" s="6">
        <v>4.1500000000000004</v>
      </c>
      <c r="C60">
        <f t="shared" si="0"/>
        <v>3.3942459274463044E-3</v>
      </c>
    </row>
    <row r="61" spans="1:3" x14ac:dyDescent="0.2">
      <c r="A61" s="5" t="s">
        <v>49</v>
      </c>
      <c r="B61" s="6">
        <v>4.25</v>
      </c>
      <c r="C61">
        <f t="shared" si="0"/>
        <v>3.474495003497502E-3</v>
      </c>
    </row>
    <row r="62" spans="1:3" x14ac:dyDescent="0.2">
      <c r="A62" s="5" t="s">
        <v>50</v>
      </c>
      <c r="B62" s="6">
        <v>4.54</v>
      </c>
      <c r="C62">
        <f t="shared" si="0"/>
        <v>3.7068189305531352E-3</v>
      </c>
    </row>
    <row r="63" spans="1:3" x14ac:dyDescent="0.2">
      <c r="A63" s="5" t="s">
        <v>51</v>
      </c>
      <c r="B63" s="6">
        <v>4.6500000000000004</v>
      </c>
      <c r="C63">
        <f t="shared" si="0"/>
        <v>3.7947872834442897E-3</v>
      </c>
    </row>
    <row r="64" spans="1:3" x14ac:dyDescent="0.2">
      <c r="A64" s="5" t="s">
        <v>52</v>
      </c>
      <c r="B64" s="6">
        <v>4.6900000000000004</v>
      </c>
      <c r="C64">
        <f t="shared" si="0"/>
        <v>3.8267547616503972E-3</v>
      </c>
    </row>
    <row r="65" spans="1:3" x14ac:dyDescent="0.2">
      <c r="A65" s="5" t="s">
        <v>53</v>
      </c>
      <c r="B65" s="6">
        <v>4.92</v>
      </c>
      <c r="C65">
        <f t="shared" si="0"/>
        <v>4.0103507726252374E-3</v>
      </c>
    </row>
    <row r="66" spans="1:3" x14ac:dyDescent="0.2">
      <c r="A66" s="5" t="s">
        <v>54</v>
      </c>
      <c r="B66" s="6">
        <v>5.14</v>
      </c>
      <c r="C66">
        <f t="shared" si="0"/>
        <v>4.1856194553282489E-3</v>
      </c>
    </row>
    <row r="67" spans="1:3" x14ac:dyDescent="0.2">
      <c r="A67" s="5" t="s">
        <v>55</v>
      </c>
      <c r="B67" s="6">
        <v>5.16</v>
      </c>
      <c r="C67">
        <f t="shared" ref="C67:C85" si="1">(1+B67/100)^(1/12)-1</f>
        <v>4.2015362976310922E-3</v>
      </c>
    </row>
    <row r="68" spans="1:3" x14ac:dyDescent="0.2">
      <c r="A68" s="5" t="s">
        <v>56</v>
      </c>
      <c r="B68" s="6">
        <v>5.25</v>
      </c>
      <c r="C68">
        <f t="shared" si="1"/>
        <v>4.2731277661580691E-3</v>
      </c>
    </row>
    <row r="69" spans="1:3" x14ac:dyDescent="0.2">
      <c r="A69" s="5" t="s">
        <v>57</v>
      </c>
      <c r="B69" s="6">
        <v>5.3</v>
      </c>
      <c r="C69">
        <f t="shared" si="1"/>
        <v>4.3128765598297036E-3</v>
      </c>
    </row>
    <row r="70" spans="1:3" x14ac:dyDescent="0.2">
      <c r="A70" s="5" t="s">
        <v>58</v>
      </c>
      <c r="B70" s="6">
        <v>5.32</v>
      </c>
      <c r="C70">
        <f t="shared" si="1"/>
        <v>4.3287712331259165E-3</v>
      </c>
    </row>
    <row r="71" spans="1:3" x14ac:dyDescent="0.2">
      <c r="A71" s="5" t="s">
        <v>59</v>
      </c>
      <c r="B71" s="6">
        <v>5.34</v>
      </c>
      <c r="C71">
        <f t="shared" si="1"/>
        <v>4.3446631398347257E-3</v>
      </c>
    </row>
    <row r="72" spans="1:3" x14ac:dyDescent="0.2">
      <c r="A72" s="5" t="s">
        <v>60</v>
      </c>
      <c r="B72" s="6">
        <v>5.27</v>
      </c>
      <c r="C72">
        <f t="shared" si="1"/>
        <v>4.2890293603305985E-3</v>
      </c>
    </row>
    <row r="73" spans="1:3" x14ac:dyDescent="0.2">
      <c r="A73" s="5" t="s">
        <v>61</v>
      </c>
      <c r="B73" s="6">
        <v>5.24</v>
      </c>
      <c r="C73">
        <f t="shared" si="1"/>
        <v>4.2651759303415915E-3</v>
      </c>
    </row>
    <row r="74" spans="1:3" x14ac:dyDescent="0.2">
      <c r="A74" s="5" t="s">
        <v>62</v>
      </c>
      <c r="B74" s="6">
        <v>5.22</v>
      </c>
      <c r="C74">
        <f t="shared" si="1"/>
        <v>4.2492701806178257E-3</v>
      </c>
    </row>
    <row r="75" spans="1:3" x14ac:dyDescent="0.2">
      <c r="A75" s="5" t="s">
        <v>63</v>
      </c>
      <c r="B75" s="6">
        <v>5.24</v>
      </c>
      <c r="C75">
        <f t="shared" si="1"/>
        <v>4.2651759303415915E-3</v>
      </c>
    </row>
    <row r="76" spans="1:3" x14ac:dyDescent="0.2">
      <c r="A76" s="5" t="s">
        <v>77</v>
      </c>
      <c r="B76" s="6">
        <v>5.24</v>
      </c>
      <c r="C76">
        <f t="shared" si="1"/>
        <v>4.2651759303415915E-3</v>
      </c>
    </row>
    <row r="77" spans="1:3" x14ac:dyDescent="0.2">
      <c r="A77" s="5" t="s">
        <v>64</v>
      </c>
      <c r="B77" s="6">
        <v>5.24</v>
      </c>
      <c r="C77">
        <f t="shared" si="1"/>
        <v>4.2651759303415915E-3</v>
      </c>
    </row>
    <row r="78" spans="1:3" x14ac:dyDescent="0.2">
      <c r="A78" s="5" t="s">
        <v>65</v>
      </c>
      <c r="B78" s="6">
        <v>5.25</v>
      </c>
      <c r="C78">
        <f t="shared" si="1"/>
        <v>4.2731277661580691E-3</v>
      </c>
    </row>
    <row r="79" spans="1:3" x14ac:dyDescent="0.2">
      <c r="A79" s="5" t="s">
        <v>66</v>
      </c>
      <c r="B79" s="6">
        <v>5.24</v>
      </c>
      <c r="C79">
        <f t="shared" si="1"/>
        <v>4.2651759303415915E-3</v>
      </c>
    </row>
    <row r="80" spans="1:3" x14ac:dyDescent="0.2">
      <c r="A80" s="5" t="s">
        <v>67</v>
      </c>
      <c r="B80" s="6">
        <v>5.2</v>
      </c>
      <c r="C80">
        <f t="shared" si="1"/>
        <v>4.2333616592649115E-3</v>
      </c>
    </row>
    <row r="81" spans="1:3" x14ac:dyDescent="0.2">
      <c r="A81" s="5" t="s">
        <v>68</v>
      </c>
      <c r="B81" s="6">
        <v>5.05</v>
      </c>
      <c r="C81">
        <f t="shared" si="1"/>
        <v>4.1139593013970188E-3</v>
      </c>
    </row>
    <row r="82" spans="1:3" x14ac:dyDescent="0.2">
      <c r="A82" s="5" t="s">
        <v>69</v>
      </c>
      <c r="B82" s="6">
        <v>4.72</v>
      </c>
      <c r="C82">
        <f t="shared" si="1"/>
        <v>3.8507230235700352E-3</v>
      </c>
    </row>
    <row r="83" spans="1:3" x14ac:dyDescent="0.2">
      <c r="A83" s="5" t="s">
        <v>70</v>
      </c>
      <c r="B83" s="6">
        <v>4.51</v>
      </c>
      <c r="C83">
        <f t="shared" si="1"/>
        <v>3.6828128357737633E-3</v>
      </c>
    </row>
    <row r="84" spans="1:3" x14ac:dyDescent="0.2">
      <c r="A84" s="5" t="s">
        <v>71</v>
      </c>
      <c r="B84" s="6">
        <v>4.42</v>
      </c>
      <c r="C84">
        <f t="shared" si="1"/>
        <v>3.6107566318024364E-3</v>
      </c>
    </row>
    <row r="85" spans="1:3" x14ac:dyDescent="0.2">
      <c r="A85" s="5" t="s">
        <v>72</v>
      </c>
      <c r="B85" s="6">
        <v>4.2699999999999996</v>
      </c>
      <c r="C85">
        <f t="shared" si="1"/>
        <v>3.4905363507502507E-3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520DC-E470-48E4-9ECD-B631872724E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NAV ALCHWTU LX v China all shar</vt:lpstr>
      <vt:lpstr>NAV GSCEQBA vs MSCI World Index</vt:lpstr>
      <vt:lpstr>NAV MGGIX US vs ACWI</vt:lpstr>
      <vt:lpstr>NAV EMF US vs MSCI EM</vt:lpstr>
      <vt:lpstr>Risk-free rate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Galina Khegay</dc:creator>
  <cp:lastModifiedBy>Dmitriy Dyu</cp:lastModifiedBy>
  <dcterms:created xsi:type="dcterms:W3CDTF">2026-01-04T20:18:58Z</dcterms:created>
  <dcterms:modified xsi:type="dcterms:W3CDTF">2026-01-17T13:19:52Z</dcterms:modified>
</cp:coreProperties>
</file>