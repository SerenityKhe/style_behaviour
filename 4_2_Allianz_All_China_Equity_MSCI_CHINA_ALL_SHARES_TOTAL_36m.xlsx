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alina\Documents\HM\Bachelor Prof Scheid\Excel\"/>
    </mc:Choice>
  </mc:AlternateContent>
  <xr:revisionPtr revIDLastSave="0" documentId="13_ncr:1_{A7D539EF-8FAC-4CC4-A116-784301D641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olling Alpha" sheetId="5" r:id="rId1"/>
    <sheet name="Up-Down Scatter Plot" sheetId="9" r:id="rId2"/>
    <sheet name="Risk-free rate" sheetId="8" r:id="rId3"/>
    <sheet name="ALCHWTU LX_Monthly" sheetId="6" r:id="rId4"/>
    <sheet name="China_All_Shares_Index_Monthly" sheetId="7" r:id="rId5"/>
    <sheet name="Metrics_monthly (2)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5" l="1"/>
  <c r="J16" i="5"/>
  <c r="J17" i="5"/>
  <c r="J18" i="5"/>
  <c r="J19" i="5"/>
  <c r="J20" i="5"/>
  <c r="J21" i="5"/>
  <c r="J22" i="5"/>
  <c r="J23" i="5"/>
  <c r="J24" i="5"/>
  <c r="J25" i="5"/>
  <c r="J14" i="5"/>
  <c r="I15" i="5"/>
  <c r="I16" i="5"/>
  <c r="I17" i="5"/>
  <c r="I18" i="5"/>
  <c r="I19" i="5"/>
  <c r="I20" i="5"/>
  <c r="I21" i="5"/>
  <c r="I22" i="5"/>
  <c r="I23" i="5"/>
  <c r="I24" i="5"/>
  <c r="I25" i="5"/>
  <c r="I14" i="5"/>
  <c r="H4" i="5"/>
  <c r="H5" i="5"/>
  <c r="H6" i="5"/>
  <c r="H7" i="5"/>
  <c r="H8" i="5"/>
  <c r="H9" i="5"/>
  <c r="H10" i="5"/>
  <c r="H11" i="5"/>
  <c r="H12" i="5"/>
  <c r="H13" i="5"/>
  <c r="H3" i="5"/>
  <c r="G4" i="5"/>
  <c r="G5" i="5"/>
  <c r="G6" i="5"/>
  <c r="G7" i="5"/>
  <c r="G8" i="5"/>
  <c r="G9" i="5"/>
  <c r="G10" i="5"/>
  <c r="G11" i="5"/>
  <c r="G12" i="5"/>
  <c r="G13" i="5"/>
  <c r="G3" i="5"/>
  <c r="F3" i="5"/>
  <c r="F4" i="5"/>
  <c r="F5" i="5"/>
  <c r="F6" i="5"/>
  <c r="F7" i="5"/>
  <c r="F8" i="5"/>
  <c r="F9" i="5"/>
  <c r="F10" i="5"/>
  <c r="F11" i="5"/>
  <c r="F12" i="5"/>
  <c r="F13" i="5"/>
  <c r="F2" i="5"/>
  <c r="E4" i="5"/>
  <c r="E5" i="5"/>
  <c r="E6" i="5"/>
  <c r="E7" i="5"/>
  <c r="E8" i="5"/>
  <c r="E9" i="5"/>
  <c r="E10" i="5"/>
  <c r="E11" i="5"/>
  <c r="E12" i="5"/>
  <c r="E13" i="5"/>
  <c r="E3" i="5"/>
  <c r="D4" i="5"/>
  <c r="D5" i="5"/>
  <c r="D6" i="5"/>
  <c r="D7" i="5"/>
  <c r="D8" i="5"/>
  <c r="D9" i="5"/>
  <c r="D10" i="5"/>
  <c r="D11" i="5"/>
  <c r="D12" i="5"/>
  <c r="D13" i="5"/>
  <c r="D3" i="5"/>
  <c r="C3" i="5"/>
  <c r="C4" i="5"/>
  <c r="C5" i="5"/>
  <c r="C6" i="5"/>
  <c r="C7" i="5"/>
  <c r="C8" i="5"/>
  <c r="C9" i="5"/>
  <c r="C10" i="5"/>
  <c r="C11" i="5"/>
  <c r="C12" i="5"/>
  <c r="C13" i="5"/>
  <c r="C2" i="5"/>
  <c r="B3" i="5"/>
  <c r="B4" i="5"/>
  <c r="B5" i="5"/>
  <c r="B6" i="5"/>
  <c r="B7" i="5"/>
  <c r="B8" i="5"/>
  <c r="B9" i="5"/>
  <c r="B10" i="5"/>
  <c r="B11" i="5"/>
  <c r="B12" i="5"/>
  <c r="B13" i="5"/>
  <c r="B2" i="5"/>
  <c r="A3" i="5"/>
  <c r="A4" i="5"/>
  <c r="A5" i="5"/>
  <c r="A6" i="5"/>
  <c r="A7" i="5"/>
  <c r="A8" i="5"/>
  <c r="A9" i="5"/>
  <c r="A10" i="5"/>
  <c r="A11" i="5"/>
  <c r="A12" i="5"/>
  <c r="A13" i="5"/>
  <c r="A2" i="5"/>
  <c r="F97" i="10" l="1"/>
  <c r="E97" i="10"/>
  <c r="H97" i="10" s="1"/>
  <c r="D97" i="10"/>
  <c r="G97" i="10" s="1"/>
  <c r="C97" i="10"/>
  <c r="B97" i="10"/>
  <c r="A97" i="10"/>
  <c r="F96" i="10"/>
  <c r="E96" i="10"/>
  <c r="H96" i="10" s="1"/>
  <c r="D96" i="10"/>
  <c r="G96" i="10" s="1"/>
  <c r="C96" i="10"/>
  <c r="B96" i="10"/>
  <c r="A96" i="10"/>
  <c r="F95" i="10"/>
  <c r="E95" i="10"/>
  <c r="H95" i="10" s="1"/>
  <c r="D95" i="10"/>
  <c r="G95" i="10" s="1"/>
  <c r="C95" i="10"/>
  <c r="B95" i="10"/>
  <c r="A95" i="10"/>
  <c r="F94" i="10"/>
  <c r="E94" i="10"/>
  <c r="H94" i="10" s="1"/>
  <c r="D94" i="10"/>
  <c r="G94" i="10" s="1"/>
  <c r="C94" i="10"/>
  <c r="B94" i="10"/>
  <c r="A94" i="10"/>
  <c r="F93" i="10"/>
  <c r="E93" i="10"/>
  <c r="H93" i="10" s="1"/>
  <c r="D93" i="10"/>
  <c r="G93" i="10" s="1"/>
  <c r="C93" i="10"/>
  <c r="B93" i="10"/>
  <c r="A93" i="10"/>
  <c r="F92" i="10"/>
  <c r="E92" i="10"/>
  <c r="H92" i="10" s="1"/>
  <c r="D92" i="10"/>
  <c r="G92" i="10" s="1"/>
  <c r="C92" i="10"/>
  <c r="B92" i="10"/>
  <c r="A92" i="10"/>
  <c r="F91" i="10"/>
  <c r="E91" i="10"/>
  <c r="H91" i="10" s="1"/>
  <c r="D91" i="10"/>
  <c r="G91" i="10" s="1"/>
  <c r="C91" i="10"/>
  <c r="B91" i="10"/>
  <c r="A91" i="10"/>
  <c r="F90" i="10"/>
  <c r="E90" i="10"/>
  <c r="H90" i="10" s="1"/>
  <c r="D90" i="10"/>
  <c r="G90" i="10" s="1"/>
  <c r="C90" i="10"/>
  <c r="B90" i="10"/>
  <c r="A90" i="10"/>
  <c r="F89" i="10"/>
  <c r="E89" i="10"/>
  <c r="H89" i="10" s="1"/>
  <c r="D89" i="10"/>
  <c r="G89" i="10" s="1"/>
  <c r="C89" i="10"/>
  <c r="B89" i="10"/>
  <c r="A89" i="10"/>
  <c r="F88" i="10"/>
  <c r="E88" i="10"/>
  <c r="H88" i="10" s="1"/>
  <c r="D88" i="10"/>
  <c r="G88" i="10" s="1"/>
  <c r="C88" i="10"/>
  <c r="B88" i="10"/>
  <c r="A88" i="10"/>
  <c r="F87" i="10"/>
  <c r="E87" i="10"/>
  <c r="H87" i="10" s="1"/>
  <c r="D87" i="10"/>
  <c r="G87" i="10" s="1"/>
  <c r="C87" i="10"/>
  <c r="B87" i="10"/>
  <c r="A87" i="10"/>
  <c r="F86" i="10"/>
  <c r="E86" i="10"/>
  <c r="H86" i="10" s="1"/>
  <c r="D86" i="10"/>
  <c r="G86" i="10" s="1"/>
  <c r="C86" i="10"/>
  <c r="B86" i="10"/>
  <c r="A86" i="10"/>
  <c r="F85" i="10"/>
  <c r="E85" i="10"/>
  <c r="H85" i="10" s="1"/>
  <c r="D85" i="10"/>
  <c r="G85" i="10" s="1"/>
  <c r="C85" i="10"/>
  <c r="B85" i="10"/>
  <c r="A85" i="10"/>
  <c r="F84" i="10"/>
  <c r="E84" i="10"/>
  <c r="H84" i="10" s="1"/>
  <c r="D84" i="10"/>
  <c r="G84" i="10" s="1"/>
  <c r="C84" i="10"/>
  <c r="B84" i="10"/>
  <c r="A84" i="10"/>
  <c r="F83" i="10"/>
  <c r="E83" i="10"/>
  <c r="H83" i="10" s="1"/>
  <c r="D83" i="10"/>
  <c r="G83" i="10" s="1"/>
  <c r="C83" i="10"/>
  <c r="B83" i="10"/>
  <c r="A83" i="10"/>
  <c r="F82" i="10"/>
  <c r="E82" i="10"/>
  <c r="H82" i="10" s="1"/>
  <c r="D82" i="10"/>
  <c r="G82" i="10" s="1"/>
  <c r="C82" i="10"/>
  <c r="B82" i="10"/>
  <c r="A82" i="10"/>
  <c r="F81" i="10"/>
  <c r="E81" i="10"/>
  <c r="H81" i="10" s="1"/>
  <c r="D81" i="10"/>
  <c r="G81" i="10" s="1"/>
  <c r="C81" i="10"/>
  <c r="B81" i="10"/>
  <c r="A81" i="10"/>
  <c r="F80" i="10"/>
  <c r="E80" i="10"/>
  <c r="H80" i="10" s="1"/>
  <c r="D80" i="10"/>
  <c r="G80" i="10" s="1"/>
  <c r="C80" i="10"/>
  <c r="B80" i="10"/>
  <c r="A80" i="10"/>
  <c r="F79" i="10"/>
  <c r="E79" i="10"/>
  <c r="H79" i="10" s="1"/>
  <c r="D79" i="10"/>
  <c r="G79" i="10" s="1"/>
  <c r="C79" i="10"/>
  <c r="B79" i="10"/>
  <c r="A79" i="10"/>
  <c r="F78" i="10"/>
  <c r="E78" i="10"/>
  <c r="H78" i="10" s="1"/>
  <c r="D78" i="10"/>
  <c r="G78" i="10" s="1"/>
  <c r="C78" i="10"/>
  <c r="B78" i="10"/>
  <c r="A78" i="10"/>
  <c r="F77" i="10"/>
  <c r="E77" i="10"/>
  <c r="H77" i="10" s="1"/>
  <c r="D77" i="10"/>
  <c r="G77" i="10" s="1"/>
  <c r="C77" i="10"/>
  <c r="B77" i="10"/>
  <c r="A77" i="10"/>
  <c r="F76" i="10"/>
  <c r="E76" i="10"/>
  <c r="H76" i="10" s="1"/>
  <c r="D76" i="10"/>
  <c r="G76" i="10" s="1"/>
  <c r="C76" i="10"/>
  <c r="B76" i="10"/>
  <c r="A76" i="10"/>
  <c r="F75" i="10"/>
  <c r="E75" i="10"/>
  <c r="H75" i="10" s="1"/>
  <c r="D75" i="10"/>
  <c r="G75" i="10" s="1"/>
  <c r="C75" i="10"/>
  <c r="B75" i="10"/>
  <c r="A75" i="10"/>
  <c r="F74" i="10"/>
  <c r="E74" i="10"/>
  <c r="H74" i="10" s="1"/>
  <c r="D74" i="10"/>
  <c r="G74" i="10" s="1"/>
  <c r="C74" i="10"/>
  <c r="B74" i="10"/>
  <c r="A74" i="10"/>
  <c r="F73" i="10"/>
  <c r="E73" i="10"/>
  <c r="H73" i="10" s="1"/>
  <c r="D73" i="10"/>
  <c r="G73" i="10" s="1"/>
  <c r="C73" i="10"/>
  <c r="B73" i="10"/>
  <c r="A73" i="10"/>
  <c r="F72" i="10"/>
  <c r="E72" i="10"/>
  <c r="H72" i="10" s="1"/>
  <c r="D72" i="10"/>
  <c r="G72" i="10" s="1"/>
  <c r="C72" i="10"/>
  <c r="B72" i="10"/>
  <c r="A72" i="10"/>
  <c r="F71" i="10"/>
  <c r="E71" i="10"/>
  <c r="H71" i="10" s="1"/>
  <c r="D71" i="10"/>
  <c r="G71" i="10" s="1"/>
  <c r="C71" i="10"/>
  <c r="B71" i="10"/>
  <c r="A71" i="10"/>
  <c r="F70" i="10"/>
  <c r="E70" i="10"/>
  <c r="H70" i="10" s="1"/>
  <c r="D70" i="10"/>
  <c r="G70" i="10" s="1"/>
  <c r="C70" i="10"/>
  <c r="B70" i="10"/>
  <c r="A70" i="10"/>
  <c r="F69" i="10"/>
  <c r="E69" i="10"/>
  <c r="H69" i="10" s="1"/>
  <c r="D69" i="10"/>
  <c r="G69" i="10" s="1"/>
  <c r="C69" i="10"/>
  <c r="B69" i="10"/>
  <c r="A69" i="10"/>
  <c r="F68" i="10"/>
  <c r="E68" i="10"/>
  <c r="H68" i="10" s="1"/>
  <c r="D68" i="10"/>
  <c r="G68" i="10" s="1"/>
  <c r="C68" i="10"/>
  <c r="B68" i="10"/>
  <c r="A68" i="10"/>
  <c r="F67" i="10"/>
  <c r="E67" i="10"/>
  <c r="H67" i="10" s="1"/>
  <c r="D67" i="10"/>
  <c r="G67" i="10" s="1"/>
  <c r="C67" i="10"/>
  <c r="B67" i="10"/>
  <c r="A67" i="10"/>
  <c r="F66" i="10"/>
  <c r="E66" i="10"/>
  <c r="H66" i="10" s="1"/>
  <c r="D66" i="10"/>
  <c r="G66" i="10" s="1"/>
  <c r="C66" i="10"/>
  <c r="B66" i="10"/>
  <c r="A66" i="10"/>
  <c r="F65" i="10"/>
  <c r="E65" i="10"/>
  <c r="H65" i="10" s="1"/>
  <c r="D65" i="10"/>
  <c r="G65" i="10" s="1"/>
  <c r="C65" i="10"/>
  <c r="B65" i="10"/>
  <c r="A65" i="10"/>
  <c r="F64" i="10"/>
  <c r="E64" i="10"/>
  <c r="H64" i="10" s="1"/>
  <c r="D64" i="10"/>
  <c r="G64" i="10" s="1"/>
  <c r="C64" i="10"/>
  <c r="B64" i="10"/>
  <c r="A64" i="10"/>
  <c r="F63" i="10"/>
  <c r="E63" i="10"/>
  <c r="H63" i="10" s="1"/>
  <c r="D63" i="10"/>
  <c r="G63" i="10" s="1"/>
  <c r="C63" i="10"/>
  <c r="B63" i="10"/>
  <c r="A63" i="10"/>
  <c r="F62" i="10"/>
  <c r="E62" i="10"/>
  <c r="H62" i="10" s="1"/>
  <c r="D62" i="10"/>
  <c r="G62" i="10" s="1"/>
  <c r="C62" i="10"/>
  <c r="B62" i="10"/>
  <c r="A62" i="10"/>
  <c r="F61" i="10"/>
  <c r="E61" i="10"/>
  <c r="H61" i="10" s="1"/>
  <c r="D61" i="10"/>
  <c r="G61" i="10" s="1"/>
  <c r="C61" i="10"/>
  <c r="B61" i="10"/>
  <c r="A61" i="10"/>
  <c r="F60" i="10"/>
  <c r="E60" i="10"/>
  <c r="H60" i="10" s="1"/>
  <c r="D60" i="10"/>
  <c r="G60" i="10" s="1"/>
  <c r="C60" i="10"/>
  <c r="B60" i="10"/>
  <c r="A60" i="10"/>
  <c r="F59" i="10"/>
  <c r="E59" i="10"/>
  <c r="H59" i="10" s="1"/>
  <c r="D59" i="10"/>
  <c r="G59" i="10" s="1"/>
  <c r="C59" i="10"/>
  <c r="B59" i="10"/>
  <c r="A59" i="10"/>
  <c r="F58" i="10"/>
  <c r="E58" i="10"/>
  <c r="H58" i="10" s="1"/>
  <c r="D58" i="10"/>
  <c r="G58" i="10" s="1"/>
  <c r="C58" i="10"/>
  <c r="B58" i="10"/>
  <c r="A58" i="10"/>
  <c r="F57" i="10"/>
  <c r="E57" i="10"/>
  <c r="H57" i="10" s="1"/>
  <c r="D57" i="10"/>
  <c r="G57" i="10" s="1"/>
  <c r="C57" i="10"/>
  <c r="B57" i="10"/>
  <c r="A57" i="10"/>
  <c r="F56" i="10"/>
  <c r="E56" i="10"/>
  <c r="H56" i="10" s="1"/>
  <c r="D56" i="10"/>
  <c r="G56" i="10" s="1"/>
  <c r="C56" i="10"/>
  <c r="B56" i="10"/>
  <c r="A56" i="10"/>
  <c r="F55" i="10"/>
  <c r="E55" i="10"/>
  <c r="H55" i="10" s="1"/>
  <c r="D55" i="10"/>
  <c r="G55" i="10" s="1"/>
  <c r="C55" i="10"/>
  <c r="B55" i="10"/>
  <c r="A55" i="10"/>
  <c r="F54" i="10"/>
  <c r="E54" i="10"/>
  <c r="H54" i="10" s="1"/>
  <c r="D54" i="10"/>
  <c r="G54" i="10" s="1"/>
  <c r="C54" i="10"/>
  <c r="B54" i="10"/>
  <c r="A54" i="10"/>
  <c r="F53" i="10"/>
  <c r="E53" i="10"/>
  <c r="H53" i="10" s="1"/>
  <c r="D53" i="10"/>
  <c r="G53" i="10" s="1"/>
  <c r="C53" i="10"/>
  <c r="B53" i="10"/>
  <c r="A53" i="10"/>
  <c r="F52" i="10"/>
  <c r="E52" i="10"/>
  <c r="H52" i="10" s="1"/>
  <c r="D52" i="10"/>
  <c r="C52" i="10"/>
  <c r="B52" i="10"/>
  <c r="A52" i="10"/>
  <c r="F51" i="10"/>
  <c r="E51" i="10"/>
  <c r="H51" i="10" s="1"/>
  <c r="D51" i="10"/>
  <c r="G51" i="10" s="1"/>
  <c r="C51" i="10"/>
  <c r="B51" i="10"/>
  <c r="A51" i="10"/>
  <c r="F50" i="10"/>
  <c r="E50" i="10"/>
  <c r="H50" i="10" s="1"/>
  <c r="D50" i="10"/>
  <c r="G50" i="10" s="1"/>
  <c r="C50" i="10"/>
  <c r="B50" i="10"/>
  <c r="A50" i="10"/>
  <c r="F49" i="10"/>
  <c r="E49" i="10"/>
  <c r="H49" i="10" s="1"/>
  <c r="D49" i="10"/>
  <c r="C49" i="10"/>
  <c r="B49" i="10"/>
  <c r="A49" i="10"/>
  <c r="F48" i="10"/>
  <c r="E48" i="10"/>
  <c r="H48" i="10" s="1"/>
  <c r="D48" i="10"/>
  <c r="C48" i="10"/>
  <c r="B48" i="10"/>
  <c r="A48" i="10"/>
  <c r="F47" i="10"/>
  <c r="E47" i="10"/>
  <c r="H47" i="10" s="1"/>
  <c r="D47" i="10"/>
  <c r="G47" i="10" s="1"/>
  <c r="C47" i="10"/>
  <c r="B47" i="10"/>
  <c r="A47" i="10"/>
  <c r="F46" i="10"/>
  <c r="E46" i="10"/>
  <c r="H46" i="10" s="1"/>
  <c r="D46" i="10"/>
  <c r="G46" i="10" s="1"/>
  <c r="C46" i="10"/>
  <c r="B46" i="10"/>
  <c r="A46" i="10"/>
  <c r="F45" i="10"/>
  <c r="E45" i="10"/>
  <c r="H45" i="10" s="1"/>
  <c r="D45" i="10"/>
  <c r="C45" i="10"/>
  <c r="B45" i="10"/>
  <c r="A45" i="10"/>
  <c r="F44" i="10"/>
  <c r="E44" i="10"/>
  <c r="H44" i="10" s="1"/>
  <c r="D44" i="10"/>
  <c r="C44" i="10"/>
  <c r="B44" i="10"/>
  <c r="A44" i="10"/>
  <c r="F43" i="10"/>
  <c r="E43" i="10"/>
  <c r="H43" i="10" s="1"/>
  <c r="D43" i="10"/>
  <c r="G43" i="10" s="1"/>
  <c r="C43" i="10"/>
  <c r="B43" i="10"/>
  <c r="A43" i="10"/>
  <c r="F42" i="10"/>
  <c r="E42" i="10"/>
  <c r="H42" i="10" s="1"/>
  <c r="D42" i="10"/>
  <c r="G42" i="10" s="1"/>
  <c r="C42" i="10"/>
  <c r="B42" i="10"/>
  <c r="A42" i="10"/>
  <c r="F41" i="10"/>
  <c r="E41" i="10"/>
  <c r="H41" i="10" s="1"/>
  <c r="D41" i="10"/>
  <c r="G41" i="10" s="1"/>
  <c r="C41" i="10"/>
  <c r="B41" i="10"/>
  <c r="A41" i="10"/>
  <c r="F40" i="10"/>
  <c r="E40" i="10"/>
  <c r="H40" i="10" s="1"/>
  <c r="D40" i="10"/>
  <c r="C40" i="10"/>
  <c r="B40" i="10"/>
  <c r="A40" i="10"/>
  <c r="F39" i="10"/>
  <c r="E39" i="10"/>
  <c r="H39" i="10" s="1"/>
  <c r="D39" i="10"/>
  <c r="G39" i="10" s="1"/>
  <c r="C39" i="10"/>
  <c r="B39" i="10"/>
  <c r="A39" i="10"/>
  <c r="F38" i="10"/>
  <c r="E38" i="10"/>
  <c r="H38" i="10" s="1"/>
  <c r="D38" i="10"/>
  <c r="G38" i="10" s="1"/>
  <c r="C38" i="10"/>
  <c r="B38" i="10"/>
  <c r="A38" i="10"/>
  <c r="F37" i="10"/>
  <c r="E37" i="10"/>
  <c r="H37" i="10" s="1"/>
  <c r="D37" i="10"/>
  <c r="C37" i="10"/>
  <c r="B37" i="10"/>
  <c r="A37" i="10"/>
  <c r="F36" i="10"/>
  <c r="E36" i="10"/>
  <c r="H36" i="10" s="1"/>
  <c r="D36" i="10"/>
  <c r="C36" i="10"/>
  <c r="B36" i="10"/>
  <c r="A36" i="10"/>
  <c r="F35" i="10"/>
  <c r="E35" i="10"/>
  <c r="H35" i="10" s="1"/>
  <c r="D35" i="10"/>
  <c r="G35" i="10" s="1"/>
  <c r="C35" i="10"/>
  <c r="B35" i="10"/>
  <c r="A35" i="10"/>
  <c r="F34" i="10"/>
  <c r="E34" i="10"/>
  <c r="H34" i="10" s="1"/>
  <c r="D34" i="10"/>
  <c r="G34" i="10" s="1"/>
  <c r="C34" i="10"/>
  <c r="B34" i="10"/>
  <c r="A34" i="10"/>
  <c r="F33" i="10"/>
  <c r="E33" i="10"/>
  <c r="H33" i="10" s="1"/>
  <c r="D33" i="10"/>
  <c r="C33" i="10"/>
  <c r="B33" i="10"/>
  <c r="A33" i="10"/>
  <c r="F32" i="10"/>
  <c r="E32" i="10"/>
  <c r="H32" i="10" s="1"/>
  <c r="D32" i="10"/>
  <c r="C32" i="10"/>
  <c r="B32" i="10"/>
  <c r="A32" i="10"/>
  <c r="F31" i="10"/>
  <c r="E31" i="10"/>
  <c r="H31" i="10" s="1"/>
  <c r="D31" i="10"/>
  <c r="G31" i="10" s="1"/>
  <c r="C31" i="10"/>
  <c r="B31" i="10"/>
  <c r="A31" i="10"/>
  <c r="F30" i="10"/>
  <c r="E30" i="10"/>
  <c r="H30" i="10" s="1"/>
  <c r="D30" i="10"/>
  <c r="G30" i="10" s="1"/>
  <c r="C30" i="10"/>
  <c r="B30" i="10"/>
  <c r="A30" i="10"/>
  <c r="F29" i="10"/>
  <c r="E29" i="10"/>
  <c r="H29" i="10" s="1"/>
  <c r="D29" i="10"/>
  <c r="C29" i="10"/>
  <c r="B29" i="10"/>
  <c r="A29" i="10"/>
  <c r="F28" i="10"/>
  <c r="E28" i="10"/>
  <c r="H28" i="10" s="1"/>
  <c r="D28" i="10"/>
  <c r="C28" i="10"/>
  <c r="B28" i="10"/>
  <c r="A28" i="10"/>
  <c r="F27" i="10"/>
  <c r="E27" i="10"/>
  <c r="H27" i="10" s="1"/>
  <c r="D27" i="10"/>
  <c r="G27" i="10" s="1"/>
  <c r="C27" i="10"/>
  <c r="B27" i="10"/>
  <c r="A27" i="10"/>
  <c r="F26" i="10"/>
  <c r="E26" i="10"/>
  <c r="H26" i="10" s="1"/>
  <c r="D26" i="10"/>
  <c r="G26" i="10" s="1"/>
  <c r="C26" i="10"/>
  <c r="B26" i="10"/>
  <c r="A26" i="10"/>
  <c r="F25" i="10"/>
  <c r="E25" i="10"/>
  <c r="H25" i="10" s="1"/>
  <c r="D25" i="10"/>
  <c r="G25" i="10" s="1"/>
  <c r="C25" i="10"/>
  <c r="B25" i="10"/>
  <c r="A25" i="10"/>
  <c r="F24" i="10"/>
  <c r="E24" i="10"/>
  <c r="H24" i="10" s="1"/>
  <c r="D24" i="10"/>
  <c r="C24" i="10"/>
  <c r="B24" i="10"/>
  <c r="A24" i="10"/>
  <c r="F23" i="10"/>
  <c r="E23" i="10"/>
  <c r="H23" i="10" s="1"/>
  <c r="D23" i="10"/>
  <c r="G23" i="10" s="1"/>
  <c r="C23" i="10"/>
  <c r="B23" i="10"/>
  <c r="A23" i="10"/>
  <c r="F22" i="10"/>
  <c r="E22" i="10"/>
  <c r="H22" i="10" s="1"/>
  <c r="D22" i="10"/>
  <c r="G22" i="10" s="1"/>
  <c r="C22" i="10"/>
  <c r="B22" i="10"/>
  <c r="A22" i="10"/>
  <c r="F21" i="10"/>
  <c r="E21" i="10"/>
  <c r="H21" i="10" s="1"/>
  <c r="D21" i="10"/>
  <c r="G21" i="10" s="1"/>
  <c r="C21" i="10"/>
  <c r="B21" i="10"/>
  <c r="A21" i="10"/>
  <c r="F20" i="10"/>
  <c r="E20" i="10"/>
  <c r="H20" i="10" s="1"/>
  <c r="D20" i="10"/>
  <c r="C20" i="10"/>
  <c r="B20" i="10"/>
  <c r="A20" i="10"/>
  <c r="F19" i="10"/>
  <c r="E19" i="10"/>
  <c r="H19" i="10" s="1"/>
  <c r="D19" i="10"/>
  <c r="G19" i="10" s="1"/>
  <c r="C19" i="10"/>
  <c r="B19" i="10"/>
  <c r="A19" i="10"/>
  <c r="F18" i="10"/>
  <c r="E18" i="10"/>
  <c r="H18" i="10" s="1"/>
  <c r="D18" i="10"/>
  <c r="G18" i="10" s="1"/>
  <c r="C18" i="10"/>
  <c r="B18" i="10"/>
  <c r="A18" i="10"/>
  <c r="F17" i="10"/>
  <c r="E17" i="10"/>
  <c r="H17" i="10" s="1"/>
  <c r="D17" i="10"/>
  <c r="G17" i="10" s="1"/>
  <c r="C17" i="10"/>
  <c r="B17" i="10"/>
  <c r="A17" i="10"/>
  <c r="F16" i="10"/>
  <c r="E16" i="10"/>
  <c r="H16" i="10" s="1"/>
  <c r="D16" i="10"/>
  <c r="C16" i="10"/>
  <c r="B16" i="10"/>
  <c r="A16" i="10"/>
  <c r="F15" i="10"/>
  <c r="E15" i="10"/>
  <c r="H15" i="10" s="1"/>
  <c r="D15" i="10"/>
  <c r="G15" i="10" s="1"/>
  <c r="C15" i="10"/>
  <c r="B15" i="10"/>
  <c r="A15" i="10"/>
  <c r="F14" i="10"/>
  <c r="E14" i="10"/>
  <c r="H14" i="10" s="1"/>
  <c r="D14" i="10"/>
  <c r="G14" i="10" s="1"/>
  <c r="C14" i="10"/>
  <c r="B14" i="10"/>
  <c r="A14" i="10"/>
  <c r="F13" i="10"/>
  <c r="C13" i="10"/>
  <c r="B13" i="10"/>
  <c r="A13" i="10"/>
  <c r="G12" i="10"/>
  <c r="F12" i="10"/>
  <c r="H12" i="10" s="1"/>
  <c r="C12" i="10"/>
  <c r="B12" i="10"/>
  <c r="A12" i="10"/>
  <c r="G11" i="10"/>
  <c r="F11" i="10"/>
  <c r="H11" i="10" s="1"/>
  <c r="C11" i="10"/>
  <c r="B11" i="10"/>
  <c r="A11" i="10"/>
  <c r="H10" i="10"/>
  <c r="G10" i="10"/>
  <c r="F10" i="10"/>
  <c r="C10" i="10"/>
  <c r="B10" i="10"/>
  <c r="A10" i="10"/>
  <c r="H9" i="10"/>
  <c r="G9" i="10"/>
  <c r="F9" i="10"/>
  <c r="C9" i="10"/>
  <c r="B9" i="10"/>
  <c r="A9" i="10"/>
  <c r="G8" i="10"/>
  <c r="F8" i="10"/>
  <c r="H8" i="10" s="1"/>
  <c r="C8" i="10"/>
  <c r="B8" i="10"/>
  <c r="A8" i="10"/>
  <c r="G7" i="10"/>
  <c r="F7" i="10"/>
  <c r="H7" i="10" s="1"/>
  <c r="C7" i="10"/>
  <c r="B7" i="10"/>
  <c r="A7" i="10"/>
  <c r="G6" i="10"/>
  <c r="F6" i="10"/>
  <c r="H6" i="10" s="1"/>
  <c r="C6" i="10"/>
  <c r="B6" i="10"/>
  <c r="A6" i="10"/>
  <c r="H5" i="10"/>
  <c r="G5" i="10"/>
  <c r="F5" i="10"/>
  <c r="C5" i="10"/>
  <c r="B5" i="10"/>
  <c r="A5" i="10"/>
  <c r="G4" i="10"/>
  <c r="F4" i="10"/>
  <c r="H4" i="10" s="1"/>
  <c r="C4" i="10"/>
  <c r="B4" i="10"/>
  <c r="A4" i="10"/>
  <c r="G3" i="10"/>
  <c r="F3" i="10"/>
  <c r="H3" i="10" s="1"/>
  <c r="C3" i="10"/>
  <c r="B3" i="10"/>
  <c r="A3" i="10"/>
  <c r="F2" i="10"/>
  <c r="C2" i="10"/>
  <c r="B2" i="10"/>
  <c r="A2" i="10"/>
  <c r="B15" i="9"/>
  <c r="B16" i="9"/>
  <c r="B17" i="9"/>
  <c r="B18" i="9"/>
  <c r="B19" i="9"/>
  <c r="B20" i="9"/>
  <c r="B21" i="9"/>
  <c r="B22" i="9"/>
  <c r="B23" i="9"/>
  <c r="B24" i="9"/>
  <c r="B25" i="9"/>
  <c r="B26" i="9"/>
  <c r="O3" i="9" s="1" a="1"/>
  <c r="O3" i="9" s="1"/>
  <c r="Q3" i="9" s="1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O4" i="9" s="1" a="1"/>
  <c r="O4" i="9" s="1"/>
  <c r="Q4" i="9" s="1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14" i="9"/>
  <c r="P2" i="9" a="1"/>
  <c r="P2" i="9" s="1"/>
  <c r="O2" i="9" a="1"/>
  <c r="O2" i="9" s="1"/>
  <c r="M2" i="9" a="1"/>
  <c r="M2" i="9" s="1"/>
  <c r="L2" i="9" a="1"/>
  <c r="L2" i="9" s="1"/>
  <c r="P4" i="9" a="1"/>
  <c r="P4" i="9" s="1"/>
  <c r="M4" i="9" a="1"/>
  <c r="M4" i="9" s="1"/>
  <c r="P3" i="9" a="1"/>
  <c r="P3" i="9" s="1"/>
  <c r="M3" i="9" a="1"/>
  <c r="M3" i="9" s="1"/>
  <c r="L3" i="9" a="1"/>
  <c r="L3" i="9" s="1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14" i="9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2" i="9"/>
  <c r="H18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E14" i="5"/>
  <c r="H14" i="5" s="1"/>
  <c r="E15" i="5"/>
  <c r="E16" i="5"/>
  <c r="H16" i="5" s="1"/>
  <c r="E17" i="5"/>
  <c r="H17" i="5" s="1"/>
  <c r="E18" i="5"/>
  <c r="E19" i="5"/>
  <c r="H19" i="5" s="1"/>
  <c r="E20" i="5"/>
  <c r="H20" i="5" s="1"/>
  <c r="E21" i="5"/>
  <c r="E22" i="5"/>
  <c r="H22" i="5" s="1"/>
  <c r="E23" i="5"/>
  <c r="H23" i="5" s="1"/>
  <c r="E24" i="5"/>
  <c r="H24" i="5" s="1"/>
  <c r="E25" i="5"/>
  <c r="H25" i="5" s="1"/>
  <c r="E26" i="5"/>
  <c r="H26" i="5" s="1"/>
  <c r="E27" i="5"/>
  <c r="H27" i="5" s="1"/>
  <c r="E28" i="5"/>
  <c r="H28" i="5" s="1"/>
  <c r="E29" i="5"/>
  <c r="H29" i="5" s="1"/>
  <c r="E30" i="5"/>
  <c r="H30" i="5" s="1"/>
  <c r="E31" i="5"/>
  <c r="H31" i="5" s="1"/>
  <c r="E32" i="5"/>
  <c r="H32" i="5" s="1"/>
  <c r="E33" i="5"/>
  <c r="H33" i="5" s="1"/>
  <c r="E34" i="5"/>
  <c r="H34" i="5" s="1"/>
  <c r="E35" i="5"/>
  <c r="H35" i="5" s="1"/>
  <c r="E36" i="5"/>
  <c r="H36" i="5" s="1"/>
  <c r="E37" i="5"/>
  <c r="H37" i="5" s="1"/>
  <c r="E38" i="5"/>
  <c r="H38" i="5" s="1"/>
  <c r="E39" i="5"/>
  <c r="H39" i="5" s="1"/>
  <c r="E40" i="5"/>
  <c r="H40" i="5" s="1"/>
  <c r="E41" i="5"/>
  <c r="H41" i="5" s="1"/>
  <c r="E42" i="5"/>
  <c r="H42" i="5" s="1"/>
  <c r="E43" i="5"/>
  <c r="H43" i="5" s="1"/>
  <c r="E44" i="5"/>
  <c r="E45" i="5"/>
  <c r="H45" i="5" s="1"/>
  <c r="E46" i="5"/>
  <c r="E47" i="5"/>
  <c r="H47" i="5" s="1"/>
  <c r="E48" i="5"/>
  <c r="H48" i="5" s="1"/>
  <c r="E49" i="5"/>
  <c r="H49" i="5" s="1"/>
  <c r="E50" i="5"/>
  <c r="H50" i="5" s="1"/>
  <c r="E51" i="5"/>
  <c r="H51" i="5" s="1"/>
  <c r="E52" i="5"/>
  <c r="H52" i="5" s="1"/>
  <c r="E53" i="5"/>
  <c r="H53" i="5" s="1"/>
  <c r="E54" i="5"/>
  <c r="H54" i="5" s="1"/>
  <c r="E55" i="5"/>
  <c r="H55" i="5" s="1"/>
  <c r="E56" i="5"/>
  <c r="H56" i="5" s="1"/>
  <c r="E57" i="5"/>
  <c r="H57" i="5" s="1"/>
  <c r="E58" i="5"/>
  <c r="H58" i="5" s="1"/>
  <c r="E59" i="5"/>
  <c r="H59" i="5" s="1"/>
  <c r="E60" i="5"/>
  <c r="E61" i="5"/>
  <c r="H61" i="5" s="1"/>
  <c r="E62" i="5"/>
  <c r="H62" i="5" s="1"/>
  <c r="E63" i="5"/>
  <c r="H63" i="5" s="1"/>
  <c r="E64" i="5"/>
  <c r="H64" i="5" s="1"/>
  <c r="E65" i="5"/>
  <c r="H65" i="5" s="1"/>
  <c r="E66" i="5"/>
  <c r="H66" i="5" s="1"/>
  <c r="E67" i="5"/>
  <c r="H67" i="5" s="1"/>
  <c r="E68" i="5"/>
  <c r="H68" i="5" s="1"/>
  <c r="E69" i="5"/>
  <c r="H69" i="5" s="1"/>
  <c r="E70" i="5"/>
  <c r="H70" i="5" s="1"/>
  <c r="E71" i="5"/>
  <c r="H71" i="5" s="1"/>
  <c r="E72" i="5"/>
  <c r="H72" i="5" s="1"/>
  <c r="E73" i="5"/>
  <c r="H73" i="5" s="1"/>
  <c r="E74" i="5"/>
  <c r="H74" i="5" s="1"/>
  <c r="E75" i="5"/>
  <c r="H75" i="5" s="1"/>
  <c r="E76" i="5"/>
  <c r="H76" i="5" s="1"/>
  <c r="E77" i="5"/>
  <c r="E78" i="5"/>
  <c r="H78" i="5" s="1"/>
  <c r="E79" i="5"/>
  <c r="H79" i="5" s="1"/>
  <c r="E80" i="5"/>
  <c r="H80" i="5" s="1"/>
  <c r="E81" i="5"/>
  <c r="H81" i="5" s="1"/>
  <c r="E82" i="5"/>
  <c r="H82" i="5" s="1"/>
  <c r="E83" i="5"/>
  <c r="H83" i="5" s="1"/>
  <c r="E84" i="5"/>
  <c r="H84" i="5" s="1"/>
  <c r="E85" i="5"/>
  <c r="H85" i="5" s="1"/>
  <c r="D14" i="5"/>
  <c r="G14" i="5" s="1"/>
  <c r="D15" i="5"/>
  <c r="D16" i="5"/>
  <c r="G16" i="5" s="1"/>
  <c r="D17" i="5"/>
  <c r="G17" i="5" s="1"/>
  <c r="D18" i="5"/>
  <c r="G18" i="5" s="1"/>
  <c r="D19" i="5"/>
  <c r="G19" i="5" s="1"/>
  <c r="D20" i="5"/>
  <c r="G20" i="5" s="1"/>
  <c r="D21" i="5"/>
  <c r="D22" i="5"/>
  <c r="G22" i="5" s="1"/>
  <c r="D23" i="5"/>
  <c r="G23" i="5" s="1"/>
  <c r="D24" i="5"/>
  <c r="G24" i="5" s="1"/>
  <c r="D25" i="5"/>
  <c r="G25" i="5" s="1"/>
  <c r="D26" i="5"/>
  <c r="G26" i="5" s="1"/>
  <c r="D27" i="5"/>
  <c r="G27" i="5" s="1"/>
  <c r="D28" i="5"/>
  <c r="G28" i="5" s="1"/>
  <c r="D29" i="5"/>
  <c r="G29" i="5" s="1"/>
  <c r="D30" i="5"/>
  <c r="G30" i="5" s="1"/>
  <c r="D31" i="5"/>
  <c r="G31" i="5" s="1"/>
  <c r="D32" i="5"/>
  <c r="G32" i="5" s="1"/>
  <c r="D33" i="5"/>
  <c r="G33" i="5" s="1"/>
  <c r="D34" i="5"/>
  <c r="G34" i="5" s="1"/>
  <c r="D35" i="5"/>
  <c r="G35" i="5" s="1"/>
  <c r="D36" i="5"/>
  <c r="G36" i="5" s="1"/>
  <c r="D37" i="5"/>
  <c r="G37" i="5" s="1"/>
  <c r="D38" i="5"/>
  <c r="G38" i="5" s="1"/>
  <c r="D39" i="5"/>
  <c r="G39" i="5" s="1"/>
  <c r="D40" i="5"/>
  <c r="G40" i="5" s="1"/>
  <c r="D41" i="5"/>
  <c r="G41" i="5" s="1"/>
  <c r="D42" i="5"/>
  <c r="G42" i="5" s="1"/>
  <c r="D43" i="5"/>
  <c r="G43" i="5" s="1"/>
  <c r="D44" i="5"/>
  <c r="G44" i="5" s="1"/>
  <c r="D45" i="5"/>
  <c r="G45" i="5" s="1"/>
  <c r="D46" i="5"/>
  <c r="G46" i="5" s="1"/>
  <c r="D47" i="5"/>
  <c r="G47" i="5" s="1"/>
  <c r="D48" i="5"/>
  <c r="G48" i="5" s="1"/>
  <c r="D49" i="5"/>
  <c r="G49" i="5" s="1"/>
  <c r="D50" i="5"/>
  <c r="G50" i="5" s="1"/>
  <c r="D51" i="5"/>
  <c r="G51" i="5" s="1"/>
  <c r="D52" i="5"/>
  <c r="G52" i="5" s="1"/>
  <c r="D53" i="5"/>
  <c r="G53" i="5" s="1"/>
  <c r="D54" i="5"/>
  <c r="G54" i="5" s="1"/>
  <c r="D55" i="5"/>
  <c r="G55" i="5" s="1"/>
  <c r="D56" i="5"/>
  <c r="G56" i="5" s="1"/>
  <c r="D57" i="5"/>
  <c r="G57" i="5" s="1"/>
  <c r="D58" i="5"/>
  <c r="G58" i="5" s="1"/>
  <c r="D59" i="5"/>
  <c r="G59" i="5" s="1"/>
  <c r="D60" i="5"/>
  <c r="G60" i="5" s="1"/>
  <c r="D61" i="5"/>
  <c r="G61" i="5" s="1"/>
  <c r="D62" i="5"/>
  <c r="G62" i="5" s="1"/>
  <c r="D63" i="5"/>
  <c r="G63" i="5" s="1"/>
  <c r="D64" i="5"/>
  <c r="G64" i="5" s="1"/>
  <c r="D65" i="5"/>
  <c r="G65" i="5" s="1"/>
  <c r="D66" i="5"/>
  <c r="G66" i="5" s="1"/>
  <c r="D67" i="5"/>
  <c r="G67" i="5" s="1"/>
  <c r="D68" i="5"/>
  <c r="G68" i="5" s="1"/>
  <c r="D69" i="5"/>
  <c r="G69" i="5" s="1"/>
  <c r="D70" i="5"/>
  <c r="G70" i="5" s="1"/>
  <c r="D71" i="5"/>
  <c r="G71" i="5" s="1"/>
  <c r="D72" i="5"/>
  <c r="G72" i="5" s="1"/>
  <c r="D73" i="5"/>
  <c r="G73" i="5" s="1"/>
  <c r="D74" i="5"/>
  <c r="G74" i="5" s="1"/>
  <c r="D75" i="5"/>
  <c r="G75" i="5" s="1"/>
  <c r="D76" i="5"/>
  <c r="G76" i="5" s="1"/>
  <c r="D77" i="5"/>
  <c r="G77" i="5" s="1"/>
  <c r="D78" i="5"/>
  <c r="G78" i="5" s="1"/>
  <c r="D79" i="5"/>
  <c r="G79" i="5" s="1"/>
  <c r="D80" i="5"/>
  <c r="G80" i="5" s="1"/>
  <c r="D81" i="5"/>
  <c r="G81" i="5" s="1"/>
  <c r="D82" i="5"/>
  <c r="G82" i="5" s="1"/>
  <c r="D83" i="5"/>
  <c r="G83" i="5" s="1"/>
  <c r="D84" i="5"/>
  <c r="G84" i="5" s="1"/>
  <c r="D85" i="5"/>
  <c r="G85" i="5" s="1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2" i="6"/>
  <c r="G15" i="5" l="1"/>
  <c r="H15" i="5"/>
  <c r="J26" i="5" s="1"/>
  <c r="G21" i="5"/>
  <c r="H21" i="5"/>
  <c r="J29" i="5" s="1"/>
  <c r="H44" i="5"/>
  <c r="J52" i="5" s="1"/>
  <c r="H46" i="5"/>
  <c r="I56" i="5" s="1"/>
  <c r="H60" i="5"/>
  <c r="I68" i="5" s="1"/>
  <c r="H77" i="5"/>
  <c r="I84" i="5" s="1"/>
  <c r="I76" i="5"/>
  <c r="I75" i="5"/>
  <c r="I59" i="5"/>
  <c r="I51" i="5"/>
  <c r="I43" i="5"/>
  <c r="I73" i="5"/>
  <c r="J73" i="5"/>
  <c r="J41" i="5"/>
  <c r="I41" i="5"/>
  <c r="I72" i="5"/>
  <c r="I40" i="5"/>
  <c r="I32" i="5"/>
  <c r="I63" i="5"/>
  <c r="I39" i="5"/>
  <c r="J33" i="5"/>
  <c r="I33" i="5"/>
  <c r="J54" i="5"/>
  <c r="J46" i="5"/>
  <c r="I38" i="5"/>
  <c r="J38" i="5"/>
  <c r="J30" i="5"/>
  <c r="J74" i="5"/>
  <c r="I74" i="5"/>
  <c r="J61" i="5"/>
  <c r="J58" i="5"/>
  <c r="I58" i="5"/>
  <c r="J42" i="5"/>
  <c r="J45" i="5"/>
  <c r="I42" i="5"/>
  <c r="I34" i="5"/>
  <c r="J37" i="5"/>
  <c r="I37" i="5"/>
  <c r="J34" i="5"/>
  <c r="I36" i="5"/>
  <c r="I28" i="5"/>
  <c r="I35" i="5"/>
  <c r="I27" i="5"/>
  <c r="I26" i="5"/>
  <c r="J76" i="5"/>
  <c r="J72" i="5"/>
  <c r="J56" i="5"/>
  <c r="J40" i="5"/>
  <c r="J36" i="5"/>
  <c r="J32" i="5"/>
  <c r="J28" i="5"/>
  <c r="J70" i="5"/>
  <c r="J75" i="5"/>
  <c r="J59" i="5"/>
  <c r="J43" i="5"/>
  <c r="J39" i="5"/>
  <c r="J35" i="5"/>
  <c r="G29" i="10"/>
  <c r="G33" i="10"/>
  <c r="G37" i="10"/>
  <c r="G45" i="10"/>
  <c r="G49" i="10"/>
  <c r="H13" i="10"/>
  <c r="G13" i="10"/>
  <c r="G16" i="10"/>
  <c r="G20" i="10"/>
  <c r="G24" i="10"/>
  <c r="G28" i="10"/>
  <c r="G32" i="10"/>
  <c r="G36" i="10"/>
  <c r="G40" i="10"/>
  <c r="G44" i="10"/>
  <c r="G48" i="10"/>
  <c r="G52" i="10"/>
  <c r="N3" i="9"/>
  <c r="L4" i="9" a="1"/>
  <c r="L4" i="9" s="1"/>
  <c r="N4" i="9" s="1"/>
  <c r="N2" i="9"/>
  <c r="Q2" i="9"/>
  <c r="I77" i="5" l="1"/>
  <c r="I66" i="5"/>
  <c r="I48" i="5"/>
  <c r="J69" i="5"/>
  <c r="J53" i="5"/>
  <c r="J44" i="5"/>
  <c r="I29" i="5"/>
  <c r="J27" i="5"/>
  <c r="J79" i="5"/>
  <c r="J48" i="5"/>
  <c r="I65" i="5"/>
  <c r="I31" i="5"/>
  <c r="J47" i="5"/>
  <c r="I57" i="5"/>
  <c r="I53" i="5"/>
  <c r="I30" i="5"/>
  <c r="J57" i="5"/>
  <c r="I44" i="5"/>
  <c r="J31" i="5"/>
  <c r="J83" i="5"/>
  <c r="I64" i="5"/>
  <c r="J51" i="5"/>
  <c r="I50" i="5"/>
  <c r="J85" i="5"/>
  <c r="I54" i="5"/>
  <c r="I67" i="5"/>
  <c r="I46" i="5"/>
  <c r="I69" i="5"/>
  <c r="J82" i="5"/>
  <c r="J55" i="5"/>
  <c r="J80" i="5"/>
  <c r="J49" i="5"/>
  <c r="I70" i="5"/>
  <c r="J62" i="5"/>
  <c r="I47" i="5"/>
  <c r="J84" i="5"/>
  <c r="I80" i="5"/>
  <c r="I55" i="5"/>
  <c r="J66" i="5"/>
  <c r="J50" i="5"/>
  <c r="J77" i="5"/>
  <c r="I79" i="5"/>
  <c r="J68" i="5"/>
  <c r="J65" i="5"/>
  <c r="I45" i="5"/>
  <c r="I82" i="5"/>
  <c r="I78" i="5"/>
  <c r="J81" i="5"/>
  <c r="I60" i="5"/>
  <c r="J60" i="5"/>
  <c r="I62" i="5"/>
  <c r="I71" i="5"/>
  <c r="J63" i="5"/>
  <c r="J64" i="5"/>
  <c r="J78" i="5"/>
  <c r="I81" i="5"/>
  <c r="I52" i="5"/>
  <c r="J67" i="5"/>
  <c r="J71" i="5"/>
  <c r="I49" i="5"/>
  <c r="I61" i="5"/>
  <c r="I85" i="5"/>
  <c r="I8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tc={2C4BDD8B-F1B0-46CE-AEAF-69B336BE50E9}</author>
  </authors>
  <commentList>
    <comment ref="F1" authorId="0" shapeId="0" xr:uid="{2C4BDD8B-F1B0-46CE-AEAF-69B336BE50E9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https://fred.stlouisfed.org/series/TB3MS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tc={5F9AEDFC-E976-4501-912C-AF9E663194A4}</author>
  </authors>
  <commentList>
    <comment ref="F1" authorId="0" shapeId="0" xr:uid="{5F9AEDFC-E976-4501-912C-AF9E663194A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https://fred.stlouisfed.org/series/TB3MS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<sst xmlns="http://schemas.openxmlformats.org/spreadsheetml/2006/main" count="237" uniqueCount="120">
  <si>
    <t>Date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</si>
  <si>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</si>
  <si>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</si>
  <si>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</si>
  <si>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</si>
  <si>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</si>
  <si>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</si>
  <si>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</si>
  <si>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</si>
  <si>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</si>
  <si>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</si>
  <si>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</si>
  <si>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</si>
  <si>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</si>
  <si>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2020-02-28</t>
  </si>
  <si>
    <t>2020-03-31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</si>
  <si>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</si>
  <si>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</si>
  <si>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</si>
  <si>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</si>
  <si>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</si>
  <si>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</si>
  <si>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</si>
  <si>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</si>
  <si>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</si>
  <si>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</si>
  <si>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</si>
  <si>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</si>
  <si>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2021-07-30</t>
  </si>
  <si>
    <t>2021-08-31</t>
  </si>
  <si>
    <t>2021-09-30</t>
  </si>
  <si>
    <t>2021-10-29</t>
  </si>
  <si>
    <t>2021-11-30</t>
  </si>
  <si>
    <t>2021-12-31</t>
  </si>
  <si>
    <t>2022-02-28</t>
  </si>
  <si>
    <t>2022-03-31</t>
  </si>
  <si>
    <t>2022-04-29</t>
  </si>
  <si>
    <t>2022-05-31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</si>
  <si>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</si>
  <si>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</si>
  <si>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</si>
  <si>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</si>
  <si>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</si>
  <si>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</si>
  <si>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</si>
  <si>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</si>
  <si>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</si>
  <si>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</si>
  <si>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</si>
  <si>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</si>
  <si>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</si>
  <si>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</si>
  <si>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2023-10-31</t>
  </si>
  <si>
    <t>2023-11-30</t>
  </si>
  <si>
    <t>2023-12-29</t>
  </si>
  <si>
    <t>2024-01-31</t>
  </si>
  <si>
    <t>2024-02-29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</si>
  <si>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</si>
  <si>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</si>
  <si>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</si>
  <si>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</si>
  <si>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</si>
  <si>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</si>
  <si>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</si>
  <si>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</si>
  <si>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</si>
  <si>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MSCI China All Shares Index</t>
  </si>
  <si>
    <t>Beta</t>
  </si>
  <si>
    <t>Alpha</t>
  </si>
  <si>
    <t>ALCHWTU LX</t>
  </si>
  <si>
    <t>2020-01-31</t>
  </si>
  <si>
    <t>2020-04-30</t>
  </si>
  <si>
    <t>2021-05-31</t>
  </si>
  <si>
    <t>2021-06-30</t>
  </si>
  <si>
    <t>2022-01-31</t>
  </si>
  <si>
    <t>2022-06-30</t>
  </si>
  <si>
    <t>2023-09-29</t>
  </si>
  <si>
    <t>2024-03-29</t>
  </si>
  <si>
    <t>NAV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</si>
  <si>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</si>
  <si>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</si>
  <si>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</si>
  <si>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</si>
  <si>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</si>
  <si>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</si>
  <si>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</si>
  <si>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</si>
  <si>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</si>
  <si>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</si>
  <si>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</si>
  <si>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</si>
  <si>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</si>
  <si>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</si>
  <si>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</si>
  <si>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</si>
  <si>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</si>
  <si>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</si>
  <si>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</si>
  <si>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</si>
  <si>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</si>
  <si>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</si>
  <si>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</si>
  <si>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China all shares</t>
  </si>
  <si>
    <t>Return ALCHWTU LX, Rp</t>
  </si>
  <si>
    <t>observation_date</t>
  </si>
  <si>
    <t>TB3MS</t>
  </si>
  <si>
    <t>Return China All Shares, Rm</t>
  </si>
  <si>
    <t>Risk-free</t>
  </si>
  <si>
    <t>Fund Excess</t>
  </si>
  <si>
    <t>Benchmark Excess</t>
  </si>
  <si>
    <t>Fund Geo-Mittel (Up)</t>
  </si>
  <si>
    <t>Benchmark Geo-Mittel (Up)</t>
  </si>
  <si>
    <t>UC Ratio</t>
  </si>
  <si>
    <t>Fund Geo-Mittel (Down)</t>
  </si>
  <si>
    <t>Benchmark Geo-Mittel (Down)</t>
  </si>
  <si>
    <t>DC Ratio</t>
  </si>
  <si>
    <t>pre-covid</t>
  </si>
  <si>
    <t>during-covid</t>
  </si>
  <si>
    <t>post-covid</t>
  </si>
  <si>
    <t>ALCHWTU LX and China all 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</si>
</sst>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1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 vertical="top"/>
    </xf>
    <xf numFmtId="0" fontId="2" fillId="0" borderId="0" xfId="0" applyFont="1"/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 applyAlignment="1">
      <alignment wrapText="1"/>
    </xf>
    <xf numFmtId="165" fontId="0" fillId="0" borderId="0" xfId="0" applyNumberFormat="1"/>
    <xf numFmtId="0" fontId="0" fillId="0" borderId="0" xfId="0" applyFont="1"/>
    <xf numFmtId="0" fontId="0" fillId="0" borderId="0" xfId="0" applyFont="1" applyAlignment="1">
      <alignment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alina Khegay" id="{B21B91C7-3CF8-4BF6-8A9A-F9A82EF691CE}" userId="S::g.khegay@hm.edu::380e464f-d0ab-4c27-bc53-0f64b3b6ca9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6-01-02T16:08:19.87" personId="{B21B91C7-3CF8-4BF6-8A9A-F9A82EF691CE}" id="{2C4BDD8B-F1B0-46CE-AEAF-69B336BE50E9}">
    <text>https://fred.stlouisfed.org/series/TB3MS</text>
    <extLst>
      <x:ext xmlns:xltc2="http://schemas.microsoft.com/office/spreadsheetml/2020/threadedcomments2" uri="{F7C98A9C-CBB3-438F-8F68-D28B6AF4A901}">
        <xltc2:checksum>691612873</xltc2:checksum>
        <xltc2:hyperlink startIndex="0" length="40" url="https://fred.stlouisfed.org/series/TB3MS"/>
      </x:ext>
    </extLs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1" dT="2026-01-02T16:08:19.87" personId="{B21B91C7-3CF8-4BF6-8A9A-F9A82EF691CE}" id="{5F9AEDFC-E976-4501-912C-AF9E663194A4}">
    <text>https://fred.stlouisfed.org/series/TB3MS</text>
    <extLst>
      <x:ext xmlns:xltc2="http://schemas.microsoft.com/office/spreadsheetml/2020/threadedcomments2" uri="{F7C98A9C-CBB3-438F-8F68-D28B6AF4A901}">
        <xltc2:checksum>691612873</xltc2:checksum>
        <xltc2:hyperlink startIndex="0" length="40" url="https://fred.stlouisfed.org/series/TB3MS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F05BA-0849-4421-94C6-E544944B173A}">
  <dimension ref="A1:N85"/>
  <sheetViews>
    <sheetView tabSelected="1" workbookViewId="0">
      <selection activeCell="J25" sqref="J25"/>
    </sheetView>
  </sheetViews>
  <sheetFormatPr baseColWidth="10" defaultRowHeight="14.4" x14ac:dyDescent="0.3"/>
  <cols>
    <col min="3" max="5" width="12" bestFit="1" customWidth="1"/>
  </cols>
  <sheetData>
    <row r="1" spans="1:14" ht="43.2" x14ac:dyDescent="0.3">
      <c r="A1" s="6" t="s">
        <v>0</v>
      </c>
      <c r="B1" s="9" t="s">
        <v>69</v>
      </c>
      <c r="C1" s="9" t="s">
        <v>102</v>
      </c>
      <c r="D1" s="9" t="s">
        <v>103</v>
      </c>
      <c r="E1" s="9" t="s">
        <v>106</v>
      </c>
      <c r="F1" s="9" t="s">
        <v>107</v>
      </c>
      <c r="G1" s="9" t="s">
        <v>108</v>
      </c>
      <c r="H1" s="9" t="s">
        <v>109</v>
      </c>
      <c r="I1" s="9" t="s">
        <v>68</v>
      </c>
      <c r="J1" s="9" t="s">
        <v>67</v>
      </c>
      <c r="K1" s="9"/>
      <c r="L1" s="9"/>
      <c r="M1" s="9"/>
      <c r="N1" s="9"/>
    </row>
    <row r="2" spans="1:14" s="11" customFormat="1" x14ac:dyDescent="0.3">
      <c r="A2" t="str">
        <f>'ALCHWTU LX_Monthly'!A14</f>
        <v>2018-01-31</v>
      </c>
      <c r="B2" s="12">
        <f>'ALCHWTU LX_Monthly'!B14</f>
        <v>1150.57</v>
      </c>
      <c r="C2">
        <f>China_All_Shares_Index_Monthly!B14</f>
        <v>3199.3006559999999</v>
      </c>
      <c r="D2" s="12"/>
      <c r="E2" s="12"/>
      <c r="F2">
        <f>(1+'Risk-free rate'!B14/100)^(1/12)-1</f>
        <v>1.1674742711142994E-3</v>
      </c>
      <c r="G2" s="12"/>
      <c r="H2" s="12"/>
      <c r="I2" s="12"/>
      <c r="J2" s="12"/>
      <c r="K2" s="12"/>
      <c r="L2" s="12"/>
      <c r="M2" s="12"/>
      <c r="N2" s="12"/>
    </row>
    <row r="3" spans="1:14" s="11" customFormat="1" x14ac:dyDescent="0.3">
      <c r="A3" t="str">
        <f>'ALCHWTU LX_Monthly'!A15</f>
        <v>2018-02-28</v>
      </c>
      <c r="B3" s="12">
        <f>'ALCHWTU LX_Monthly'!B15</f>
        <v>1105.23</v>
      </c>
      <c r="C3">
        <f>China_All_Shares_Index_Monthly!B15</f>
        <v>2990.1855390000001</v>
      </c>
      <c r="D3">
        <f>('ALCHWTU LX_Monthly'!B15-'ALCHWTU LX_Monthly'!B14)/'ALCHWTU LX_Monthly'!B14</f>
        <v>-3.9406555011863617E-2</v>
      </c>
      <c r="E3">
        <f>(China_All_Shares_Index_Monthly!B15-China_All_Shares_Index_Monthly!B14)/China_All_Shares_Index_Monthly!B14</f>
        <v>-6.5362758766614598E-2</v>
      </c>
      <c r="F3">
        <f>(1+'Risk-free rate'!B15/100)^(1/12)-1</f>
        <v>1.2990121499387719E-3</v>
      </c>
      <c r="G3">
        <f t="shared" ref="G3:H13" si="0">D3-$F3</f>
        <v>-4.0705567161802389E-2</v>
      </c>
      <c r="H3">
        <f t="shared" si="0"/>
        <v>-6.666177091655337E-2</v>
      </c>
      <c r="I3" s="12"/>
      <c r="J3" s="12"/>
      <c r="K3" s="12"/>
      <c r="L3" s="12"/>
      <c r="M3" s="12"/>
      <c r="N3" s="12"/>
    </row>
    <row r="4" spans="1:14" s="11" customFormat="1" x14ac:dyDescent="0.3">
      <c r="A4" t="str">
        <f>'ALCHWTU LX_Monthly'!A16</f>
        <v>2018-03-30</v>
      </c>
      <c r="B4" s="12">
        <f>'ALCHWTU LX_Monthly'!B16</f>
        <v>1067.3399999999999</v>
      </c>
      <c r="C4">
        <f>China_All_Shares_Index_Monthly!B16</f>
        <v>2904.7636990000001</v>
      </c>
      <c r="D4">
        <f>('ALCHWTU LX_Monthly'!B16-'ALCHWTU LX_Monthly'!B15)/'ALCHWTU LX_Monthly'!B15</f>
        <v>-3.4282457045140019E-2</v>
      </c>
      <c r="E4">
        <f>(China_All_Shares_Index_Monthly!B16-China_All_Shares_Index_Monthly!B15)/China_All_Shares_Index_Monthly!B15</f>
        <v>-2.8567404559306168E-2</v>
      </c>
      <c r="F4">
        <f>(1+'Risk-free rate'!B16/100)^(1/12)-1</f>
        <v>1.4057468926966799E-3</v>
      </c>
      <c r="G4">
        <f t="shared" si="0"/>
        <v>-3.5688203937836699E-2</v>
      </c>
      <c r="H4">
        <f t="shared" si="0"/>
        <v>-2.9973151452002848E-2</v>
      </c>
      <c r="I4" s="12"/>
      <c r="J4" s="12"/>
      <c r="K4" s="12"/>
      <c r="L4" s="12"/>
      <c r="M4" s="12"/>
      <c r="N4" s="12"/>
    </row>
    <row r="5" spans="1:14" s="11" customFormat="1" x14ac:dyDescent="0.3">
      <c r="A5" t="str">
        <f>'ALCHWTU LX_Monthly'!A17</f>
        <v>2018-04-30</v>
      </c>
      <c r="B5" s="12">
        <f>'ALCHWTU LX_Monthly'!B17</f>
        <v>1025.92</v>
      </c>
      <c r="C5">
        <f>China_All_Shares_Index_Monthly!B17</f>
        <v>2851.3337700000002</v>
      </c>
      <c r="D5">
        <f>('ALCHWTU LX_Monthly'!B17-'ALCHWTU LX_Monthly'!B16)/'ALCHWTU LX_Monthly'!B16</f>
        <v>-3.8806753237018987E-2</v>
      </c>
      <c r="E5">
        <f>(China_All_Shares_Index_Monthly!B17-China_All_Shares_Index_Monthly!B16)/China_All_Shares_Index_Monthly!B16</f>
        <v>-1.8393898621906421E-2</v>
      </c>
      <c r="F5">
        <f>(1+'Risk-free rate'!B17/100)^(1/12)-1</f>
        <v>1.4549669057570824E-3</v>
      </c>
      <c r="G5">
        <f t="shared" si="0"/>
        <v>-4.026172014277607E-2</v>
      </c>
      <c r="H5">
        <f t="shared" si="0"/>
        <v>-1.9848865527663503E-2</v>
      </c>
      <c r="I5" s="12"/>
      <c r="J5" s="12"/>
      <c r="K5" s="12"/>
      <c r="L5" s="12"/>
      <c r="M5" s="12"/>
      <c r="N5" s="12"/>
    </row>
    <row r="6" spans="1:14" s="11" customFormat="1" x14ac:dyDescent="0.3">
      <c r="A6" t="str">
        <f>'ALCHWTU LX_Monthly'!A18</f>
        <v>2018-05-31</v>
      </c>
      <c r="B6" s="12">
        <f>'ALCHWTU LX_Monthly'!B18</f>
        <v>1075.67</v>
      </c>
      <c r="C6">
        <f>China_All_Shares_Index_Monthly!B18</f>
        <v>2875.992319</v>
      </c>
      <c r="D6">
        <f>('ALCHWTU LX_Monthly'!B18-'ALCHWTU LX_Monthly'!B17)/'ALCHWTU LX_Monthly'!B17</f>
        <v>4.8493059887710542E-2</v>
      </c>
      <c r="E6">
        <f>(China_All_Shares_Index_Monthly!B18-China_All_Shares_Index_Monthly!B17)/China_All_Shares_Index_Monthly!B17</f>
        <v>8.6480752479565961E-3</v>
      </c>
      <c r="F6">
        <f>(1+'Risk-free rate'!B18/100)^(1/12)-1</f>
        <v>1.5369411743291206E-3</v>
      </c>
      <c r="G6">
        <f t="shared" si="0"/>
        <v>4.6956118713381421E-2</v>
      </c>
      <c r="H6">
        <f t="shared" si="0"/>
        <v>7.1111340736274755E-3</v>
      </c>
      <c r="I6" s="12"/>
      <c r="J6" s="12"/>
      <c r="K6" s="12"/>
      <c r="L6" s="12"/>
      <c r="M6" s="12"/>
      <c r="N6" s="12"/>
    </row>
    <row r="7" spans="1:14" s="11" customFormat="1" x14ac:dyDescent="0.3">
      <c r="A7" t="str">
        <f>'ALCHWTU LX_Monthly'!A19</f>
        <v>2018-06-29</v>
      </c>
      <c r="B7" s="12">
        <f>'ALCHWTU LX_Monthly'!B19</f>
        <v>1020.17</v>
      </c>
      <c r="C7">
        <f>China_All_Shares_Index_Monthly!B19</f>
        <v>2671.4636390000001</v>
      </c>
      <c r="D7">
        <f>('ALCHWTU LX_Monthly'!B19-'ALCHWTU LX_Monthly'!B18)/'ALCHWTU LX_Monthly'!B18</f>
        <v>-5.1595749625814709E-2</v>
      </c>
      <c r="E7">
        <f>(China_All_Shares_Index_Monthly!B19-China_All_Shares_Index_Monthly!B18)/China_All_Shares_Index_Monthly!B18</f>
        <v>-7.1115864478774327E-2</v>
      </c>
      <c r="F7">
        <f>(1+'Risk-free rate'!B19/100)^(1/12)-1</f>
        <v>1.5697102274137009E-3</v>
      </c>
      <c r="G7">
        <f t="shared" si="0"/>
        <v>-5.316545985322841E-2</v>
      </c>
      <c r="H7">
        <f t="shared" si="0"/>
        <v>-7.2685574706188028E-2</v>
      </c>
      <c r="I7" s="12"/>
      <c r="J7" s="12"/>
      <c r="K7" s="12"/>
      <c r="L7" s="12"/>
      <c r="M7" s="12"/>
      <c r="N7" s="12"/>
    </row>
    <row r="8" spans="1:14" s="11" customFormat="1" x14ac:dyDescent="0.3">
      <c r="A8" t="str">
        <f>'ALCHWTU LX_Monthly'!A20</f>
        <v>2018-07-31</v>
      </c>
      <c r="B8" s="12">
        <f>'ALCHWTU LX_Monthly'!B20</f>
        <v>981.87</v>
      </c>
      <c r="C8">
        <f>China_All_Shares_Index_Monthly!B20</f>
        <v>2609.0936769999998</v>
      </c>
      <c r="D8">
        <f>('ALCHWTU LX_Monthly'!B20-'ALCHWTU LX_Monthly'!B19)/'ALCHWTU LX_Monthly'!B19</f>
        <v>-3.7542762480762965E-2</v>
      </c>
      <c r="E8">
        <f>(China_All_Shares_Index_Monthly!B20-China_All_Shares_Index_Monthly!B19)/China_All_Shares_Index_Monthly!B19</f>
        <v>-2.3346738128671274E-2</v>
      </c>
      <c r="F8">
        <f>(1+'Risk-free rate'!B20/100)^(1/12)-1</f>
        <v>1.6188417051281601E-3</v>
      </c>
      <c r="G8">
        <f t="shared" si="0"/>
        <v>-3.9161604185891125E-2</v>
      </c>
      <c r="H8">
        <f t="shared" si="0"/>
        <v>-2.4965579833799434E-2</v>
      </c>
      <c r="I8" s="12"/>
      <c r="J8" s="12"/>
      <c r="K8" s="12"/>
      <c r="L8" s="12"/>
      <c r="M8" s="12"/>
      <c r="N8" s="12"/>
    </row>
    <row r="9" spans="1:14" s="11" customFormat="1" x14ac:dyDescent="0.3">
      <c r="A9" t="str">
        <f>'ALCHWTU LX_Monthly'!A21</f>
        <v>2018-08-31</v>
      </c>
      <c r="B9" s="12">
        <f>'ALCHWTU LX_Monthly'!B21</f>
        <v>910.11</v>
      </c>
      <c r="C9">
        <f>China_All_Shares_Index_Monthly!B21</f>
        <v>2488.3975540000001</v>
      </c>
      <c r="D9">
        <f>('ALCHWTU LX_Monthly'!B21-'ALCHWTU LX_Monthly'!B20)/'ALCHWTU LX_Monthly'!B20</f>
        <v>-7.3085031623330979E-2</v>
      </c>
      <c r="E9">
        <f>(China_All_Shares_Index_Monthly!B21-China_All_Shares_Index_Monthly!B20)/China_All_Shares_Index_Monthly!B20</f>
        <v>-4.6259789007951253E-2</v>
      </c>
      <c r="F9">
        <f>(1+'Risk-free rate'!B21/100)^(1/12)-1</f>
        <v>1.6761282769228725E-3</v>
      </c>
      <c r="G9">
        <f t="shared" si="0"/>
        <v>-7.4761159900253851E-2</v>
      </c>
      <c r="H9">
        <f t="shared" si="0"/>
        <v>-4.7935917284874126E-2</v>
      </c>
      <c r="I9" s="12"/>
      <c r="J9" s="12"/>
      <c r="K9" s="12"/>
      <c r="L9" s="12"/>
      <c r="M9" s="12"/>
      <c r="N9" s="12"/>
    </row>
    <row r="10" spans="1:14" s="11" customFormat="1" x14ac:dyDescent="0.3">
      <c r="A10" t="str">
        <f>'ALCHWTU LX_Monthly'!A22</f>
        <v>2018-09-28</v>
      </c>
      <c r="B10" s="12">
        <f>'ALCHWTU LX_Monthly'!B22</f>
        <v>889.56</v>
      </c>
      <c r="C10">
        <f>China_All_Shares_Index_Monthly!B22</f>
        <v>2485.9787809999998</v>
      </c>
      <c r="D10">
        <f>('ALCHWTU LX_Monthly'!B22-'ALCHWTU LX_Monthly'!B21)/'ALCHWTU LX_Monthly'!B21</f>
        <v>-2.2579688169561997E-2</v>
      </c>
      <c r="E10">
        <f>(China_All_Shares_Index_Monthly!B22-China_All_Shares_Index_Monthly!B21)/China_All_Shares_Index_Monthly!B21</f>
        <v>-9.7202032533436913E-4</v>
      </c>
      <c r="F10">
        <f>(1+'Risk-free rate'!B22/100)^(1/12)-1</f>
        <v>1.7579037712718293E-3</v>
      </c>
      <c r="G10">
        <f t="shared" si="0"/>
        <v>-2.4337591940833826E-2</v>
      </c>
      <c r="H10">
        <f t="shared" si="0"/>
        <v>-2.7299240966061986E-3</v>
      </c>
      <c r="I10" s="12"/>
      <c r="J10" s="12"/>
      <c r="K10" s="12"/>
      <c r="L10" s="12"/>
      <c r="M10" s="12"/>
      <c r="N10" s="12"/>
    </row>
    <row r="11" spans="1:14" s="11" customFormat="1" x14ac:dyDescent="0.3">
      <c r="A11" t="str">
        <f>'ALCHWTU LX_Monthly'!A23</f>
        <v>2018-10-31</v>
      </c>
      <c r="B11" s="12">
        <f>'ALCHWTU LX_Monthly'!B23</f>
        <v>770.51</v>
      </c>
      <c r="C11">
        <f>China_All_Shares_Index_Monthly!B23</f>
        <v>2214.35086</v>
      </c>
      <c r="D11">
        <f>('ALCHWTU LX_Monthly'!B23-'ALCHWTU LX_Monthly'!B22)/'ALCHWTU LX_Monthly'!B22</f>
        <v>-0.13383020819281438</v>
      </c>
      <c r="E11">
        <f>(China_All_Shares_Index_Monthly!B23-China_All_Shares_Index_Monthly!B22)/China_All_Shares_Index_Monthly!B22</f>
        <v>-0.1092639740435499</v>
      </c>
      <c r="F11">
        <f>(1+'Risk-free rate'!B23/100)^(1/12)-1</f>
        <v>1.855937535336194E-3</v>
      </c>
      <c r="G11">
        <f t="shared" si="0"/>
        <v>-0.13568614572815058</v>
      </c>
      <c r="H11">
        <f t="shared" si="0"/>
        <v>-0.11111991157888609</v>
      </c>
      <c r="I11" s="12"/>
      <c r="J11" s="12"/>
      <c r="K11" s="12"/>
      <c r="L11" s="12"/>
      <c r="M11" s="12"/>
      <c r="N11" s="12"/>
    </row>
    <row r="12" spans="1:14" s="11" customFormat="1" x14ac:dyDescent="0.3">
      <c r="A12" t="str">
        <f>'ALCHWTU LX_Monthly'!A24</f>
        <v>2018-11-30</v>
      </c>
      <c r="B12" s="12">
        <f>'ALCHWTU LX_Monthly'!B24</f>
        <v>812.78</v>
      </c>
      <c r="C12">
        <f>China_All_Shares_Index_Monthly!B24</f>
        <v>2329.8148940000001</v>
      </c>
      <c r="D12">
        <f>('ALCHWTU LX_Monthly'!B24-'ALCHWTU LX_Monthly'!B23)/'ALCHWTU LX_Monthly'!B23</f>
        <v>5.4859768205474273E-2</v>
      </c>
      <c r="E12">
        <f>(China_All_Shares_Index_Monthly!B24-China_All_Shares_Index_Monthly!B23)/China_All_Shares_Index_Monthly!B23</f>
        <v>5.2143513517094613E-2</v>
      </c>
      <c r="F12">
        <f>(1+'Risk-free rate'!B24/100)^(1/12)-1</f>
        <v>1.921234803683225E-3</v>
      </c>
      <c r="G12">
        <f t="shared" si="0"/>
        <v>5.2938533401791048E-2</v>
      </c>
      <c r="H12">
        <f t="shared" si="0"/>
        <v>5.0222278713411388E-2</v>
      </c>
      <c r="I12" s="12"/>
      <c r="J12" s="12"/>
      <c r="K12" s="12"/>
      <c r="L12" s="12"/>
      <c r="M12" s="12"/>
      <c r="N12" s="12"/>
    </row>
    <row r="13" spans="1:14" s="11" customFormat="1" x14ac:dyDescent="0.3">
      <c r="A13" t="str">
        <f>'ALCHWTU LX_Monthly'!A25</f>
        <v>2018-12-31</v>
      </c>
      <c r="B13" s="12">
        <f>'ALCHWTU LX_Monthly'!B25</f>
        <v>781.37</v>
      </c>
      <c r="C13">
        <f>China_All_Shares_Index_Monthly!B25</f>
        <v>2213.3058249999999</v>
      </c>
      <c r="D13">
        <f>('ALCHWTU LX_Monthly'!B25-'ALCHWTU LX_Monthly'!B24)/'ALCHWTU LX_Monthly'!B24</f>
        <v>-3.8645143827357918E-2</v>
      </c>
      <c r="E13">
        <f>(China_All_Shares_Index_Monthly!B25-China_All_Shares_Index_Monthly!B24)/China_All_Shares_Index_Monthly!B24</f>
        <v>-5.0007865131280332E-2</v>
      </c>
      <c r="F13">
        <f>(1+'Risk-free rate'!B25/100)^(1/12)-1</f>
        <v>1.9538658918776264E-3</v>
      </c>
      <c r="G13">
        <f t="shared" si="0"/>
        <v>-4.0599009719235545E-2</v>
      </c>
      <c r="H13">
        <f t="shared" si="0"/>
        <v>-5.1961731023157959E-2</v>
      </c>
      <c r="I13" s="12"/>
      <c r="J13" s="12"/>
      <c r="K13" s="12"/>
      <c r="L13" s="12"/>
      <c r="M13" s="12"/>
      <c r="N13" s="12"/>
    </row>
    <row r="14" spans="1:14" x14ac:dyDescent="0.3">
      <c r="A14" t="str">
        <f>'ALCHWTU LX_Monthly'!A26</f>
        <v>2019-01-31</v>
      </c>
      <c r="B14">
        <f>'ALCHWTU LX_Monthly'!B26</f>
        <v>866.33</v>
      </c>
      <c r="C14">
        <f>China_All_Shares_Index_Monthly!B26</f>
        <v>2438.6662289999999</v>
      </c>
      <c r="D14">
        <f>('ALCHWTU LX_Monthly'!B26-'ALCHWTU LX_Monthly'!B25)/'ALCHWTU LX_Monthly'!B25</f>
        <v>0.10873209874963211</v>
      </c>
      <c r="E14">
        <f>(China_All_Shares_Index_Monthly!B26-China_All_Shares_Index_Monthly!B25)/China_All_Shares_Index_Monthly!B25</f>
        <v>0.10182072511375603</v>
      </c>
      <c r="F14">
        <f>(1+'Risk-free rate'!B26/100)^(1/12)-1</f>
        <v>1.9538658918776264E-3</v>
      </c>
      <c r="G14">
        <f t="shared" ref="G14:G55" si="1">D14-$F14</f>
        <v>0.10677823285775448</v>
      </c>
      <c r="H14">
        <f t="shared" ref="H14:H55" si="2">E14-$F14</f>
        <v>9.9866859221878407E-2</v>
      </c>
      <c r="I14">
        <f>((1+INDEX(LINEST(G3:G14,H3:H14,TRUE,TRUE),1,2))^12)-1</f>
        <v>9.9750640041700311E-3</v>
      </c>
      <c r="J14">
        <f>INDEX(LINEST(G3:G14, H3:H14, TRUE, TRUE), 1, 1)</f>
        <v>1.0625869508477512</v>
      </c>
    </row>
    <row r="15" spans="1:14" x14ac:dyDescent="0.3">
      <c r="A15" t="str">
        <f>'ALCHWTU LX_Monthly'!A27</f>
        <v>2019-02-28</v>
      </c>
      <c r="B15">
        <f>'ALCHWTU LX_Monthly'!B27</f>
        <v>945.62</v>
      </c>
      <c r="C15">
        <f>China_All_Shares_Index_Monthly!B27</f>
        <v>2614.024324</v>
      </c>
      <c r="D15">
        <f>('ALCHWTU LX_Monthly'!B27-'ALCHWTU LX_Monthly'!B26)/'ALCHWTU LX_Monthly'!B26</f>
        <v>9.1524015098172706E-2</v>
      </c>
      <c r="E15">
        <f>(China_All_Shares_Index_Monthly!B27-China_All_Shares_Index_Monthly!B26)/China_All_Shares_Index_Monthly!B26</f>
        <v>7.190737826877909E-2</v>
      </c>
      <c r="F15">
        <f>(1+'Risk-free rate'!B27/100)^(1/12)-1</f>
        <v>1.970177053312705E-3</v>
      </c>
      <c r="G15">
        <f t="shared" si="1"/>
        <v>8.9553838044860001E-2</v>
      </c>
      <c r="H15">
        <f t="shared" si="2"/>
        <v>6.9937201215466385E-2</v>
      </c>
      <c r="I15">
        <f t="shared" ref="I15:I25" si="3">((1+INDEX(LINEST(G4:G15,H4:H15,TRUE,TRUE),1,2))^12)-1</f>
        <v>4.3041824253593486E-3</v>
      </c>
      <c r="J15">
        <f t="shared" ref="J15:J25" si="4">INDEX(LINEST(G4:G15, H4:H15, TRUE, TRUE), 1, 1)</f>
        <v>1.1316101276575052</v>
      </c>
    </row>
    <row r="16" spans="1:14" x14ac:dyDescent="0.3">
      <c r="A16" t="str">
        <f>'ALCHWTU LX_Monthly'!A28</f>
        <v>2019-03-29</v>
      </c>
      <c r="B16">
        <f>'ALCHWTU LX_Monthly'!B28</f>
        <v>1008.77</v>
      </c>
      <c r="C16">
        <f>China_All_Shares_Index_Monthly!B28</f>
        <v>2706.760902</v>
      </c>
      <c r="D16">
        <f>('ALCHWTU LX_Monthly'!B28-'ALCHWTU LX_Monthly'!B27)/'ALCHWTU LX_Monthly'!B27</f>
        <v>6.6781582453839791E-2</v>
      </c>
      <c r="E16">
        <f>(China_All_Shares_Index_Monthly!B28-China_All_Shares_Index_Monthly!B27)/China_All_Shares_Index_Monthly!B27</f>
        <v>3.5476555114106127E-2</v>
      </c>
      <c r="F16">
        <f>(1+'Risk-free rate'!B28/100)^(1/12)-1</f>
        <v>1.9783315388433032E-3</v>
      </c>
      <c r="G16">
        <f t="shared" si="1"/>
        <v>6.4803250914996488E-2</v>
      </c>
      <c r="H16">
        <f t="shared" si="2"/>
        <v>3.3498223575262824E-2</v>
      </c>
      <c r="I16">
        <f t="shared" si="3"/>
        <v>3.5196697255006182E-2</v>
      </c>
      <c r="J16">
        <f t="shared" si="4"/>
        <v>1.1553885957831687</v>
      </c>
    </row>
    <row r="17" spans="1:10" x14ac:dyDescent="0.3">
      <c r="A17" t="str">
        <f>'ALCHWTU LX_Monthly'!A29</f>
        <v>2019-04-30</v>
      </c>
      <c r="B17">
        <f>'ALCHWTU LX_Monthly'!B29</f>
        <v>1019.58</v>
      </c>
      <c r="C17">
        <f>China_All_Shares_Index_Monthly!B29</f>
        <v>2745.8384040000001</v>
      </c>
      <c r="D17">
        <f>('ALCHWTU LX_Monthly'!B29-'ALCHWTU LX_Monthly'!B28)/'ALCHWTU LX_Monthly'!B28</f>
        <v>1.071602050021319E-2</v>
      </c>
      <c r="E17">
        <f>(China_All_Shares_Index_Monthly!B29-China_All_Shares_Index_Monthly!B28)/China_All_Shares_Index_Monthly!B28</f>
        <v>1.4436998100248196E-2</v>
      </c>
      <c r="F17">
        <f>(1+'Risk-free rate'!B29/100)^(1/12)-1</f>
        <v>1.9620218377029985E-3</v>
      </c>
      <c r="G17">
        <f t="shared" si="1"/>
        <v>8.7539986625101915E-3</v>
      </c>
      <c r="H17">
        <f t="shared" si="2"/>
        <v>1.2474976262545198E-2</v>
      </c>
      <c r="I17">
        <f t="shared" si="3"/>
        <v>4.6857108487099453E-2</v>
      </c>
      <c r="J17">
        <f t="shared" si="4"/>
        <v>1.1441435388579133</v>
      </c>
    </row>
    <row r="18" spans="1:10" x14ac:dyDescent="0.3">
      <c r="A18" t="str">
        <f>'ALCHWTU LX_Monthly'!A30</f>
        <v>2019-05-31</v>
      </c>
      <c r="B18">
        <f>'ALCHWTU LX_Monthly'!B30</f>
        <v>920.5</v>
      </c>
      <c r="C18">
        <f>China_All_Shares_Index_Monthly!B30</f>
        <v>2428.9438060000002</v>
      </c>
      <c r="D18">
        <f>('ALCHWTU LX_Monthly'!B30-'ALCHWTU LX_Monthly'!B29)/'ALCHWTU LX_Monthly'!B29</f>
        <v>-9.7177269071578531E-2</v>
      </c>
      <c r="E18">
        <f>(China_All_Shares_Index_Monthly!B30-China_All_Shares_Index_Monthly!B29)/China_All_Shares_Index_Monthly!B29</f>
        <v>-0.11540904866738103</v>
      </c>
      <c r="F18">
        <f>(1+'Risk-free rate'!B30/100)^(1/12)-1</f>
        <v>1.937551809032545E-3</v>
      </c>
      <c r="G18">
        <f t="shared" si="1"/>
        <v>-9.9114820880611076E-2</v>
      </c>
      <c r="H18">
        <f t="shared" si="2"/>
        <v>-0.11734660047641357</v>
      </c>
      <c r="I18">
        <f t="shared" si="3"/>
        <v>3.0532821235874419E-2</v>
      </c>
      <c r="J18">
        <f t="shared" si="4"/>
        <v>1.0698385926427947</v>
      </c>
    </row>
    <row r="19" spans="1:10" x14ac:dyDescent="0.3">
      <c r="A19" t="str">
        <f>'ALCHWTU LX_Monthly'!A31</f>
        <v>2019-06-28</v>
      </c>
      <c r="B19">
        <f>'ALCHWTU LX_Monthly'!B31</f>
        <v>1004.67</v>
      </c>
      <c r="C19">
        <f>China_All_Shares_Index_Monthly!B31</f>
        <v>2602.3552079999999</v>
      </c>
      <c r="D19">
        <f>('ALCHWTU LX_Monthly'!B31-'ALCHWTU LX_Monthly'!B30)/'ALCHWTU LX_Monthly'!B30</f>
        <v>9.1439435089625154E-2</v>
      </c>
      <c r="E19">
        <f>(China_All_Shares_Index_Monthly!B31-China_All_Shares_Index_Monthly!B30)/China_All_Shares_Index_Monthly!B30</f>
        <v>7.1393748003406754E-2</v>
      </c>
      <c r="F19">
        <f>(1+'Risk-free rate'!B31/100)^(1/12)-1</f>
        <v>1.7905934192179451E-3</v>
      </c>
      <c r="G19">
        <f t="shared" si="1"/>
        <v>8.9648841670407209E-2</v>
      </c>
      <c r="H19">
        <f t="shared" si="2"/>
        <v>6.9603154584188809E-2</v>
      </c>
      <c r="I19">
        <f t="shared" si="3"/>
        <v>2.1833119953236668E-2</v>
      </c>
      <c r="J19">
        <f t="shared" si="4"/>
        <v>1.1145968899819556</v>
      </c>
    </row>
    <row r="20" spans="1:10" x14ac:dyDescent="0.3">
      <c r="A20" t="str">
        <f>'ALCHWTU LX_Monthly'!A32</f>
        <v>2019-07-31</v>
      </c>
      <c r="B20">
        <f>'ALCHWTU LX_Monthly'!B32</f>
        <v>1021.32</v>
      </c>
      <c r="C20">
        <f>China_All_Shares_Index_Monthly!B32</f>
        <v>2597.8708379999998</v>
      </c>
      <c r="D20">
        <f>('ALCHWTU LX_Monthly'!B32-'ALCHWTU LX_Monthly'!B31)/'ALCHWTU LX_Monthly'!B31</f>
        <v>1.6572605930305566E-2</v>
      </c>
      <c r="E20">
        <f>(China_All_Shares_Index_Monthly!B32-China_All_Shares_Index_Monthly!B31)/China_All_Shares_Index_Monthly!B31</f>
        <v>-1.723196735870089E-3</v>
      </c>
      <c r="F20">
        <f>(1+'Risk-free rate'!B32/100)^(1/12)-1</f>
        <v>1.73337883251512E-3</v>
      </c>
      <c r="G20">
        <f t="shared" si="1"/>
        <v>1.4839227097790446E-2</v>
      </c>
      <c r="H20">
        <f t="shared" si="2"/>
        <v>-3.456575568385209E-3</v>
      </c>
      <c r="I20">
        <f t="shared" si="3"/>
        <v>5.2892610645224103E-2</v>
      </c>
      <c r="J20">
        <f t="shared" si="4"/>
        <v>1.1074785542093377</v>
      </c>
    </row>
    <row r="21" spans="1:10" x14ac:dyDescent="0.3">
      <c r="A21" t="str">
        <f>'ALCHWTU LX_Monthly'!A33</f>
        <v>2019-08-30</v>
      </c>
      <c r="B21">
        <f>'ALCHWTU LX_Monthly'!B33</f>
        <v>987.64</v>
      </c>
      <c r="C21">
        <f>China_All_Shares_Index_Monthly!B33</f>
        <v>2494.9384369999998</v>
      </c>
      <c r="D21">
        <f>('ALCHWTU LX_Monthly'!B33-'ALCHWTU LX_Monthly'!B32)/'ALCHWTU LX_Monthly'!B32</f>
        <v>-3.2976931813731312E-2</v>
      </c>
      <c r="E21">
        <f>(China_All_Shares_Index_Monthly!B33-China_All_Shares_Index_Monthly!B32)/China_All_Shares_Index_Monthly!B32</f>
        <v>-3.9621831653202474E-2</v>
      </c>
      <c r="F21">
        <f>(1+'Risk-free rate'!B33/100)^(1/12)-1</f>
        <v>1.6106549662961989E-3</v>
      </c>
      <c r="G21">
        <f t="shared" si="1"/>
        <v>-3.4587586780027511E-2</v>
      </c>
      <c r="H21">
        <f t="shared" si="2"/>
        <v>-4.1232486619498673E-2</v>
      </c>
      <c r="I21">
        <f t="shared" si="3"/>
        <v>8.7984157233708338E-2</v>
      </c>
      <c r="J21">
        <f t="shared" si="4"/>
        <v>1.0788773704396111</v>
      </c>
    </row>
    <row r="22" spans="1:10" x14ac:dyDescent="0.3">
      <c r="A22" t="str">
        <f>'ALCHWTU LX_Monthly'!A34</f>
        <v>2019-09-30</v>
      </c>
      <c r="B22">
        <f>'ALCHWTU LX_Monthly'!B34</f>
        <v>1006.27</v>
      </c>
      <c r="C22">
        <f>China_All_Shares_Index_Monthly!B34</f>
        <v>2498.284971</v>
      </c>
      <c r="D22">
        <f>('ALCHWTU LX_Monthly'!B34-'ALCHWTU LX_Monthly'!B33)/'ALCHWTU LX_Monthly'!B33</f>
        <v>1.8863148515653471E-2</v>
      </c>
      <c r="E22">
        <f>(China_All_Shares_Index_Monthly!B34-China_All_Shares_Index_Monthly!B33)/China_All_Shares_Index_Monthly!B33</f>
        <v>1.3413292890802689E-3</v>
      </c>
      <c r="F22">
        <f>(1+'Risk-free rate'!B34/100)^(1/12)-1</f>
        <v>1.5615190697231274E-3</v>
      </c>
      <c r="G22">
        <f t="shared" si="1"/>
        <v>1.7301629445930344E-2</v>
      </c>
      <c r="H22">
        <f t="shared" si="2"/>
        <v>-2.2018978064285849E-4</v>
      </c>
      <c r="I22">
        <f t="shared" si="3"/>
        <v>0.13082183181424534</v>
      </c>
      <c r="J22">
        <f t="shared" si="4"/>
        <v>1.0767810841512635</v>
      </c>
    </row>
    <row r="23" spans="1:10" x14ac:dyDescent="0.3">
      <c r="A23" t="str">
        <f>'ALCHWTU LX_Monthly'!A35</f>
        <v>2019-10-31</v>
      </c>
      <c r="B23">
        <f>'ALCHWTU LX_Monthly'!B35</f>
        <v>1054.23</v>
      </c>
      <c r="C23">
        <f>China_All_Shares_Index_Monthly!B35</f>
        <v>2590.525185</v>
      </c>
      <c r="D23">
        <f>('ALCHWTU LX_Monthly'!B35-'ALCHWTU LX_Monthly'!B34)/'ALCHWTU LX_Monthly'!B34</f>
        <v>4.7661164498593853E-2</v>
      </c>
      <c r="E23">
        <f>(China_All_Shares_Index_Monthly!B35-China_All_Shares_Index_Monthly!B34)/China_All_Shares_Index_Monthly!B34</f>
        <v>3.6921414118373574E-2</v>
      </c>
      <c r="F23">
        <f>(1+'Risk-free rate'!B35/100)^(1/12)-1</f>
        <v>1.364709877352599E-3</v>
      </c>
      <c r="G23">
        <f t="shared" si="1"/>
        <v>4.6296454621241254E-2</v>
      </c>
      <c r="H23">
        <f t="shared" si="2"/>
        <v>3.5556704241020975E-2</v>
      </c>
      <c r="I23">
        <f t="shared" si="3"/>
        <v>0.17269464109494215</v>
      </c>
      <c r="J23">
        <f t="shared" si="4"/>
        <v>0.9955681525809813</v>
      </c>
    </row>
    <row r="24" spans="1:10" x14ac:dyDescent="0.3">
      <c r="A24" t="str">
        <f>'ALCHWTU LX_Monthly'!A36</f>
        <v>2019-11-29</v>
      </c>
      <c r="B24">
        <f>'ALCHWTU LX_Monthly'!B36</f>
        <v>1075.29</v>
      </c>
      <c r="C24">
        <f>China_All_Shares_Index_Monthly!B36</f>
        <v>2609.714273</v>
      </c>
      <c r="D24">
        <f>('ALCHWTU LX_Monthly'!B36-'ALCHWTU LX_Monthly'!B35)/'ALCHWTU LX_Monthly'!B35</f>
        <v>1.9976665433539119E-2</v>
      </c>
      <c r="E24">
        <f>(China_All_Shares_Index_Monthly!B36-China_All_Shares_Index_Monthly!B35)/China_All_Shares_Index_Monthly!B35</f>
        <v>7.4074122541294973E-3</v>
      </c>
      <c r="F24">
        <f>(1+'Risk-free rate'!B36/100)^(1/12)-1</f>
        <v>1.2743632726075482E-3</v>
      </c>
      <c r="G24">
        <f t="shared" si="1"/>
        <v>1.8702302160931571E-2</v>
      </c>
      <c r="H24">
        <f t="shared" si="2"/>
        <v>6.1330489815219491E-3</v>
      </c>
      <c r="I24">
        <f t="shared" si="3"/>
        <v>0.18248957091309803</v>
      </c>
      <c r="J24">
        <f t="shared" si="4"/>
        <v>1.006429336778105</v>
      </c>
    </row>
    <row r="25" spans="1:10" x14ac:dyDescent="0.3">
      <c r="A25" t="str">
        <f>'ALCHWTU LX_Monthly'!A37</f>
        <v>2019-12-31</v>
      </c>
      <c r="B25">
        <f>'ALCHWTU LX_Monthly'!B37</f>
        <v>1169.72</v>
      </c>
      <c r="C25">
        <f>China_All_Shares_Index_Monthly!B37</f>
        <v>2824.911889</v>
      </c>
      <c r="D25">
        <f>('ALCHWTU LX_Monthly'!B37-'ALCHWTU LX_Monthly'!B36)/'ALCHWTU LX_Monthly'!B36</f>
        <v>8.7818169982051414E-2</v>
      </c>
      <c r="E25">
        <f>(China_All_Shares_Index_Monthly!B37-China_All_Shares_Index_Monthly!B36)/China_All_Shares_Index_Monthly!B36</f>
        <v>8.2460221115555024E-2</v>
      </c>
      <c r="F25">
        <f>(1+'Risk-free rate'!B37/100)^(1/12)-1</f>
        <v>1.2743632726075482E-3</v>
      </c>
      <c r="G25">
        <f t="shared" si="1"/>
        <v>8.6543806709443866E-2</v>
      </c>
      <c r="H25">
        <f t="shared" si="2"/>
        <v>8.1185857842947476E-2</v>
      </c>
      <c r="I25">
        <f t="shared" si="3"/>
        <v>0.17983146939374106</v>
      </c>
      <c r="J25">
        <f t="shared" si="4"/>
        <v>0.98781566905186002</v>
      </c>
    </row>
    <row r="26" spans="1:10" x14ac:dyDescent="0.3">
      <c r="A26" t="str">
        <f>'ALCHWTU LX_Monthly'!A38</f>
        <v>2020-01-31</v>
      </c>
      <c r="B26">
        <f>'ALCHWTU LX_Monthly'!B38</f>
        <v>1185.94</v>
      </c>
      <c r="C26">
        <f>China_All_Shares_Index_Monthly!B38</f>
        <v>2730.3153130000001</v>
      </c>
      <c r="D26">
        <f>('ALCHWTU LX_Monthly'!B38-'ALCHWTU LX_Monthly'!B37)/'ALCHWTU LX_Monthly'!B37</f>
        <v>1.3866566357760854E-2</v>
      </c>
      <c r="E26">
        <f>(China_All_Shares_Index_Monthly!B38-China_All_Shares_Index_Monthly!B37)/China_All_Shares_Index_Monthly!B37</f>
        <v>-3.3486558065174372E-2</v>
      </c>
      <c r="F26">
        <f>(1+'Risk-free rate'!B38/100)^(1/12)-1</f>
        <v>1.2579269787644787E-3</v>
      </c>
      <c r="G26">
        <f t="shared" si="1"/>
        <v>1.2608639378996376E-2</v>
      </c>
      <c r="H26">
        <f t="shared" si="2"/>
        <v>-3.4744485043938851E-2</v>
      </c>
      <c r="I26">
        <f>((1+INDEX(LINEST(G15:G26,H15:H26,TRUE,TRUE),1,2))^12)-1</f>
        <v>0.22941951805257355</v>
      </c>
      <c r="J26">
        <f>INDEX(LINEST(G15:G26, H15:H26, TRUE, TRUE), 1, 1)</f>
        <v>0.96077616634121477</v>
      </c>
    </row>
    <row r="27" spans="1:10" x14ac:dyDescent="0.3">
      <c r="A27" t="str">
        <f>'ALCHWTU LX_Monthly'!A39</f>
        <v>2020-02-28</v>
      </c>
      <c r="B27">
        <f>'ALCHWTU LX_Monthly'!B39</f>
        <v>1164.06</v>
      </c>
      <c r="C27">
        <f>China_All_Shares_Index_Monthly!B39</f>
        <v>2732.7964059999999</v>
      </c>
      <c r="D27">
        <f>('ALCHWTU LX_Monthly'!B39-'ALCHWTU LX_Monthly'!B38)/'ALCHWTU LX_Monthly'!B38</f>
        <v>-1.8449499974703701E-2</v>
      </c>
      <c r="E27">
        <f>(China_All_Shares_Index_Monthly!B39-China_All_Shares_Index_Monthly!B38)/China_All_Shares_Index_Monthly!B38</f>
        <v>9.0872031819420613E-4</v>
      </c>
      <c r="F27">
        <f>(1+'Risk-free rate'!B39/100)^(1/12)-1</f>
        <v>1.2579269787644787E-3</v>
      </c>
      <c r="G27">
        <f t="shared" si="1"/>
        <v>-1.970742695346818E-2</v>
      </c>
      <c r="H27">
        <f t="shared" si="2"/>
        <v>-3.4920666057027254E-4</v>
      </c>
      <c r="I27">
        <f t="shared" ref="I27:I85" si="5">((1+INDEX(LINEST(G16:G27,H16:H27,TRUE,TRUE),1,2))^12)-1</f>
        <v>0.18023000954246537</v>
      </c>
      <c r="J27">
        <f t="shared" ref="J27:J85" si="6">INDEX(LINEST(G16:G27, H16:H27, TRUE, TRUE), 1, 1)</f>
        <v>0.95443377114827499</v>
      </c>
    </row>
    <row r="28" spans="1:10" x14ac:dyDescent="0.3">
      <c r="A28" t="str">
        <f>'ALCHWTU LX_Monthly'!A40</f>
        <v>2020-03-31</v>
      </c>
      <c r="B28">
        <f>'ALCHWTU LX_Monthly'!B40</f>
        <v>1075.29</v>
      </c>
      <c r="C28">
        <f>China_All_Shares_Index_Monthly!B40</f>
        <v>2545.8421119999998</v>
      </c>
      <c r="D28">
        <f>('ALCHWTU LX_Monthly'!B40-'ALCHWTU LX_Monthly'!B39)/'ALCHWTU LX_Monthly'!B39</f>
        <v>-7.6258955723931737E-2</v>
      </c>
      <c r="E28">
        <f>(China_All_Shares_Index_Monthly!B40-China_All_Shares_Index_Monthly!B39)/China_All_Shares_Index_Monthly!B39</f>
        <v>-6.8411350947890595E-2</v>
      </c>
      <c r="F28">
        <f>(1+'Risk-free rate'!B40/100)^(1/12)-1</f>
        <v>2.4134604527370485E-4</v>
      </c>
      <c r="G28">
        <f t="shared" si="1"/>
        <v>-7.6500301769205442E-2</v>
      </c>
      <c r="H28">
        <f t="shared" si="2"/>
        <v>-6.86526969931643E-2</v>
      </c>
      <c r="I28">
        <f t="shared" si="5"/>
        <v>0.13194614385969095</v>
      </c>
      <c r="J28">
        <f t="shared" si="6"/>
        <v>0.9794815501803078</v>
      </c>
    </row>
    <row r="29" spans="1:10" x14ac:dyDescent="0.3">
      <c r="A29" t="str">
        <f>'ALCHWTU LX_Monthly'!A41</f>
        <v>2020-04-30</v>
      </c>
      <c r="B29">
        <f>'ALCHWTU LX_Monthly'!B41</f>
        <v>1175.05</v>
      </c>
      <c r="C29">
        <f>China_All_Shares_Index_Monthly!B41</f>
        <v>2713.7094959999999</v>
      </c>
      <c r="D29">
        <f>('ALCHWTU LX_Monthly'!B41-'ALCHWTU LX_Monthly'!B40)/'ALCHWTU LX_Monthly'!B40</f>
        <v>9.2774972333045033E-2</v>
      </c>
      <c r="E29">
        <f>(China_All_Shares_Index_Monthly!B41-China_All_Shares_Index_Monthly!B40)/China_All_Shares_Index_Monthly!B40</f>
        <v>6.5937861271422066E-2</v>
      </c>
      <c r="F29">
        <f>(1+'Risk-free rate'!B41/100)^(1/12)-1</f>
        <v>1.1659187244639213E-4</v>
      </c>
      <c r="G29">
        <f t="shared" si="1"/>
        <v>9.2658380460598641E-2</v>
      </c>
      <c r="H29">
        <f t="shared" si="2"/>
        <v>6.5821269398975674E-2</v>
      </c>
      <c r="I29">
        <f t="shared" si="5"/>
        <v>0.16823588851921945</v>
      </c>
      <c r="J29">
        <f t="shared" si="6"/>
        <v>1.0149672739391788</v>
      </c>
    </row>
    <row r="30" spans="1:10" x14ac:dyDescent="0.3">
      <c r="A30" t="str">
        <f>'ALCHWTU LX_Monthly'!A42</f>
        <v>2020-05-29</v>
      </c>
      <c r="B30">
        <f>'ALCHWTU LX_Monthly'!B42</f>
        <v>1206.78</v>
      </c>
      <c r="C30">
        <f>China_All_Shares_Index_Monthly!B42</f>
        <v>2688.9434609999998</v>
      </c>
      <c r="D30">
        <f>('ALCHWTU LX_Monthly'!B42-'ALCHWTU LX_Monthly'!B41)/'ALCHWTU LX_Monthly'!B41</f>
        <v>2.7003106250797854E-2</v>
      </c>
      <c r="E30">
        <f>(China_All_Shares_Index_Monthly!B42-China_All_Shares_Index_Monthly!B41)/China_All_Shares_Index_Monthly!B41</f>
        <v>-9.1262661078885445E-3</v>
      </c>
      <c r="F30">
        <f>(1+'Risk-free rate'!B42/100)^(1/12)-1</f>
        <v>1.0826883828274347E-4</v>
      </c>
      <c r="G30">
        <f t="shared" si="1"/>
        <v>2.689483741251511E-2</v>
      </c>
      <c r="H30">
        <f t="shared" si="2"/>
        <v>-9.234534946171288E-3</v>
      </c>
      <c r="I30">
        <f t="shared" si="5"/>
        <v>0.18487147704948104</v>
      </c>
      <c r="J30">
        <f t="shared" si="6"/>
        <v>1.0343588979508214</v>
      </c>
    </row>
    <row r="31" spans="1:10" x14ac:dyDescent="0.3">
      <c r="A31" t="str">
        <f>'ALCHWTU LX_Monthly'!A43</f>
        <v>2020-06-30</v>
      </c>
      <c r="B31">
        <f>'ALCHWTU LX_Monthly'!B43</f>
        <v>1361.65</v>
      </c>
      <c r="C31">
        <f>China_All_Shares_Index_Monthly!B43</f>
        <v>2938.8521369999999</v>
      </c>
      <c r="D31">
        <f>('ALCHWTU LX_Monthly'!B43-'ALCHWTU LX_Monthly'!B42)/'ALCHWTU LX_Monthly'!B42</f>
        <v>0.12833325046818816</v>
      </c>
      <c r="E31">
        <f>(China_All_Shares_Index_Monthly!B43-China_All_Shares_Index_Monthly!B42)/China_All_Shares_Index_Monthly!B42</f>
        <v>9.293935689784294E-2</v>
      </c>
      <c r="F31">
        <f>(1+'Risk-free rate'!B43/100)^(1/12)-1</f>
        <v>1.3323565538980731E-4</v>
      </c>
      <c r="G31">
        <f t="shared" si="1"/>
        <v>0.12820001481279836</v>
      </c>
      <c r="H31">
        <f t="shared" si="2"/>
        <v>9.2806121242453132E-2</v>
      </c>
      <c r="I31">
        <f t="shared" si="5"/>
        <v>0.19513689136555201</v>
      </c>
      <c r="J31">
        <f t="shared" si="6"/>
        <v>1.0812682703576979</v>
      </c>
    </row>
    <row r="32" spans="1:10" x14ac:dyDescent="0.3">
      <c r="A32" t="str">
        <f>'ALCHWTU LX_Monthly'!A44</f>
        <v>2020-07-31</v>
      </c>
      <c r="B32">
        <f>'ALCHWTU LX_Monthly'!B44</f>
        <v>1549.78</v>
      </c>
      <c r="C32">
        <f>China_All_Shares_Index_Monthly!B44</f>
        <v>3270.1075129999999</v>
      </c>
      <c r="D32">
        <f>('ALCHWTU LX_Monthly'!B44-'ALCHWTU LX_Monthly'!B43)/'ALCHWTU LX_Monthly'!B43</f>
        <v>0.13816325781221303</v>
      </c>
      <c r="E32">
        <f>(China_All_Shares_Index_Monthly!B44-China_All_Shares_Index_Monthly!B43)/China_All_Shares_Index_Monthly!B43</f>
        <v>0.11271590422311882</v>
      </c>
      <c r="F32">
        <f>(1+'Risk-free rate'!B44/100)^(1/12)-1</f>
        <v>1.0826883828274347E-4</v>
      </c>
      <c r="G32">
        <f t="shared" si="1"/>
        <v>0.13805498897393029</v>
      </c>
      <c r="H32">
        <f t="shared" si="2"/>
        <v>0.11260763538483608</v>
      </c>
      <c r="I32">
        <f t="shared" si="5"/>
        <v>0.19084880892205525</v>
      </c>
      <c r="J32">
        <f t="shared" si="6"/>
        <v>1.0869711739815224</v>
      </c>
    </row>
    <row r="33" spans="1:10" x14ac:dyDescent="0.3">
      <c r="A33" t="str">
        <f>'ALCHWTU LX_Monthly'!A45</f>
        <v>2020-08-31</v>
      </c>
      <c r="B33">
        <f>'ALCHWTU LX_Monthly'!B45</f>
        <v>1616.83</v>
      </c>
      <c r="C33">
        <f>China_All_Shares_Index_Monthly!B45</f>
        <v>3442.462661</v>
      </c>
      <c r="D33">
        <f>('ALCHWTU LX_Monthly'!B45-'ALCHWTU LX_Monthly'!B44)/'ALCHWTU LX_Monthly'!B44</f>
        <v>4.3264205242034323E-2</v>
      </c>
      <c r="E33">
        <f>(China_All_Shares_Index_Monthly!B45-China_All_Shares_Index_Monthly!B44)/China_All_Shares_Index_Monthly!B44</f>
        <v>5.2706263422477299E-2</v>
      </c>
      <c r="F33">
        <f>(1+'Risk-free rate'!B45/100)^(1/12)-1</f>
        <v>8.3295163273211514E-5</v>
      </c>
      <c r="G33">
        <f t="shared" si="1"/>
        <v>4.3180910078761112E-2</v>
      </c>
      <c r="H33">
        <f t="shared" si="2"/>
        <v>5.2622968259204088E-2</v>
      </c>
      <c r="I33">
        <f t="shared" si="5"/>
        <v>0.1745579254082652</v>
      </c>
      <c r="J33">
        <f t="shared" si="6"/>
        <v>1.0561458719712447</v>
      </c>
    </row>
    <row r="34" spans="1:10" x14ac:dyDescent="0.3">
      <c r="A34" t="str">
        <f>'ALCHWTU LX_Monthly'!A46</f>
        <v>2020-09-30</v>
      </c>
      <c r="B34">
        <f>'ALCHWTU LX_Monthly'!B46</f>
        <v>1577.54</v>
      </c>
      <c r="C34">
        <f>China_All_Shares_Index_Monthly!B46</f>
        <v>3324.2090699999999</v>
      </c>
      <c r="D34">
        <f>('ALCHWTU LX_Monthly'!B46-'ALCHWTU LX_Monthly'!B45)/'ALCHWTU LX_Monthly'!B45</f>
        <v>-2.43006376675346E-2</v>
      </c>
      <c r="E34">
        <f>(China_All_Shares_Index_Monthly!B46-China_All_Shares_Index_Monthly!B45)/China_All_Shares_Index_Monthly!B45</f>
        <v>-3.435145204033925E-2</v>
      </c>
      <c r="F34">
        <f>(1+'Risk-free rate'!B46/100)^(1/12)-1</f>
        <v>9.1620483841925449E-5</v>
      </c>
      <c r="G34">
        <f t="shared" si="1"/>
        <v>-2.4392258151376526E-2</v>
      </c>
      <c r="H34">
        <f t="shared" si="2"/>
        <v>-3.4443072524181176E-2</v>
      </c>
      <c r="I34">
        <f t="shared" si="5"/>
        <v>0.16630940706598829</v>
      </c>
      <c r="J34">
        <f t="shared" si="6"/>
        <v>1.0614612051490886</v>
      </c>
    </row>
    <row r="35" spans="1:10" x14ac:dyDescent="0.3">
      <c r="A35" t="str">
        <f>'ALCHWTU LX_Monthly'!A47</f>
        <v>2020-10-30</v>
      </c>
      <c r="B35">
        <f>'ALCHWTU LX_Monthly'!B47</f>
        <v>1661.29</v>
      </c>
      <c r="C35">
        <f>China_All_Shares_Index_Monthly!B47</f>
        <v>3481.47723</v>
      </c>
      <c r="D35">
        <f>('ALCHWTU LX_Monthly'!B47-'ALCHWTU LX_Monthly'!B46)/'ALCHWTU LX_Monthly'!B46</f>
        <v>5.308898665010079E-2</v>
      </c>
      <c r="E35">
        <f>(China_All_Shares_Index_Monthly!B47-China_All_Shares_Index_Monthly!B46)/China_All_Shares_Index_Monthly!B46</f>
        <v>4.730994852859844E-2</v>
      </c>
      <c r="F35">
        <f>(1+'Risk-free rate'!B47/100)^(1/12)-1</f>
        <v>8.3295163273211514E-5</v>
      </c>
      <c r="G35">
        <f t="shared" si="1"/>
        <v>5.3005691486827579E-2</v>
      </c>
      <c r="H35">
        <f t="shared" si="2"/>
        <v>4.7226653365325229E-2</v>
      </c>
      <c r="I35">
        <f t="shared" si="5"/>
        <v>0.16147091712185158</v>
      </c>
      <c r="J35">
        <f t="shared" si="6"/>
        <v>1.0567410412517575</v>
      </c>
    </row>
    <row r="36" spans="1:10" x14ac:dyDescent="0.3">
      <c r="A36" t="str">
        <f>'ALCHWTU LX_Monthly'!A48</f>
        <v>2020-11-30</v>
      </c>
      <c r="B36">
        <f>'ALCHWTU LX_Monthly'!B48</f>
        <v>1739.37</v>
      </c>
      <c r="C36">
        <f>China_All_Shares_Index_Monthly!B48</f>
        <v>3618.2460040000001</v>
      </c>
      <c r="D36">
        <f>('ALCHWTU LX_Monthly'!B48-'ALCHWTU LX_Monthly'!B47)/'ALCHWTU LX_Monthly'!B47</f>
        <v>4.6999620776625353E-2</v>
      </c>
      <c r="E36">
        <f>(China_All_Shares_Index_Monthly!B48-China_All_Shares_Index_Monthly!B47)/China_All_Shares_Index_Monthly!B47</f>
        <v>3.9284695824364224E-2</v>
      </c>
      <c r="F36">
        <f>(1+'Risk-free rate'!B48/100)^(1/12)-1</f>
        <v>7.4969080277487166E-5</v>
      </c>
      <c r="G36">
        <f t="shared" si="1"/>
        <v>4.6924651696347866E-2</v>
      </c>
      <c r="H36">
        <f t="shared" si="2"/>
        <v>3.9209726744086737E-2</v>
      </c>
      <c r="I36">
        <f t="shared" si="5"/>
        <v>0.15466373801830757</v>
      </c>
      <c r="J36">
        <f t="shared" si="6"/>
        <v>1.0544718168412501</v>
      </c>
    </row>
    <row r="37" spans="1:10" x14ac:dyDescent="0.3">
      <c r="A37" t="str">
        <f>'ALCHWTU LX_Monthly'!A49</f>
        <v>2020-12-31</v>
      </c>
      <c r="B37">
        <f>'ALCHWTU LX_Monthly'!B49</f>
        <v>1898.18</v>
      </c>
      <c r="C37">
        <f>China_All_Shares_Index_Monthly!B49</f>
        <v>3768.8008570000002</v>
      </c>
      <c r="D37">
        <f>('ALCHWTU LX_Monthly'!B49-'ALCHWTU LX_Monthly'!B48)/'ALCHWTU LX_Monthly'!B48</f>
        <v>9.1303172987921025E-2</v>
      </c>
      <c r="E37">
        <f>(China_All_Shares_Index_Monthly!B49-China_All_Shares_Index_Monthly!B48)/China_All_Shares_Index_Monthly!B48</f>
        <v>4.160989961256379E-2</v>
      </c>
      <c r="F37">
        <f>(1+'Risk-free rate'!B49/100)^(1/12)-1</f>
        <v>7.4969080277487166E-5</v>
      </c>
      <c r="G37">
        <f t="shared" si="1"/>
        <v>9.1228203907643537E-2</v>
      </c>
      <c r="H37">
        <f t="shared" si="2"/>
        <v>4.1534930532286303E-2</v>
      </c>
      <c r="I37">
        <f t="shared" si="5"/>
        <v>0.19595511004600641</v>
      </c>
      <c r="J37">
        <f t="shared" si="6"/>
        <v>1.0902251713819506</v>
      </c>
    </row>
    <row r="38" spans="1:10" x14ac:dyDescent="0.3">
      <c r="A38" t="str">
        <f>'ALCHWTU LX_Monthly'!A50</f>
        <v>2021-01-29</v>
      </c>
      <c r="B38">
        <f>'ALCHWTU LX_Monthly'!B50</f>
        <v>2015.2</v>
      </c>
      <c r="C38">
        <f>China_All_Shares_Index_Monthly!B50</f>
        <v>4005.389999</v>
      </c>
      <c r="D38">
        <f>('ALCHWTU LX_Monthly'!B50-'ALCHWTU LX_Monthly'!B49)/'ALCHWTU LX_Monthly'!B49</f>
        <v>6.1648526483262904E-2</v>
      </c>
      <c r="E38">
        <f>(China_All_Shares_Index_Monthly!B50-China_All_Shares_Index_Monthly!B49)/China_All_Shares_Index_Monthly!B49</f>
        <v>6.2775707971030048E-2</v>
      </c>
      <c r="F38">
        <f>(1+'Risk-free rate'!B50/100)^(1/12)-1</f>
        <v>6.6642234708869097E-5</v>
      </c>
      <c r="G38">
        <f t="shared" si="1"/>
        <v>6.1581884248554035E-2</v>
      </c>
      <c r="H38">
        <f t="shared" si="2"/>
        <v>6.2709065736321179E-2</v>
      </c>
      <c r="I38">
        <f t="shared" si="5"/>
        <v>0.1040656923121166</v>
      </c>
      <c r="J38">
        <f t="shared" si="6"/>
        <v>1.1489621777845689</v>
      </c>
    </row>
    <row r="39" spans="1:10" x14ac:dyDescent="0.3">
      <c r="A39" t="str">
        <f>'ALCHWTU LX_Monthly'!A51</f>
        <v>2021-02-26</v>
      </c>
      <c r="B39">
        <f>'ALCHWTU LX_Monthly'!B51</f>
        <v>1952.14</v>
      </c>
      <c r="C39">
        <f>China_All_Shares_Index_Monthly!B51</f>
        <v>3964.0609129999998</v>
      </c>
      <c r="D39">
        <f>('ALCHWTU LX_Monthly'!B51-'ALCHWTU LX_Monthly'!B50)/'ALCHWTU LX_Monthly'!B50</f>
        <v>-3.1292179436284213E-2</v>
      </c>
      <c r="E39">
        <f>(China_All_Shares_Index_Monthly!B51-China_All_Shares_Index_Monthly!B50)/China_All_Shares_Index_Monthly!B50</f>
        <v>-1.0318367502370196E-2</v>
      </c>
      <c r="F39">
        <f>(1+'Risk-free rate'!B51/100)^(1/12)-1</f>
        <v>3.3327223783574667E-5</v>
      </c>
      <c r="G39">
        <f t="shared" si="1"/>
        <v>-3.1325506660067788E-2</v>
      </c>
      <c r="H39">
        <f t="shared" si="2"/>
        <v>-1.0351694726153771E-2</v>
      </c>
      <c r="I39">
        <f t="shared" si="5"/>
        <v>0.10005485404700076</v>
      </c>
      <c r="J39">
        <f t="shared" si="6"/>
        <v>1.1580047705443071</v>
      </c>
    </row>
    <row r="40" spans="1:10" x14ac:dyDescent="0.3">
      <c r="A40" t="str">
        <f>'ALCHWTU LX_Monthly'!A52</f>
        <v>2021-03-31</v>
      </c>
      <c r="B40">
        <f>'ALCHWTU LX_Monthly'!B52</f>
        <v>1821.97</v>
      </c>
      <c r="C40">
        <f>China_All_Shares_Index_Monthly!B52</f>
        <v>3712.4446130000001</v>
      </c>
      <c r="D40">
        <f>('ALCHWTU LX_Monthly'!B52-'ALCHWTU LX_Monthly'!B51)/'ALCHWTU LX_Monthly'!B51</f>
        <v>-6.6680668394684839E-2</v>
      </c>
      <c r="E40">
        <f>(China_All_Shares_Index_Monthly!B52-China_All_Shares_Index_Monthly!B51)/China_All_Shares_Index_Monthly!B51</f>
        <v>-6.347437779647451E-2</v>
      </c>
      <c r="F40">
        <f>(1+'Risk-free rate'!B52/100)^(1/12)-1</f>
        <v>2.4996563158685703E-5</v>
      </c>
      <c r="G40">
        <f t="shared" si="1"/>
        <v>-6.6705664957843525E-2</v>
      </c>
      <c r="H40">
        <f t="shared" si="2"/>
        <v>-6.3499374359633196E-2</v>
      </c>
      <c r="I40">
        <f t="shared" si="5"/>
        <v>0.10996279477652071</v>
      </c>
      <c r="J40">
        <f t="shared" si="6"/>
        <v>1.1448708323227488</v>
      </c>
    </row>
    <row r="41" spans="1:10" x14ac:dyDescent="0.3">
      <c r="A41" t="str">
        <f>'ALCHWTU LX_Monthly'!A53</f>
        <v>2021-04-30</v>
      </c>
      <c r="B41">
        <f>'ALCHWTU LX_Monthly'!B53</f>
        <v>1921.86</v>
      </c>
      <c r="C41">
        <f>China_All_Shares_Index_Monthly!B53</f>
        <v>3798.2791670000001</v>
      </c>
      <c r="D41">
        <f>('ALCHWTU LX_Monthly'!B53-'ALCHWTU LX_Monthly'!B52)/'ALCHWTU LX_Monthly'!B52</f>
        <v>5.4825271546732314E-2</v>
      </c>
      <c r="E41">
        <f>(China_All_Shares_Index_Monthly!B53-China_All_Shares_Index_Monthly!B52)/China_All_Shares_Index_Monthly!B52</f>
        <v>2.3120763525853044E-2</v>
      </c>
      <c r="F41">
        <f>(1+'Risk-free rate'!B53/100)^(1/12)-1</f>
        <v>1.6665139084048874E-5</v>
      </c>
      <c r="G41">
        <f t="shared" si="1"/>
        <v>5.4808606407648265E-2</v>
      </c>
      <c r="H41">
        <f t="shared" si="2"/>
        <v>2.3104098386768995E-2</v>
      </c>
      <c r="I41">
        <f t="shared" si="5"/>
        <v>0.12814421926664576</v>
      </c>
      <c r="J41">
        <f t="shared" si="6"/>
        <v>1.12978554905718</v>
      </c>
    </row>
    <row r="42" spans="1:10" x14ac:dyDescent="0.3">
      <c r="A42" t="str">
        <f>'ALCHWTU LX_Monthly'!A54</f>
        <v>2021-05-31</v>
      </c>
      <c r="B42">
        <f>'ALCHWTU LX_Monthly'!B54</f>
        <v>1974.87</v>
      </c>
      <c r="C42">
        <f>China_All_Shares_Index_Monthly!B54</f>
        <v>3904.501722</v>
      </c>
      <c r="D42">
        <f>('ALCHWTU LX_Monthly'!B54-'ALCHWTU LX_Monthly'!B53)/'ALCHWTU LX_Monthly'!B53</f>
        <v>2.7582654303643341E-2</v>
      </c>
      <c r="E42">
        <f>(China_All_Shares_Index_Monthly!B54-China_All_Shares_Index_Monthly!B53)/China_All_Shares_Index_Monthly!B53</f>
        <v>2.796596835821779E-2</v>
      </c>
      <c r="F42">
        <f>(1+'Risk-free rate'!B54/100)^(1/12)-1</f>
        <v>1.6665139084048874E-5</v>
      </c>
      <c r="G42">
        <f t="shared" si="1"/>
        <v>2.7565989164559292E-2</v>
      </c>
      <c r="H42">
        <f t="shared" si="2"/>
        <v>2.7949303219133741E-2</v>
      </c>
      <c r="I42">
        <f t="shared" si="5"/>
        <v>6.4417114056139146E-2</v>
      </c>
      <c r="J42">
        <f t="shared" si="6"/>
        <v>1.1738576163251282</v>
      </c>
    </row>
    <row r="43" spans="1:10" x14ac:dyDescent="0.3">
      <c r="A43" t="str">
        <f>'ALCHWTU LX_Monthly'!A55</f>
        <v>2021-06-30</v>
      </c>
      <c r="B43">
        <f>'ALCHWTU LX_Monthly'!B55</f>
        <v>2018.32</v>
      </c>
      <c r="C43">
        <f>China_All_Shares_Index_Monthly!B55</f>
        <v>3885.8226960000002</v>
      </c>
      <c r="D43">
        <f>('ALCHWTU LX_Monthly'!B55-'ALCHWTU LX_Monthly'!B54)/'ALCHWTU LX_Monthly'!B54</f>
        <v>2.2001448196590178E-2</v>
      </c>
      <c r="E43">
        <f>(China_All_Shares_Index_Monthly!B55-China_All_Shares_Index_Monthly!B54)/China_All_Shares_Index_Monthly!B54</f>
        <v>-4.7839717664234635E-3</v>
      </c>
      <c r="F43">
        <f>(1+'Risk-free rate'!B55/100)^(1/12)-1</f>
        <v>3.3327223783574667E-5</v>
      </c>
      <c r="G43">
        <f t="shared" si="1"/>
        <v>2.1968120972806603E-2</v>
      </c>
      <c r="H43">
        <f t="shared" si="2"/>
        <v>-4.8172989902070381E-3</v>
      </c>
      <c r="I43">
        <f t="shared" si="5"/>
        <v>9.4308406536675715E-2</v>
      </c>
      <c r="J43">
        <f t="shared" si="6"/>
        <v>1.1074715665458068</v>
      </c>
    </row>
    <row r="44" spans="1:10" x14ac:dyDescent="0.3">
      <c r="A44" t="str">
        <f>'ALCHWTU LX_Monthly'!A56</f>
        <v>2021-07-30</v>
      </c>
      <c r="B44">
        <f>'ALCHWTU LX_Monthly'!B56</f>
        <v>1785.15</v>
      </c>
      <c r="C44">
        <f>China_All_Shares_Index_Monthly!B56</f>
        <v>3453.3807350000002</v>
      </c>
      <c r="D44">
        <f>('ALCHWTU LX_Monthly'!B56-'ALCHWTU LX_Monthly'!B55)/'ALCHWTU LX_Monthly'!B55</f>
        <v>-0.11552677474335084</v>
      </c>
      <c r="E44">
        <f>(China_All_Shares_Index_Monthly!B56-China_All_Shares_Index_Monthly!B55)/China_All_Shares_Index_Monthly!B55</f>
        <v>-0.11128710567395378</v>
      </c>
      <c r="F44">
        <f>(1+'Risk-free rate'!B56/100)^(1/12)-1</f>
        <v>4.1657121104599071E-5</v>
      </c>
      <c r="G44">
        <f t="shared" si="1"/>
        <v>-0.11556843186445544</v>
      </c>
      <c r="H44">
        <f t="shared" si="2"/>
        <v>-0.11132876279505838</v>
      </c>
      <c r="I44">
        <f t="shared" si="5"/>
        <v>8.9793033083064522E-2</v>
      </c>
      <c r="J44">
        <f t="shared" si="6"/>
        <v>1.086660988997233</v>
      </c>
    </row>
    <row r="45" spans="1:10" x14ac:dyDescent="0.3">
      <c r="A45" t="str">
        <f>'ALCHWTU LX_Monthly'!A57</f>
        <v>2021-08-31</v>
      </c>
      <c r="B45">
        <f>'ALCHWTU LX_Monthly'!B57</f>
        <v>1752.86</v>
      </c>
      <c r="C45">
        <f>China_All_Shares_Index_Monthly!B57</f>
        <v>3461.0799769999999</v>
      </c>
      <c r="D45">
        <f>('ALCHWTU LX_Monthly'!B57-'ALCHWTU LX_Monthly'!B56)/'ALCHWTU LX_Monthly'!B56</f>
        <v>-1.8088115844607001E-2</v>
      </c>
      <c r="E45">
        <f>(China_All_Shares_Index_Monthly!B57-China_All_Shares_Index_Monthly!B56)/China_All_Shares_Index_Monthly!B56</f>
        <v>2.2294796290394216E-3</v>
      </c>
      <c r="F45">
        <f>(1+'Risk-free rate'!B57/100)^(1/12)-1</f>
        <v>4.1657121104599071E-5</v>
      </c>
      <c r="G45">
        <f t="shared" si="1"/>
        <v>-1.81297729657116E-2</v>
      </c>
      <c r="H45">
        <f t="shared" si="2"/>
        <v>2.1878225079348225E-3</v>
      </c>
      <c r="I45">
        <f t="shared" si="5"/>
        <v>8.199142399905357E-2</v>
      </c>
      <c r="J45">
        <f t="shared" si="6"/>
        <v>1.1240951295624777</v>
      </c>
    </row>
    <row r="46" spans="1:10" x14ac:dyDescent="0.3">
      <c r="A46" t="str">
        <f>'ALCHWTU LX_Monthly'!A58</f>
        <v>2021-09-30</v>
      </c>
      <c r="B46">
        <f>'ALCHWTU LX_Monthly'!B58</f>
        <v>1701.36</v>
      </c>
      <c r="C46">
        <f>China_All_Shares_Index_Monthly!B58</f>
        <v>3367.2879349999998</v>
      </c>
      <c r="D46">
        <f>('ALCHWTU LX_Monthly'!B58-'ALCHWTU LX_Monthly'!B57)/'ALCHWTU LX_Monthly'!B57</f>
        <v>-2.9380555206918981E-2</v>
      </c>
      <c r="E46">
        <f>(China_All_Shares_Index_Monthly!B58-China_All_Shares_Index_Monthly!B57)/China_All_Shares_Index_Monthly!B57</f>
        <v>-2.7099068101077872E-2</v>
      </c>
      <c r="F46">
        <f>(1+'Risk-free rate'!B58/100)^(1/12)-1</f>
        <v>3.3327223783574667E-5</v>
      </c>
      <c r="G46">
        <f t="shared" si="1"/>
        <v>-2.9413882430702556E-2</v>
      </c>
      <c r="H46">
        <f t="shared" si="2"/>
        <v>-2.7132395324861447E-2</v>
      </c>
      <c r="I46">
        <f t="shared" si="5"/>
        <v>6.7392796923552822E-2</v>
      </c>
      <c r="J46">
        <f t="shared" si="6"/>
        <v>1.1400125421394141</v>
      </c>
    </row>
    <row r="47" spans="1:10" x14ac:dyDescent="0.3">
      <c r="A47" t="str">
        <f>'ALCHWTU LX_Monthly'!A59</f>
        <v>2021-10-29</v>
      </c>
      <c r="B47">
        <f>'ALCHWTU LX_Monthly'!B59</f>
        <v>1765.49</v>
      </c>
      <c r="C47">
        <f>China_All_Shares_Index_Monthly!B59</f>
        <v>3460.9630109999998</v>
      </c>
      <c r="D47">
        <f>('ALCHWTU LX_Monthly'!B59-'ALCHWTU LX_Monthly'!B58)/'ALCHWTU LX_Monthly'!B58</f>
        <v>3.7693374711995173E-2</v>
      </c>
      <c r="E47">
        <f>(China_All_Shares_Index_Monthly!B59-China_All_Shares_Index_Monthly!B58)/China_All_Shares_Index_Monthly!B58</f>
        <v>2.7819146389689419E-2</v>
      </c>
      <c r="F47">
        <f>(1+'Risk-free rate'!B59/100)^(1/12)-1</f>
        <v>4.1657121104599071E-5</v>
      </c>
      <c r="G47">
        <f t="shared" si="1"/>
        <v>3.7651717590890574E-2</v>
      </c>
      <c r="H47">
        <f t="shared" si="2"/>
        <v>2.777748926858482E-2</v>
      </c>
      <c r="I47">
        <f t="shared" si="5"/>
        <v>7.4562975886442562E-2</v>
      </c>
      <c r="J47">
        <f t="shared" si="6"/>
        <v>1.1515808228316724</v>
      </c>
    </row>
    <row r="48" spans="1:10" x14ac:dyDescent="0.3">
      <c r="A48" t="str">
        <f>'ALCHWTU LX_Monthly'!A60</f>
        <v>2021-11-30</v>
      </c>
      <c r="B48">
        <f>'ALCHWTU LX_Monthly'!B60</f>
        <v>1692.88</v>
      </c>
      <c r="C48">
        <f>China_All_Shares_Index_Monthly!B60</f>
        <v>3332.834773</v>
      </c>
      <c r="D48">
        <f>('ALCHWTU LX_Monthly'!B60-'ALCHWTU LX_Monthly'!B59)/'ALCHWTU LX_Monthly'!B59</f>
        <v>-4.1127392395312296E-2</v>
      </c>
      <c r="E48">
        <f>(China_All_Shares_Index_Monthly!B60-China_All_Shares_Index_Monthly!B59)/China_All_Shares_Index_Monthly!B59</f>
        <v>-3.7020978725507615E-2</v>
      </c>
      <c r="F48">
        <f>(1+'Risk-free rate'!B60/100)^(1/12)-1</f>
        <v>4.1657121104599071E-5</v>
      </c>
      <c r="G48">
        <f t="shared" si="1"/>
        <v>-4.1169049516416895E-2</v>
      </c>
      <c r="H48">
        <f t="shared" si="2"/>
        <v>-3.7062635846612214E-2</v>
      </c>
      <c r="I48">
        <f t="shared" si="5"/>
        <v>7.5223534947896242E-2</v>
      </c>
      <c r="J48">
        <f t="shared" si="6"/>
        <v>1.1643207386531176</v>
      </c>
    </row>
    <row r="49" spans="1:10" x14ac:dyDescent="0.3">
      <c r="A49" t="str">
        <f>'ALCHWTU LX_Monthly'!A61</f>
        <v>2021-12-31</v>
      </c>
      <c r="B49">
        <f>'ALCHWTU LX_Monthly'!B61</f>
        <v>1665.76</v>
      </c>
      <c r="C49">
        <f>China_All_Shares_Index_Monthly!B61</f>
        <v>3282.2545730000002</v>
      </c>
      <c r="D49">
        <f>('ALCHWTU LX_Monthly'!B61-'ALCHWTU LX_Monthly'!B60)/'ALCHWTU LX_Monthly'!B60</f>
        <v>-1.602003686026187E-2</v>
      </c>
      <c r="E49">
        <f>(China_All_Shares_Index_Monthly!B61-China_All_Shares_Index_Monthly!B60)/China_All_Shares_Index_Monthly!B60</f>
        <v>-1.5176329894827305E-2</v>
      </c>
      <c r="F49">
        <f>(1+'Risk-free rate'!B61/100)^(1/12)-1</f>
        <v>4.99862552685304E-5</v>
      </c>
      <c r="G49">
        <f t="shared" si="1"/>
        <v>-1.60700231155304E-2</v>
      </c>
      <c r="H49">
        <f t="shared" si="2"/>
        <v>-1.5226316150095835E-2</v>
      </c>
      <c r="I49">
        <f t="shared" si="5"/>
        <v>2.1669360926212855E-2</v>
      </c>
      <c r="J49">
        <f t="shared" si="6"/>
        <v>1.0841143594871447</v>
      </c>
    </row>
    <row r="50" spans="1:10" x14ac:dyDescent="0.3">
      <c r="A50" t="str">
        <f>'ALCHWTU LX_Monthly'!A62</f>
        <v>2022-01-31</v>
      </c>
      <c r="B50">
        <f>'ALCHWTU LX_Monthly'!B62</f>
        <v>1560.55</v>
      </c>
      <c r="C50">
        <f>China_All_Shares_Index_Monthly!B62</f>
        <v>3107.4786709999998</v>
      </c>
      <c r="D50">
        <f>('ALCHWTU LX_Monthly'!B62-'ALCHWTU LX_Monthly'!B61)/'ALCHWTU LX_Monthly'!B61</f>
        <v>-6.3160359235424096E-2</v>
      </c>
      <c r="E50">
        <f>(China_All_Shares_Index_Monthly!B62-China_All_Shares_Index_Monthly!B61)/China_All_Shares_Index_Monthly!B61</f>
        <v>-5.3248734402784027E-2</v>
      </c>
      <c r="F50">
        <f>(1+'Risk-free rate'!B62/100)^(1/12)-1</f>
        <v>1.2491414476678564E-4</v>
      </c>
      <c r="G50">
        <f t="shared" si="1"/>
        <v>-6.3285273380190882E-2</v>
      </c>
      <c r="H50">
        <f t="shared" si="2"/>
        <v>-5.3373648547550813E-2</v>
      </c>
      <c r="I50">
        <f t="shared" si="5"/>
        <v>3.4679970773994206E-2</v>
      </c>
      <c r="J50">
        <f t="shared" si="6"/>
        <v>1.1325224429864653</v>
      </c>
    </row>
    <row r="51" spans="1:10" x14ac:dyDescent="0.3">
      <c r="A51" t="str">
        <f>'ALCHWTU LX_Monthly'!A63</f>
        <v>2022-02-28</v>
      </c>
      <c r="B51">
        <f>'ALCHWTU LX_Monthly'!B63</f>
        <v>1544.53</v>
      </c>
      <c r="C51">
        <f>China_All_Shares_Index_Monthly!B63</f>
        <v>3069.2820790000001</v>
      </c>
      <c r="D51">
        <f>('ALCHWTU LX_Monthly'!B63-'ALCHWTU LX_Monthly'!B62)/'ALCHWTU LX_Monthly'!B62</f>
        <v>-1.0265611483130935E-2</v>
      </c>
      <c r="E51">
        <f>(China_All_Shares_Index_Monthly!B63-China_All_Shares_Index_Monthly!B62)/China_All_Shares_Index_Monthly!B62</f>
        <v>-1.2291827569554308E-2</v>
      </c>
      <c r="F51">
        <f>(1+'Risk-free rate'!B63/100)^(1/12)-1</f>
        <v>2.7458493733023559E-4</v>
      </c>
      <c r="G51">
        <f t="shared" si="1"/>
        <v>-1.0540196420461171E-2</v>
      </c>
      <c r="H51">
        <f t="shared" si="2"/>
        <v>-1.2566412506884544E-2</v>
      </c>
      <c r="I51">
        <f t="shared" si="5"/>
        <v>6.2107599602388097E-2</v>
      </c>
      <c r="J51">
        <f t="shared" si="6"/>
        <v>1.144705798626886</v>
      </c>
    </row>
    <row r="52" spans="1:10" x14ac:dyDescent="0.3">
      <c r="A52" t="str">
        <f>'ALCHWTU LX_Monthly'!A64</f>
        <v>2022-03-31</v>
      </c>
      <c r="B52">
        <f>'ALCHWTU LX_Monthly'!B64</f>
        <v>1387.86</v>
      </c>
      <c r="C52">
        <f>China_All_Shares_Index_Monthly!B64</f>
        <v>2814.1342180000001</v>
      </c>
      <c r="D52">
        <f>('ALCHWTU LX_Monthly'!B64-'ALCHWTU LX_Monthly'!B63)/'ALCHWTU LX_Monthly'!B63</f>
        <v>-0.10143538811159386</v>
      </c>
      <c r="E52">
        <f>(China_All_Shares_Index_Monthly!B64-China_All_Shares_Index_Monthly!B63)/China_All_Shares_Index_Monthly!B63</f>
        <v>-8.3129492315391684E-2</v>
      </c>
      <c r="F52">
        <f>(1+'Risk-free rate'!B64/100)^(1/12)-1</f>
        <v>3.6592929423662213E-4</v>
      </c>
      <c r="G52">
        <f t="shared" si="1"/>
        <v>-0.10180131740583048</v>
      </c>
      <c r="H52">
        <f t="shared" si="2"/>
        <v>-8.3495421609628306E-2</v>
      </c>
      <c r="I52">
        <f t="shared" si="5"/>
        <v>5.8922841704297291E-2</v>
      </c>
      <c r="J52">
        <f t="shared" si="6"/>
        <v>1.1795120159496166</v>
      </c>
    </row>
    <row r="53" spans="1:10" x14ac:dyDescent="0.3">
      <c r="A53" t="str">
        <f>'ALCHWTU LX_Monthly'!A65</f>
        <v>2022-04-29</v>
      </c>
      <c r="B53">
        <f>'ALCHWTU LX_Monthly'!B65</f>
        <v>1308.42</v>
      </c>
      <c r="C53">
        <f>China_All_Shares_Index_Monthly!B65</f>
        <v>2637.760053</v>
      </c>
      <c r="D53">
        <f>('ALCHWTU LX_Monthly'!B65-'ALCHWTU LX_Monthly'!B64)/'ALCHWTU LX_Monthly'!B64</f>
        <v>-5.7239202801435185E-2</v>
      </c>
      <c r="E53">
        <f>(China_All_Shares_Index_Monthly!B65-China_All_Shares_Index_Monthly!B64)/China_All_Shares_Index_Monthly!B64</f>
        <v>-6.2674396932406784E-2</v>
      </c>
      <c r="F53">
        <f>(1+'Risk-free rate'!B65/100)^(1/12)-1</f>
        <v>6.3113787510671315E-4</v>
      </c>
      <c r="G53">
        <f t="shared" si="1"/>
        <v>-5.7870340676541898E-2</v>
      </c>
      <c r="H53">
        <f t="shared" si="2"/>
        <v>-6.3305534807513497E-2</v>
      </c>
      <c r="I53">
        <f t="shared" si="5"/>
        <v>1.8841337740548525E-2</v>
      </c>
      <c r="J53">
        <f t="shared" si="6"/>
        <v>1.0997426627201874</v>
      </c>
    </row>
    <row r="54" spans="1:10" x14ac:dyDescent="0.3">
      <c r="A54" t="str">
        <f>'ALCHWTU LX_Monthly'!A66</f>
        <v>2022-05-31</v>
      </c>
      <c r="B54">
        <f>'ALCHWTU LX_Monthly'!B66</f>
        <v>1317.75</v>
      </c>
      <c r="C54">
        <f>China_All_Shares_Index_Monthly!B66</f>
        <v>2685.6858350000002</v>
      </c>
      <c r="D54">
        <f>('ALCHWTU LX_Monthly'!B66-'ALCHWTU LX_Monthly'!B65)/'ALCHWTU LX_Monthly'!B65</f>
        <v>7.1307378364744703E-3</v>
      </c>
      <c r="E54">
        <f>(China_All_Shares_Index_Monthly!B66-China_All_Shares_Index_Monthly!B65)/China_All_Shares_Index_Monthly!B65</f>
        <v>1.8169121162288013E-2</v>
      </c>
      <c r="F54">
        <f>(1+'Risk-free rate'!B66/100)^(1/12)-1</f>
        <v>8.1302127632687515E-4</v>
      </c>
      <c r="G54">
        <f t="shared" si="1"/>
        <v>6.3177165601475951E-3</v>
      </c>
      <c r="H54">
        <f t="shared" si="2"/>
        <v>1.7356099885961138E-2</v>
      </c>
      <c r="I54">
        <f t="shared" si="5"/>
        <v>1.3683768529817453E-3</v>
      </c>
      <c r="J54">
        <f t="shared" si="6"/>
        <v>1.0783718969407545</v>
      </c>
    </row>
    <row r="55" spans="1:10" x14ac:dyDescent="0.3">
      <c r="A55" t="str">
        <f>'ALCHWTU LX_Monthly'!A67</f>
        <v>2022-06-30</v>
      </c>
      <c r="B55">
        <f>'ALCHWTU LX_Monthly'!B67</f>
        <v>1397.64</v>
      </c>
      <c r="C55">
        <f>China_All_Shares_Index_Monthly!B67</f>
        <v>2895.8374050000002</v>
      </c>
      <c r="D55">
        <f>('ALCHWTU LX_Monthly'!B67-'ALCHWTU LX_Monthly'!B66)/'ALCHWTU LX_Monthly'!B66</f>
        <v>6.0626067159931775E-2</v>
      </c>
      <c r="E55">
        <f>(China_All_Shares_Index_Monthly!B67-China_All_Shares_Index_Monthly!B66)/China_All_Shares_Index_Monthly!B66</f>
        <v>7.824875391652053E-2</v>
      </c>
      <c r="F55">
        <f>(1+'Risk-free rate'!B67/100)^(1/12)-1</f>
        <v>1.2332669717645128E-3</v>
      </c>
      <c r="G55">
        <f t="shared" si="1"/>
        <v>5.9392800188167262E-2</v>
      </c>
      <c r="H55">
        <f t="shared" si="2"/>
        <v>7.7015486944756018E-2</v>
      </c>
      <c r="I55">
        <f t="shared" si="5"/>
        <v>-7.4320564442255543E-2</v>
      </c>
      <c r="J55">
        <f t="shared" si="6"/>
        <v>0.979769277610262</v>
      </c>
    </row>
    <row r="56" spans="1:10" x14ac:dyDescent="0.3">
      <c r="A56" t="str">
        <f>'ALCHWTU LX_Monthly'!A68</f>
        <v>2022-07-29</v>
      </c>
      <c r="B56">
        <f>'ALCHWTU LX_Monthly'!B68</f>
        <v>1295.1099999999999</v>
      </c>
      <c r="C56">
        <f>China_All_Shares_Index_Monthly!B68</f>
        <v>2662.0596230000001</v>
      </c>
      <c r="D56">
        <f>('ALCHWTU LX_Monthly'!B68-'ALCHWTU LX_Monthly'!B67)/'ALCHWTU LX_Monthly'!B67</f>
        <v>-7.3359377235912099E-2</v>
      </c>
      <c r="E56">
        <f>(China_All_Shares_Index_Monthly!B68-China_All_Shares_Index_Monthly!B67)/China_All_Shares_Index_Monthly!B67</f>
        <v>-8.0728904736279597E-2</v>
      </c>
      <c r="F56">
        <f>(1+'Risk-free rate'!B68/100)^(1/12)-1</f>
        <v>1.8396059010297172E-3</v>
      </c>
      <c r="G56">
        <f t="shared" ref="G56:G85" si="7">D56-$F56</f>
        <v>-7.5198983136941816E-2</v>
      </c>
      <c r="H56">
        <f t="shared" ref="H56:H85" si="8">E56-$F56</f>
        <v>-8.2568510637309314E-2</v>
      </c>
      <c r="I56">
        <f t="shared" si="5"/>
        <v>-7.001331993557669E-2</v>
      </c>
      <c r="J56">
        <f t="shared" si="6"/>
        <v>0.94950635267660766</v>
      </c>
    </row>
    <row r="57" spans="1:10" x14ac:dyDescent="0.3">
      <c r="A57" t="str">
        <f>'ALCHWTU LX_Monthly'!A69</f>
        <v>2022-08-31</v>
      </c>
      <c r="B57">
        <f>'ALCHWTU LX_Monthly'!B69</f>
        <v>1268.95</v>
      </c>
      <c r="C57">
        <f>China_All_Shares_Index_Monthly!B69</f>
        <v>2619.1207119999999</v>
      </c>
      <c r="D57">
        <f>('ALCHWTU LX_Monthly'!B69-'ALCHWTU LX_Monthly'!B68)/'ALCHWTU LX_Monthly'!B68</f>
        <v>-2.0199056450803297E-2</v>
      </c>
      <c r="E57">
        <f>(China_All_Shares_Index_Monthly!B69-China_All_Shares_Index_Monthly!B68)/China_All_Shares_Index_Monthly!B68</f>
        <v>-1.6129958408523666E-2</v>
      </c>
      <c r="F57">
        <f>(1+'Risk-free rate'!B69/100)^(1/12)-1</f>
        <v>2.1656835180154932E-3</v>
      </c>
      <c r="G57">
        <f t="shared" si="7"/>
        <v>-2.2364739968818791E-2</v>
      </c>
      <c r="H57">
        <f t="shared" si="8"/>
        <v>-1.8295641926539159E-2</v>
      </c>
      <c r="I57">
        <f t="shared" si="5"/>
        <v>-5.1922308189794264E-2</v>
      </c>
      <c r="J57">
        <f t="shared" si="6"/>
        <v>0.96409292191032436</v>
      </c>
    </row>
    <row r="58" spans="1:10" x14ac:dyDescent="0.3">
      <c r="A58" t="str">
        <f>'ALCHWTU LX_Monthly'!A70</f>
        <v>2022-09-30</v>
      </c>
      <c r="B58">
        <f>'ALCHWTU LX_Monthly'!B70</f>
        <v>1119.03</v>
      </c>
      <c r="C58">
        <f>China_All_Shares_Index_Monthly!B70</f>
        <v>2298.1362049999998</v>
      </c>
      <c r="D58">
        <f>('ALCHWTU LX_Monthly'!B70-'ALCHWTU LX_Monthly'!B69)/'ALCHWTU LX_Monthly'!B69</f>
        <v>-0.11814492296780808</v>
      </c>
      <c r="E58">
        <f>(China_All_Shares_Index_Monthly!B70-China_All_Shares_Index_Monthly!B69)/China_All_Shares_Index_Monthly!B69</f>
        <v>-0.12255430058238573</v>
      </c>
      <c r="F58">
        <f>(1+'Risk-free rate'!B70/100)^(1/12)-1</f>
        <v>2.5716462189622202E-3</v>
      </c>
      <c r="G58">
        <f t="shared" si="7"/>
        <v>-0.1207165691867703</v>
      </c>
      <c r="H58">
        <f t="shared" si="8"/>
        <v>-0.12512594680134795</v>
      </c>
      <c r="I58">
        <f t="shared" si="5"/>
        <v>-5.3178153866634825E-2</v>
      </c>
      <c r="J58">
        <f t="shared" si="6"/>
        <v>0.9519158881147628</v>
      </c>
    </row>
    <row r="59" spans="1:10" x14ac:dyDescent="0.3">
      <c r="A59" t="str">
        <f>'ALCHWTU LX_Monthly'!A71</f>
        <v>2022-10-31</v>
      </c>
      <c r="B59">
        <f>'ALCHWTU LX_Monthly'!B71</f>
        <v>952.34</v>
      </c>
      <c r="C59">
        <f>China_All_Shares_Index_Monthly!B71</f>
        <v>1987.3461500000001</v>
      </c>
      <c r="D59">
        <f>('ALCHWTU LX_Monthly'!B71-'ALCHWTU LX_Monthly'!B70)/'ALCHWTU LX_Monthly'!B70</f>
        <v>-0.14895936659428249</v>
      </c>
      <c r="E59">
        <f>(China_All_Shares_Index_Monthly!B71-China_All_Shares_Index_Monthly!B70)/China_All_Shares_Index_Monthly!B70</f>
        <v>-0.13523569852988751</v>
      </c>
      <c r="F59">
        <f>(1+'Risk-free rate'!B71/100)^(1/12)-1</f>
        <v>3.0483680766628662E-3</v>
      </c>
      <c r="G59">
        <f t="shared" si="7"/>
        <v>-0.15200773467094536</v>
      </c>
      <c r="H59">
        <f t="shared" si="8"/>
        <v>-0.13828406660655038</v>
      </c>
      <c r="I59">
        <f t="shared" si="5"/>
        <v>-7.8522253282431009E-2</v>
      </c>
      <c r="J59">
        <f t="shared" si="6"/>
        <v>0.96052310066529278</v>
      </c>
    </row>
    <row r="60" spans="1:10" x14ac:dyDescent="0.3">
      <c r="A60" t="str">
        <f>'ALCHWTU LX_Monthly'!A72</f>
        <v>2022-11-30</v>
      </c>
      <c r="B60">
        <f>'ALCHWTU LX_Monthly'!B72</f>
        <v>1127.3900000000001</v>
      </c>
      <c r="C60">
        <f>China_All_Shares_Index_Monthly!B72</f>
        <v>2410.539839</v>
      </c>
      <c r="D60">
        <f>('ALCHWTU LX_Monthly'!B72-'ALCHWTU LX_Monthly'!B71)/'ALCHWTU LX_Monthly'!B71</f>
        <v>0.18381040384736549</v>
      </c>
      <c r="E60">
        <f>(China_All_Shares_Index_Monthly!B72-China_All_Shares_Index_Monthly!B71)/China_All_Shares_Index_Monthly!B71</f>
        <v>0.21294412601448415</v>
      </c>
      <c r="F60">
        <f>(1+'Risk-free rate'!B72/100)^(1/12)-1</f>
        <v>3.3942459274463044E-3</v>
      </c>
      <c r="G60">
        <f t="shared" si="7"/>
        <v>0.18041615791991919</v>
      </c>
      <c r="H60">
        <f t="shared" si="8"/>
        <v>0.20954988008703784</v>
      </c>
      <c r="I60">
        <f t="shared" si="5"/>
        <v>-0.10125278465360854</v>
      </c>
      <c r="J60">
        <f t="shared" si="6"/>
        <v>0.92760975880060281</v>
      </c>
    </row>
    <row r="61" spans="1:10" x14ac:dyDescent="0.3">
      <c r="A61" t="str">
        <f>'ALCHWTU LX_Monthly'!A73</f>
        <v>2022-12-30</v>
      </c>
      <c r="B61">
        <f>'ALCHWTU LX_Monthly'!B73</f>
        <v>1186.22</v>
      </c>
      <c r="C61">
        <f>China_All_Shares_Index_Monthly!B73</f>
        <v>2507.3919380000002</v>
      </c>
      <c r="D61">
        <f>('ALCHWTU LX_Monthly'!B73-'ALCHWTU LX_Monthly'!B72)/'ALCHWTU LX_Monthly'!B72</f>
        <v>5.2182474565145978E-2</v>
      </c>
      <c r="E61">
        <f>(China_All_Shares_Index_Monthly!B73-China_All_Shares_Index_Monthly!B72)/China_All_Shares_Index_Monthly!B72</f>
        <v>4.0178592957907211E-2</v>
      </c>
      <c r="F61">
        <f>(1+'Risk-free rate'!B73/100)^(1/12)-1</f>
        <v>3.474495003497502E-3</v>
      </c>
      <c r="G61">
        <f t="shared" si="7"/>
        <v>4.8707979561648476E-2</v>
      </c>
      <c r="H61">
        <f t="shared" si="8"/>
        <v>3.6704097954409709E-2</v>
      </c>
      <c r="I61">
        <f t="shared" si="5"/>
        <v>-8.3329590188740976E-2</v>
      </c>
      <c r="J61">
        <f t="shared" si="6"/>
        <v>0.94021842120241428</v>
      </c>
    </row>
    <row r="62" spans="1:10" x14ac:dyDescent="0.3">
      <c r="A62" t="str">
        <f>'ALCHWTU LX_Monthly'!A74</f>
        <v>2023-01-31</v>
      </c>
      <c r="B62">
        <f>'ALCHWTU LX_Monthly'!B74</f>
        <v>1303.73</v>
      </c>
      <c r="C62">
        <f>China_All_Shares_Index_Monthly!B74</f>
        <v>2784.5936929999998</v>
      </c>
      <c r="D62">
        <f>('ALCHWTU LX_Monthly'!B74-'ALCHWTU LX_Monthly'!B73)/'ALCHWTU LX_Monthly'!B73</f>
        <v>9.9062568494882902E-2</v>
      </c>
      <c r="E62">
        <f>(China_All_Shares_Index_Monthly!B74-China_All_Shares_Index_Monthly!B73)/China_All_Shares_Index_Monthly!B73</f>
        <v>0.11055381920909708</v>
      </c>
      <c r="F62">
        <f>(1+'Risk-free rate'!B74/100)^(1/12)-1</f>
        <v>3.7068189305531352E-3</v>
      </c>
      <c r="G62">
        <f t="shared" si="7"/>
        <v>9.5355749564329767E-2</v>
      </c>
      <c r="H62">
        <f t="shared" si="8"/>
        <v>0.10684700027854395</v>
      </c>
      <c r="I62">
        <f t="shared" si="5"/>
        <v>-7.593912217906762E-2</v>
      </c>
      <c r="J62">
        <f t="shared" si="6"/>
        <v>0.93990343675202237</v>
      </c>
    </row>
    <row r="63" spans="1:10" x14ac:dyDescent="0.3">
      <c r="A63" t="str">
        <f>'ALCHWTU LX_Monthly'!A75</f>
        <v>2023-02-28</v>
      </c>
      <c r="B63">
        <f>'ALCHWTU LX_Monthly'!B75</f>
        <v>1176.22</v>
      </c>
      <c r="C63">
        <f>China_All_Shares_Index_Monthly!B75</f>
        <v>2566.704718</v>
      </c>
      <c r="D63">
        <f>('ALCHWTU LX_Monthly'!B75-'ALCHWTU LX_Monthly'!B74)/'ALCHWTU LX_Monthly'!B74</f>
        <v>-9.7803993158092545E-2</v>
      </c>
      <c r="E63">
        <f>(China_All_Shares_Index_Monthly!B75-China_All_Shares_Index_Monthly!B74)/China_All_Shares_Index_Monthly!B74</f>
        <v>-7.824803149836046E-2</v>
      </c>
      <c r="F63">
        <f>(1+'Risk-free rate'!B75/100)^(1/12)-1</f>
        <v>3.7947872834442897E-3</v>
      </c>
      <c r="G63">
        <f t="shared" si="7"/>
        <v>-0.10159878044153683</v>
      </c>
      <c r="H63">
        <f t="shared" si="8"/>
        <v>-8.2042818781804749E-2</v>
      </c>
      <c r="I63">
        <f t="shared" si="5"/>
        <v>-9.8237867998364758E-2</v>
      </c>
      <c r="J63">
        <f t="shared" si="6"/>
        <v>0.95030685889158328</v>
      </c>
    </row>
    <row r="64" spans="1:10" x14ac:dyDescent="0.3">
      <c r="A64" t="str">
        <f>'ALCHWTU LX_Monthly'!A76</f>
        <v>2023-03-31</v>
      </c>
      <c r="B64">
        <f>'ALCHWTU LX_Monthly'!B76</f>
        <v>1199.74</v>
      </c>
      <c r="C64">
        <f>China_All_Shares_Index_Monthly!B76</f>
        <v>2632.9079900000002</v>
      </c>
      <c r="D64">
        <f>('ALCHWTU LX_Monthly'!B76-'ALCHWTU LX_Monthly'!B75)/'ALCHWTU LX_Monthly'!B75</f>
        <v>1.9996259203210267E-2</v>
      </c>
      <c r="E64">
        <f>(China_All_Shares_Index_Monthly!B76-China_All_Shares_Index_Monthly!B75)/China_All_Shares_Index_Monthly!B75</f>
        <v>2.5793100209667436E-2</v>
      </c>
      <c r="F64">
        <f>(1+'Risk-free rate'!B76/100)^(1/12)-1</f>
        <v>3.8267547616503972E-3</v>
      </c>
      <c r="G64">
        <f t="shared" si="7"/>
        <v>1.616950444155987E-2</v>
      </c>
      <c r="H64">
        <f t="shared" si="8"/>
        <v>2.1966345448017038E-2</v>
      </c>
      <c r="I64">
        <f t="shared" si="5"/>
        <v>-8.2285045099866228E-2</v>
      </c>
      <c r="J64">
        <f t="shared" si="6"/>
        <v>0.94156026971947526</v>
      </c>
    </row>
    <row r="65" spans="1:10" x14ac:dyDescent="0.3">
      <c r="A65" t="str">
        <f>'ALCHWTU LX_Monthly'!A77</f>
        <v>2023-04-28</v>
      </c>
      <c r="B65">
        <f>'ALCHWTU LX_Monthly'!B77</f>
        <v>1132.26</v>
      </c>
      <c r="C65">
        <f>China_All_Shares_Index_Monthly!B77</f>
        <v>2530.9014710000001</v>
      </c>
      <c r="D65">
        <f>('ALCHWTU LX_Monthly'!B77-'ALCHWTU LX_Monthly'!B76)/'ALCHWTU LX_Monthly'!B76</f>
        <v>-5.6245519862636921E-2</v>
      </c>
      <c r="E65">
        <f>(China_All_Shares_Index_Monthly!B77-China_All_Shares_Index_Monthly!B76)/China_All_Shares_Index_Monthly!B76</f>
        <v>-3.8742910647629587E-2</v>
      </c>
      <c r="F65">
        <f>(1+'Risk-free rate'!B77/100)^(1/12)-1</f>
        <v>4.0103507726252374E-3</v>
      </c>
      <c r="G65">
        <f t="shared" si="7"/>
        <v>-6.0255870635262158E-2</v>
      </c>
      <c r="H65">
        <f t="shared" si="8"/>
        <v>-4.2753261420254825E-2</v>
      </c>
      <c r="I65">
        <f t="shared" si="5"/>
        <v>-0.10200795086277059</v>
      </c>
      <c r="J65">
        <f t="shared" si="6"/>
        <v>0.9510112085347916</v>
      </c>
    </row>
    <row r="66" spans="1:10" x14ac:dyDescent="0.3">
      <c r="A66" t="str">
        <f>'ALCHWTU LX_Monthly'!A78</f>
        <v>2023-05-31</v>
      </c>
      <c r="B66">
        <f>'ALCHWTU LX_Monthly'!B78</f>
        <v>1034.03</v>
      </c>
      <c r="C66">
        <f>China_All_Shares_Index_Monthly!B78</f>
        <v>2329.8747410000001</v>
      </c>
      <c r="D66">
        <f>('ALCHWTU LX_Monthly'!B78-'ALCHWTU LX_Monthly'!B77)/'ALCHWTU LX_Monthly'!B77</f>
        <v>-8.6755692155512001E-2</v>
      </c>
      <c r="E66">
        <f>(China_All_Shares_Index_Monthly!B78-China_All_Shares_Index_Monthly!B77)/China_All_Shares_Index_Monthly!B77</f>
        <v>-7.9428904010463569E-2</v>
      </c>
      <c r="F66">
        <f>(1+'Risk-free rate'!B78/100)^(1/12)-1</f>
        <v>4.1856194553282489E-3</v>
      </c>
      <c r="G66">
        <f t="shared" si="7"/>
        <v>-9.094131161084025E-2</v>
      </c>
      <c r="H66">
        <f t="shared" si="8"/>
        <v>-8.3614523465791818E-2</v>
      </c>
      <c r="I66">
        <f t="shared" si="5"/>
        <v>-0.10292654829074377</v>
      </c>
      <c r="J66">
        <f t="shared" si="6"/>
        <v>0.95283989232644106</v>
      </c>
    </row>
    <row r="67" spans="1:10" x14ac:dyDescent="0.3">
      <c r="A67" t="str">
        <f>'ALCHWTU LX_Monthly'!A79</f>
        <v>2023-06-30</v>
      </c>
      <c r="B67">
        <f>'ALCHWTU LX_Monthly'!B79</f>
        <v>1061.74</v>
      </c>
      <c r="C67">
        <f>China_All_Shares_Index_Monthly!B79</f>
        <v>2373.0468510000001</v>
      </c>
      <c r="D67">
        <f>('ALCHWTU LX_Monthly'!B79-'ALCHWTU LX_Monthly'!B78)/'ALCHWTU LX_Monthly'!B78</f>
        <v>2.6798061951780933E-2</v>
      </c>
      <c r="E67">
        <f>(China_All_Shares_Index_Monthly!B79-China_All_Shares_Index_Monthly!B78)/China_All_Shares_Index_Monthly!B78</f>
        <v>1.8529798722771756E-2</v>
      </c>
      <c r="F67">
        <f>(1+'Risk-free rate'!B79/100)^(1/12)-1</f>
        <v>4.2015362976310922E-3</v>
      </c>
      <c r="G67">
        <f t="shared" si="7"/>
        <v>2.2596525654149841E-2</v>
      </c>
      <c r="H67">
        <f t="shared" si="8"/>
        <v>1.4328262425140664E-2</v>
      </c>
      <c r="I67">
        <f t="shared" si="5"/>
        <v>-8.0443589419510131E-2</v>
      </c>
      <c r="J67">
        <f t="shared" si="6"/>
        <v>0.9616855074131645</v>
      </c>
    </row>
    <row r="68" spans="1:10" x14ac:dyDescent="0.3">
      <c r="A68" t="str">
        <f>'ALCHWTU LX_Monthly'!A80</f>
        <v>2023-07-31</v>
      </c>
      <c r="B68">
        <f>'ALCHWTU LX_Monthly'!B80</f>
        <v>1152.8</v>
      </c>
      <c r="C68">
        <f>China_All_Shares_Index_Monthly!B80</f>
        <v>2586.3922219999999</v>
      </c>
      <c r="D68">
        <f>('ALCHWTU LX_Monthly'!B80-'ALCHWTU LX_Monthly'!B79)/'ALCHWTU LX_Monthly'!B79</f>
        <v>8.5764876523442599E-2</v>
      </c>
      <c r="E68">
        <f>(China_All_Shares_Index_Monthly!B80-China_All_Shares_Index_Monthly!B79)/China_All_Shares_Index_Monthly!B79</f>
        <v>8.9903564655748919E-2</v>
      </c>
      <c r="F68">
        <f>(1+'Risk-free rate'!B80/100)^(1/12)-1</f>
        <v>4.2731277661580691E-3</v>
      </c>
      <c r="G68">
        <f t="shared" si="7"/>
        <v>8.1491748757284529E-2</v>
      </c>
      <c r="H68">
        <f t="shared" si="8"/>
        <v>8.563043688959085E-2</v>
      </c>
      <c r="I68">
        <f t="shared" si="5"/>
        <v>-8.4948192758147911E-2</v>
      </c>
      <c r="J68">
        <f t="shared" si="6"/>
        <v>0.97416031770963596</v>
      </c>
    </row>
    <row r="69" spans="1:10" x14ac:dyDescent="0.3">
      <c r="A69" t="str">
        <f>'ALCHWTU LX_Monthly'!A81</f>
        <v>2023-08-31</v>
      </c>
      <c r="B69">
        <f>'ALCHWTU LX_Monthly'!B81</f>
        <v>1060.42</v>
      </c>
      <c r="C69">
        <f>China_All_Shares_Index_Monthly!B81</f>
        <v>2363.7522819999999</v>
      </c>
      <c r="D69">
        <f>('ALCHWTU LX_Monthly'!B81-'ALCHWTU LX_Monthly'!B80)/'ALCHWTU LX_Monthly'!B80</f>
        <v>-8.0135322692574507E-2</v>
      </c>
      <c r="E69">
        <f>(China_All_Shares_Index_Monthly!B81-China_All_Shares_Index_Monthly!B80)/China_All_Shares_Index_Monthly!B80</f>
        <v>-8.6081274953664022E-2</v>
      </c>
      <c r="F69">
        <f>(1+'Risk-free rate'!B81/100)^(1/12)-1</f>
        <v>4.3128765598297036E-3</v>
      </c>
      <c r="G69">
        <f t="shared" si="7"/>
        <v>-8.444819925240421E-2</v>
      </c>
      <c r="H69">
        <f t="shared" si="8"/>
        <v>-9.0394151513493726E-2</v>
      </c>
      <c r="I69">
        <f t="shared" si="5"/>
        <v>-7.7987256836960506E-2</v>
      </c>
      <c r="J69">
        <f t="shared" si="6"/>
        <v>0.9669670983763563</v>
      </c>
    </row>
    <row r="70" spans="1:10" x14ac:dyDescent="0.3">
      <c r="A70" t="str">
        <f>'ALCHWTU LX_Monthly'!A82</f>
        <v>2023-09-29</v>
      </c>
      <c r="B70">
        <f>'ALCHWTU LX_Monthly'!B82</f>
        <v>1007.35</v>
      </c>
      <c r="C70">
        <f>China_All_Shares_Index_Monthly!B82</f>
        <v>2306.3368559999999</v>
      </c>
      <c r="D70">
        <f>('ALCHWTU LX_Monthly'!B82-'ALCHWTU LX_Monthly'!B81)/'ALCHWTU LX_Monthly'!B81</f>
        <v>-5.0046208106222109E-2</v>
      </c>
      <c r="E70">
        <f>(China_All_Shares_Index_Monthly!B82-China_All_Shares_Index_Monthly!B81)/China_All_Shares_Index_Monthly!B81</f>
        <v>-2.4289950532134494E-2</v>
      </c>
      <c r="F70">
        <f>(1+'Risk-free rate'!B82/100)^(1/12)-1</f>
        <v>4.3287712331259165E-3</v>
      </c>
      <c r="G70">
        <f t="shared" si="7"/>
        <v>-5.4374979339348026E-2</v>
      </c>
      <c r="H70">
        <f t="shared" si="8"/>
        <v>-2.861872176526041E-2</v>
      </c>
      <c r="I70">
        <f t="shared" si="5"/>
        <v>-0.10283502232946296</v>
      </c>
      <c r="J70">
        <f t="shared" si="6"/>
        <v>0.98053841476037318</v>
      </c>
    </row>
    <row r="71" spans="1:10" x14ac:dyDescent="0.3">
      <c r="A71" t="str">
        <f>'ALCHWTU LX_Monthly'!A83</f>
        <v>2023-10-31</v>
      </c>
      <c r="B71">
        <f>'ALCHWTU LX_Monthly'!B83</f>
        <v>974.11</v>
      </c>
      <c r="C71">
        <f>China_All_Shares_Index_Monthly!B83</f>
        <v>2218.5506989999999</v>
      </c>
      <c r="D71">
        <f>('ALCHWTU LX_Monthly'!B83-'ALCHWTU LX_Monthly'!B82)/'ALCHWTU LX_Monthly'!B82</f>
        <v>-3.299746860574776E-2</v>
      </c>
      <c r="E71">
        <f>(China_All_Shares_Index_Monthly!B83-China_All_Shares_Index_Monthly!B82)/China_All_Shares_Index_Monthly!B82</f>
        <v>-3.8063024822944602E-2</v>
      </c>
      <c r="F71">
        <f>(1+'Risk-free rate'!B83/100)^(1/12)-1</f>
        <v>4.3446631398347257E-3</v>
      </c>
      <c r="G71">
        <f t="shared" si="7"/>
        <v>-3.7342131745582485E-2</v>
      </c>
      <c r="H71">
        <f t="shared" si="8"/>
        <v>-4.2407687962779328E-2</v>
      </c>
      <c r="I71">
        <f t="shared" si="5"/>
        <v>-8.204993374639602E-2</v>
      </c>
      <c r="J71">
        <f t="shared" si="6"/>
        <v>0.96092156215479296</v>
      </c>
    </row>
    <row r="72" spans="1:10" x14ac:dyDescent="0.3">
      <c r="A72" t="str">
        <f>'ALCHWTU LX_Monthly'!A84</f>
        <v>2023-11-30</v>
      </c>
      <c r="B72">
        <f>'ALCHWTU LX_Monthly'!B84</f>
        <v>994.8</v>
      </c>
      <c r="C72">
        <f>China_All_Shares_Index_Monthly!B84</f>
        <v>2263.052036</v>
      </c>
      <c r="D72">
        <f>('ALCHWTU LX_Monthly'!B84-'ALCHWTU LX_Monthly'!B83)/'ALCHWTU LX_Monthly'!B83</f>
        <v>2.1239901037870407E-2</v>
      </c>
      <c r="E72">
        <f>(China_All_Shares_Index_Monthly!B84-China_All_Shares_Index_Monthly!B83)/China_All_Shares_Index_Monthly!B83</f>
        <v>2.0058742412359064E-2</v>
      </c>
      <c r="F72">
        <f>(1+'Risk-free rate'!B84/100)^(1/12)-1</f>
        <v>4.2890293603305985E-3</v>
      </c>
      <c r="G72">
        <f t="shared" si="7"/>
        <v>1.6950871677539808E-2</v>
      </c>
      <c r="H72">
        <f t="shared" si="8"/>
        <v>1.5769713052028466E-2</v>
      </c>
      <c r="I72">
        <f t="shared" si="5"/>
        <v>-5.5043508648947692E-2</v>
      </c>
      <c r="J72">
        <f t="shared" si="6"/>
        <v>1.029582109001737</v>
      </c>
    </row>
    <row r="73" spans="1:10" x14ac:dyDescent="0.3">
      <c r="A73" t="str">
        <f>'ALCHWTU LX_Monthly'!A85</f>
        <v>2023-12-29</v>
      </c>
      <c r="B73">
        <f>'ALCHWTU LX_Monthly'!B85</f>
        <v>953.58</v>
      </c>
      <c r="C73">
        <f>China_All_Shares_Index_Monthly!B85</f>
        <v>2218.2742450000001</v>
      </c>
      <c r="D73">
        <f>('ALCHWTU LX_Monthly'!B85-'ALCHWTU LX_Monthly'!B84)/'ALCHWTU LX_Monthly'!B84</f>
        <v>-4.1435464414957698E-2</v>
      </c>
      <c r="E73">
        <f>(China_All_Shares_Index_Monthly!B85-China_All_Shares_Index_Monthly!B84)/China_All_Shares_Index_Monthly!B84</f>
        <v>-1.9786461065714522E-2</v>
      </c>
      <c r="F73">
        <f>(1+'Risk-free rate'!B85/100)^(1/12)-1</f>
        <v>4.2651759303415915E-3</v>
      </c>
      <c r="G73">
        <f t="shared" si="7"/>
        <v>-4.570064034529929E-2</v>
      </c>
      <c r="H73">
        <f t="shared" si="8"/>
        <v>-2.4051636996056114E-2</v>
      </c>
      <c r="I73">
        <f t="shared" si="5"/>
        <v>-8.6630110427027396E-2</v>
      </c>
      <c r="J73">
        <f t="shared" si="6"/>
        <v>1.0166289801715349</v>
      </c>
    </row>
    <row r="74" spans="1:10" x14ac:dyDescent="0.3">
      <c r="A74" t="str">
        <f>'ALCHWTU LX_Monthly'!A86</f>
        <v>2024-01-31</v>
      </c>
      <c r="B74">
        <f>'ALCHWTU LX_Monthly'!B86</f>
        <v>841.38</v>
      </c>
      <c r="C74">
        <f>China_All_Shares_Index_Monthly!B86</f>
        <v>1997.7321449999999</v>
      </c>
      <c r="D74">
        <f>('ALCHWTU LX_Monthly'!B86-'ALCHWTU LX_Monthly'!B85)/'ALCHWTU LX_Monthly'!B85</f>
        <v>-0.11766186371358464</v>
      </c>
      <c r="E74">
        <f>(China_All_Shares_Index_Monthly!B86-China_All_Shares_Index_Monthly!B85)/China_All_Shares_Index_Monthly!B85</f>
        <v>-9.9420574573726841E-2</v>
      </c>
      <c r="F74">
        <f>(1+'Risk-free rate'!B86/100)^(1/12)-1</f>
        <v>4.2492701806178257E-3</v>
      </c>
      <c r="G74">
        <f t="shared" si="7"/>
        <v>-0.12191113389420247</v>
      </c>
      <c r="H74">
        <f t="shared" si="8"/>
        <v>-0.10366984475434467</v>
      </c>
      <c r="I74">
        <f t="shared" si="5"/>
        <v>-7.5909150207153497E-2</v>
      </c>
      <c r="J74">
        <f t="shared" si="6"/>
        <v>1.057858196565731</v>
      </c>
    </row>
    <row r="75" spans="1:10" x14ac:dyDescent="0.3">
      <c r="A75" t="str">
        <f>'ALCHWTU LX_Monthly'!A87</f>
        <v>2024-02-29</v>
      </c>
      <c r="B75">
        <f>'ALCHWTU LX_Monthly'!B87</f>
        <v>921.22</v>
      </c>
      <c r="C75">
        <f>China_All_Shares_Index_Monthly!B87</f>
        <v>2180.8717470000001</v>
      </c>
      <c r="D75">
        <f>('ALCHWTU LX_Monthly'!B87-'ALCHWTU LX_Monthly'!B86)/'ALCHWTU LX_Monthly'!B86</f>
        <v>9.4891725498585697E-2</v>
      </c>
      <c r="E75">
        <f>(China_All_Shares_Index_Monthly!B87-China_All_Shares_Index_Monthly!B86)/China_All_Shares_Index_Monthly!B86</f>
        <v>9.1673752388862023E-2</v>
      </c>
      <c r="F75">
        <f>(1+'Risk-free rate'!B87/100)^(1/12)-1</f>
        <v>4.2651759303415915E-3</v>
      </c>
      <c r="G75">
        <f t="shared" si="7"/>
        <v>9.0626549568244105E-2</v>
      </c>
      <c r="H75">
        <f t="shared" si="8"/>
        <v>8.7408576458520432E-2</v>
      </c>
      <c r="I75">
        <f t="shared" si="5"/>
        <v>-6.401298851764825E-2</v>
      </c>
      <c r="J75">
        <f t="shared" si="6"/>
        <v>1.0565154333487929</v>
      </c>
    </row>
    <row r="76" spans="1:10" x14ac:dyDescent="0.3">
      <c r="A76" t="str">
        <f>'ALCHWTU LX_Monthly'!A88</f>
        <v>2024-03-29</v>
      </c>
      <c r="B76">
        <f>'ALCHWTU LX_Monthly'!B88</f>
        <v>927.21</v>
      </c>
      <c r="C76">
        <f>China_All_Shares_Index_Monthly!B88</f>
        <v>2195.0081879999998</v>
      </c>
      <c r="D76">
        <f>('ALCHWTU LX_Monthly'!B88-'ALCHWTU LX_Monthly'!B87)/'ALCHWTU LX_Monthly'!B87</f>
        <v>6.5022470202557572E-3</v>
      </c>
      <c r="E76">
        <f>(China_All_Shares_Index_Monthly!B88-China_All_Shares_Index_Monthly!B87)/China_All_Shares_Index_Monthly!B87</f>
        <v>6.4820139100090091E-3</v>
      </c>
      <c r="F76">
        <f>(1+'Risk-free rate'!B88/100)^(1/12)-1</f>
        <v>4.2651759303415915E-3</v>
      </c>
      <c r="G76">
        <f t="shared" si="7"/>
        <v>2.2370710899141657E-3</v>
      </c>
      <c r="H76">
        <f t="shared" si="8"/>
        <v>2.2168379796674176E-3</v>
      </c>
      <c r="I76">
        <f t="shared" si="5"/>
        <v>-5.668670795338171E-2</v>
      </c>
      <c r="J76">
        <f t="shared" si="6"/>
        <v>1.060432932650949</v>
      </c>
    </row>
    <row r="77" spans="1:10" x14ac:dyDescent="0.3">
      <c r="A77" t="str">
        <f>'ALCHWTU LX_Monthly'!A89</f>
        <v>2024-04-30</v>
      </c>
      <c r="B77">
        <f>'ALCHWTU LX_Monthly'!B89</f>
        <v>980.27</v>
      </c>
      <c r="C77">
        <f>China_All_Shares_Index_Monthly!B89</f>
        <v>2299.277337</v>
      </c>
      <c r="D77">
        <f>('ALCHWTU LX_Monthly'!B89-'ALCHWTU LX_Monthly'!B88)/'ALCHWTU LX_Monthly'!B88</f>
        <v>5.7225439760140578E-2</v>
      </c>
      <c r="E77">
        <f>(China_All_Shares_Index_Monthly!B89-China_All_Shares_Index_Monthly!B88)/China_All_Shares_Index_Monthly!B88</f>
        <v>4.7502851957470789E-2</v>
      </c>
      <c r="F77">
        <f>(1+'Risk-free rate'!B89/100)^(1/12)-1</f>
        <v>4.2651759303415915E-3</v>
      </c>
      <c r="G77">
        <f t="shared" si="7"/>
        <v>5.2960263829798987E-2</v>
      </c>
      <c r="H77">
        <f t="shared" si="8"/>
        <v>4.3237676027129197E-2</v>
      </c>
      <c r="I77">
        <f t="shared" si="5"/>
        <v>-3.4754537524035123E-2</v>
      </c>
      <c r="J77">
        <f t="shared" si="6"/>
        <v>1.0674065694969586</v>
      </c>
    </row>
    <row r="78" spans="1:10" x14ac:dyDescent="0.3">
      <c r="A78" t="str">
        <f>'ALCHWTU LX_Monthly'!A90</f>
        <v>2024-05-31</v>
      </c>
      <c r="B78">
        <f>'ALCHWTU LX_Monthly'!B90</f>
        <v>982.37</v>
      </c>
      <c r="C78">
        <f>China_All_Shares_Index_Monthly!B90</f>
        <v>2326.2687519999999</v>
      </c>
      <c r="D78">
        <f>('ALCHWTU LX_Monthly'!B90-'ALCHWTU LX_Monthly'!B89)/'ALCHWTU LX_Monthly'!B89</f>
        <v>2.14226692645906E-3</v>
      </c>
      <c r="E78">
        <f>(China_All_Shares_Index_Monthly!B90-China_All_Shares_Index_Monthly!B89)/China_All_Shares_Index_Monthly!B89</f>
        <v>1.1739086262302406E-2</v>
      </c>
      <c r="F78">
        <f>(1+'Risk-free rate'!B90/100)^(1/12)-1</f>
        <v>4.2731277661580691E-3</v>
      </c>
      <c r="G78">
        <f t="shared" si="7"/>
        <v>-2.1308608396990092E-3</v>
      </c>
      <c r="H78">
        <f t="shared" si="8"/>
        <v>7.4659584961443374E-3</v>
      </c>
      <c r="I78">
        <f t="shared" si="5"/>
        <v>-4.2841583982325848E-2</v>
      </c>
      <c r="J78">
        <f t="shared" si="6"/>
        <v>1.0681209792056063</v>
      </c>
    </row>
    <row r="79" spans="1:10" x14ac:dyDescent="0.3">
      <c r="A79" t="str">
        <f>'ALCHWTU LX_Monthly'!A91</f>
        <v>2024-06-28</v>
      </c>
      <c r="B79">
        <f>'ALCHWTU LX_Monthly'!B91</f>
        <v>969.49</v>
      </c>
      <c r="C79">
        <f>China_All_Shares_Index_Monthly!B91</f>
        <v>2268.8063520000001</v>
      </c>
      <c r="D79">
        <f>('ALCHWTU LX_Monthly'!B91-'ALCHWTU LX_Monthly'!B90)/'ALCHWTU LX_Monthly'!B90</f>
        <v>-1.3111149566863805E-2</v>
      </c>
      <c r="E79">
        <f>(China_All_Shares_Index_Monthly!B91-China_All_Shares_Index_Monthly!B90)/China_All_Shares_Index_Monthly!B90</f>
        <v>-2.4701531132461298E-2</v>
      </c>
      <c r="F79">
        <f>(1+'Risk-free rate'!B91/100)^(1/12)-1</f>
        <v>4.2651759303415915E-3</v>
      </c>
      <c r="G79">
        <f t="shared" si="7"/>
        <v>-1.7376325497205396E-2</v>
      </c>
      <c r="H79">
        <f t="shared" si="8"/>
        <v>-2.8966707062802889E-2</v>
      </c>
      <c r="I79">
        <f t="shared" si="5"/>
        <v>-3.7944719130996951E-2</v>
      </c>
      <c r="J79">
        <f t="shared" si="6"/>
        <v>1.0525943463081784</v>
      </c>
    </row>
    <row r="80" spans="1:10" x14ac:dyDescent="0.3">
      <c r="A80" t="str">
        <f>'ALCHWTU LX_Monthly'!A92</f>
        <v>2024-07-31</v>
      </c>
      <c r="B80">
        <f>'ALCHWTU LX_Monthly'!B92</f>
        <v>953.52</v>
      </c>
      <c r="C80">
        <f>China_All_Shares_Index_Monthly!B92</f>
        <v>2252.9079879999999</v>
      </c>
      <c r="D80">
        <f>('ALCHWTU LX_Monthly'!B92-'ALCHWTU LX_Monthly'!B91)/'ALCHWTU LX_Monthly'!B91</f>
        <v>-1.6472578365945009E-2</v>
      </c>
      <c r="E80">
        <f>(China_All_Shares_Index_Monthly!B92-China_All_Shares_Index_Monthly!B91)/China_All_Shares_Index_Monthly!B91</f>
        <v>-7.0073693094103821E-3</v>
      </c>
      <c r="F80">
        <f>(1+'Risk-free rate'!B92/100)^(1/12)-1</f>
        <v>4.2333616592649115E-3</v>
      </c>
      <c r="G80">
        <f t="shared" si="7"/>
        <v>-2.070594002520992E-2</v>
      </c>
      <c r="H80">
        <f t="shared" si="8"/>
        <v>-1.1240730968675294E-2</v>
      </c>
      <c r="I80">
        <f t="shared" si="5"/>
        <v>-3.5278677833944561E-2</v>
      </c>
      <c r="J80">
        <f t="shared" si="6"/>
        <v>1.0698549817747132</v>
      </c>
    </row>
    <row r="81" spans="1:10" x14ac:dyDescent="0.3">
      <c r="A81" t="str">
        <f>'ALCHWTU LX_Monthly'!A93</f>
        <v>2024-08-30</v>
      </c>
      <c r="B81">
        <f>'ALCHWTU LX_Monthly'!B93</f>
        <v>955.56</v>
      </c>
      <c r="C81">
        <f>China_All_Shares_Index_Monthly!B93</f>
        <v>2252.3989409999999</v>
      </c>
      <c r="D81">
        <f>('ALCHWTU LX_Monthly'!B93-'ALCHWTU LX_Monthly'!B92)/'ALCHWTU LX_Monthly'!B92</f>
        <v>2.1394412282909258E-3</v>
      </c>
      <c r="E81">
        <f>(China_All_Shares_Index_Monthly!B93-China_All_Shares_Index_Monthly!B92)/China_All_Shares_Index_Monthly!B92</f>
        <v>-2.2595108309412661E-4</v>
      </c>
      <c r="F81">
        <f>(1+'Risk-free rate'!B93/100)^(1/12)-1</f>
        <v>4.1139593013970188E-3</v>
      </c>
      <c r="G81">
        <f t="shared" si="7"/>
        <v>-1.974518073106093E-3</v>
      </c>
      <c r="H81">
        <f t="shared" si="8"/>
        <v>-4.3399103844911453E-3</v>
      </c>
      <c r="I81">
        <f t="shared" si="5"/>
        <v>-4.0055690274284683E-2</v>
      </c>
      <c r="J81">
        <f t="shared" si="6"/>
        <v>1.1231109599256373</v>
      </c>
    </row>
    <row r="82" spans="1:10" x14ac:dyDescent="0.3">
      <c r="A82" t="str">
        <f>'ALCHWTU LX_Monthly'!A94</f>
        <v>2024-09-30</v>
      </c>
      <c r="B82">
        <f>'ALCHWTU LX_Monthly'!B94</f>
        <v>1157.43</v>
      </c>
      <c r="C82">
        <f>China_All_Shares_Index_Monthly!B94</f>
        <v>2774.7734930000001</v>
      </c>
      <c r="D82">
        <f>('ALCHWTU LX_Monthly'!B94-'ALCHWTU LX_Monthly'!B93)/'ALCHWTU LX_Monthly'!B93</f>
        <v>0.21125831972874559</v>
      </c>
      <c r="E82">
        <f>(China_All_Shares_Index_Monthly!B94-China_All_Shares_Index_Monthly!B93)/China_All_Shares_Index_Monthly!B93</f>
        <v>0.23191919623620541</v>
      </c>
      <c r="F82">
        <f>(1+'Risk-free rate'!B94/100)^(1/12)-1</f>
        <v>3.8507230235700352E-3</v>
      </c>
      <c r="G82">
        <f t="shared" si="7"/>
        <v>0.20740759670517556</v>
      </c>
      <c r="H82">
        <f t="shared" si="8"/>
        <v>0.22806847321263538</v>
      </c>
      <c r="I82">
        <f t="shared" si="5"/>
        <v>-4.2266824331405717E-2</v>
      </c>
      <c r="J82">
        <f t="shared" si="6"/>
        <v>0.98028523729743722</v>
      </c>
    </row>
    <row r="83" spans="1:10" x14ac:dyDescent="0.3">
      <c r="A83" t="str">
        <f>'ALCHWTU LX_Monthly'!A95</f>
        <v>2024-10-31</v>
      </c>
      <c r="B83">
        <f>'ALCHWTU LX_Monthly'!B95</f>
        <v>1095.02</v>
      </c>
      <c r="C83">
        <f>China_All_Shares_Index_Monthly!B95</f>
        <v>2628.4114380000001</v>
      </c>
      <c r="D83">
        <f>('ALCHWTU LX_Monthly'!B95-'ALCHWTU LX_Monthly'!B94)/'ALCHWTU LX_Monthly'!B94</f>
        <v>-5.392118745842088E-2</v>
      </c>
      <c r="E83">
        <f>(China_All_Shares_Index_Monthly!B95-China_All_Shares_Index_Monthly!B94)/China_All_Shares_Index_Monthly!B94</f>
        <v>-5.274738834331226E-2</v>
      </c>
      <c r="F83">
        <f>(1+'Risk-free rate'!B95/100)^(1/12)-1</f>
        <v>3.6828128357737633E-3</v>
      </c>
      <c r="G83">
        <f t="shared" si="7"/>
        <v>-5.7604000294194643E-2</v>
      </c>
      <c r="H83">
        <f t="shared" si="8"/>
        <v>-5.6430201179086023E-2</v>
      </c>
      <c r="I83">
        <f t="shared" si="5"/>
        <v>-4.9186118380980193E-2</v>
      </c>
      <c r="J83">
        <f t="shared" si="6"/>
        <v>0.98483179758088324</v>
      </c>
    </row>
    <row r="84" spans="1:10" x14ac:dyDescent="0.3">
      <c r="A84" t="str">
        <f>'ALCHWTU LX_Monthly'!A96</f>
        <v>2024-11-29</v>
      </c>
      <c r="B84">
        <f>'ALCHWTU LX_Monthly'!B96</f>
        <v>1050.71</v>
      </c>
      <c r="C84">
        <f>China_All_Shares_Index_Monthly!B96</f>
        <v>2543.5494910000002</v>
      </c>
      <c r="D84">
        <f>('ALCHWTU LX_Monthly'!B96-'ALCHWTU LX_Monthly'!B95)/'ALCHWTU LX_Monthly'!B95</f>
        <v>-4.046501433763762E-2</v>
      </c>
      <c r="E84">
        <f>(China_All_Shares_Index_Monthly!B96-China_All_Shares_Index_Monthly!B95)/China_All_Shares_Index_Monthly!B95</f>
        <v>-3.2286401502107549E-2</v>
      </c>
      <c r="F84">
        <f>(1+'Risk-free rate'!B96/100)^(1/12)-1</f>
        <v>3.6107566318024364E-3</v>
      </c>
      <c r="G84">
        <f t="shared" si="7"/>
        <v>-4.4075770969440056E-2</v>
      </c>
      <c r="H84">
        <f t="shared" si="8"/>
        <v>-3.5897158133909986E-2</v>
      </c>
      <c r="I84">
        <f t="shared" si="5"/>
        <v>-5.9031217589350149E-2</v>
      </c>
      <c r="J84">
        <f t="shared" si="6"/>
        <v>0.98691998926874014</v>
      </c>
    </row>
    <row r="85" spans="1:10" x14ac:dyDescent="0.3">
      <c r="A85" t="str">
        <f>'ALCHWTU LX_Monthly'!A97</f>
        <v>2024-12-31</v>
      </c>
      <c r="B85">
        <f>'ALCHWTU LX_Monthly'!B97</f>
        <v>1068.75</v>
      </c>
      <c r="C85">
        <f>China_All_Shares_Index_Monthly!B97</f>
        <v>2581.7337379999999</v>
      </c>
      <c r="D85">
        <f>('ALCHWTU LX_Monthly'!B97-'ALCHWTU LX_Monthly'!B96)/'ALCHWTU LX_Monthly'!B96</f>
        <v>1.7169342634980121E-2</v>
      </c>
      <c r="E85">
        <f>(China_All_Shares_Index_Monthly!B97-China_All_Shares_Index_Monthly!B96)/China_All_Shares_Index_Monthly!B96</f>
        <v>1.5012189515128126E-2</v>
      </c>
      <c r="F85">
        <f>(1+'Risk-free rate'!B97/100)^(1/12)-1</f>
        <v>3.4905363507502507E-3</v>
      </c>
      <c r="G85">
        <f t="shared" si="7"/>
        <v>1.367880628422987E-2</v>
      </c>
      <c r="H85">
        <f t="shared" si="8"/>
        <v>1.1521653164377876E-2</v>
      </c>
      <c r="I85">
        <f t="shared" si="5"/>
        <v>-3.4751135200202454E-2</v>
      </c>
      <c r="J85">
        <f t="shared" si="6"/>
        <v>0.97900881549921015</v>
      </c>
    </row>
  </sheetData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DBE7-5ED9-4E7A-A4BE-EBB6406ADD45}">
  <dimension ref="A1:Q97"/>
  <sheetViews>
    <sheetView workbookViewId="0">
      <selection activeCell="M16" sqref="M16"/>
    </sheetView>
  </sheetViews>
  <sheetFormatPr baseColWidth="10" defaultRowHeight="14.4" x14ac:dyDescent="0.3"/>
  <cols>
    <col min="2" max="3" width="12" bestFit="1" customWidth="1"/>
    <col min="12" max="12" width="12.6640625" bestFit="1" customWidth="1"/>
    <col min="13" max="13" width="12" bestFit="1" customWidth="1"/>
    <col min="14" max="14" width="16.6640625" bestFit="1" customWidth="1"/>
    <col min="15" max="16" width="12.6640625" bestFit="1" customWidth="1"/>
  </cols>
  <sheetData>
    <row r="1" spans="1:17" ht="43.2" x14ac:dyDescent="0.3">
      <c r="A1" s="6" t="s">
        <v>0</v>
      </c>
      <c r="B1" s="9" t="s">
        <v>103</v>
      </c>
      <c r="C1" s="9" t="s">
        <v>106</v>
      </c>
      <c r="D1" s="9" t="s">
        <v>110</v>
      </c>
      <c r="E1" s="9" t="s">
        <v>111</v>
      </c>
      <c r="F1" s="9" t="s">
        <v>112</v>
      </c>
      <c r="G1" s="9" t="s">
        <v>113</v>
      </c>
      <c r="H1" s="9" t="s">
        <v>114</v>
      </c>
      <c r="I1" s="9" t="s">
        <v>115</v>
      </c>
      <c r="L1" s="9" t="s">
        <v>110</v>
      </c>
      <c r="M1" s="9" t="s">
        <v>111</v>
      </c>
      <c r="N1" s="9" t="s">
        <v>112</v>
      </c>
      <c r="O1" s="9" t="s">
        <v>113</v>
      </c>
      <c r="P1" s="9" t="s">
        <v>114</v>
      </c>
      <c r="Q1" s="9" t="s">
        <v>115</v>
      </c>
    </row>
    <row r="2" spans="1:17" x14ac:dyDescent="0.3">
      <c r="A2" t="str">
        <f>'ALCHWTU LX_Monthly'!A2</f>
        <v>2017-01-31</v>
      </c>
      <c r="K2" t="s">
        <v>116</v>
      </c>
      <c r="L2" cm="1">
        <f t="array" ref="L2">GEOMEAN(IF(C14:C38 &gt; 0, 1 + B14:B38)) - 1</f>
        <v>6.1521202632861982E-2</v>
      </c>
      <c r="M2" cm="1">
        <f t="array" ref="M2">GEOMEAN(IF(C14:C38 &gt; 0, 1 + C14:C38)) - 1</f>
        <v>4.8797674279569714E-2</v>
      </c>
      <c r="N2" s="10">
        <f>(L2/M2)*100</f>
        <v>126.07404664492232</v>
      </c>
      <c r="O2" cm="1">
        <f t="array" ref="O2">GEOMEAN(IF(C14:C38&lt;0,1+B14:B38))-1</f>
        <v>-4.4611195516651714E-2</v>
      </c>
      <c r="P2" cm="1">
        <f t="array" ref="P2">GEOMEAN(IF(C14:C38&lt;0,1+C14:C38))-1</f>
        <v>-4.7066222409276048E-2</v>
      </c>
      <c r="Q2">
        <f>(O2/P2)*100</f>
        <v>94.783887962632647</v>
      </c>
    </row>
    <row r="3" spans="1:17" x14ac:dyDescent="0.3">
      <c r="A3" t="str">
        <f>'ALCHWTU LX_Monthly'!A3</f>
        <v>2017-02-28</v>
      </c>
      <c r="K3" t="s">
        <v>117</v>
      </c>
      <c r="L3" cm="1">
        <f t="array" ref="L3">GEOMEAN(IF(C26:C61 &gt; 0, 1 + B26:B61)) - 1</f>
        <v>5.7481788357342634E-2</v>
      </c>
      <c r="M3" cm="1">
        <f t="array" ref="M3">GEOMEAN(IF(C26:C61 &gt; 0, 1 + C26:C61)) - 1</f>
        <v>4.5889498059765055E-2</v>
      </c>
      <c r="N3" s="10">
        <f>(L3/M3)*100</f>
        <v>125.26131421720964</v>
      </c>
      <c r="O3" cm="1">
        <f t="array" ref="O3">GEOMEAN(IF(C26:C61&lt;0,1+B26:B61))-1</f>
        <v>-3.3193801460485228E-2</v>
      </c>
      <c r="P3" cm="1">
        <f t="array" ref="P3">GEOMEAN(IF(C26:C61&lt;0,1+C26:C61))-1</f>
        <v>-4.1475794011136435E-2</v>
      </c>
      <c r="Q3">
        <f>(O3/P3)*100</f>
        <v>80.031744423199086</v>
      </c>
    </row>
    <row r="4" spans="1:17" x14ac:dyDescent="0.3">
      <c r="A4" t="str">
        <f>'ALCHWTU LX_Monthly'!A4</f>
        <v>2017-03-31</v>
      </c>
      <c r="K4" t="s">
        <v>118</v>
      </c>
      <c r="L4" cm="1">
        <f t="array" ref="L4">GEOMEAN(IF(C62:C97 &gt; 0, 1 + B62:B97)) - 1</f>
        <v>6.1353998469476867E-2</v>
      </c>
      <c r="M4" cm="1">
        <f t="array" ref="M4">GEOMEAN(IF(C62:C97 &gt; 0, 1 + C62:C97)) - 1</f>
        <v>6.5818707468630056E-2</v>
      </c>
      <c r="N4" s="10">
        <f>(L4/M4)*100</f>
        <v>93.216656523859697</v>
      </c>
      <c r="O4" cm="1">
        <f t="array" ref="O4">GEOMEAN(IF(C62:C97&lt;0,1+B62:B97))-1</f>
        <v>-6.1681095286530208E-2</v>
      </c>
      <c r="P4" cm="1">
        <f t="array" ref="P4">GEOMEAN(IF(C62:C97&lt;0,1+C62:C97))-1</f>
        <v>-5.5370756892027195E-2</v>
      </c>
      <c r="Q4">
        <f>(O4/P4)*100</f>
        <v>111.3965182141327</v>
      </c>
    </row>
    <row r="5" spans="1:17" x14ac:dyDescent="0.3">
      <c r="A5" t="str">
        <f>'ALCHWTU LX_Monthly'!A5</f>
        <v>2017-04-28</v>
      </c>
    </row>
    <row r="6" spans="1:17" x14ac:dyDescent="0.3">
      <c r="A6" t="str">
        <f>'ALCHWTU LX_Monthly'!A6</f>
        <v>2017-05-31</v>
      </c>
      <c r="L6" t="s">
        <v>119</v>
      </c>
    </row>
    <row r="7" spans="1:17" x14ac:dyDescent="0.3">
      <c r="A7" t="str">
        <f>'ALCHWTU LX_Monthly'!A7</f>
        <v>2017-06-30</v>
      </c>
    </row>
    <row r="8" spans="1:17" x14ac:dyDescent="0.3">
      <c r="A8" t="str">
        <f>'ALCHWTU LX_Monthly'!A8</f>
        <v>2017-07-31</v>
      </c>
    </row>
    <row r="9" spans="1:17" x14ac:dyDescent="0.3">
      <c r="A9" t="str">
        <f>'ALCHWTU LX_Monthly'!A9</f>
        <v>2017-08-31</v>
      </c>
    </row>
    <row r="10" spans="1:17" x14ac:dyDescent="0.3">
      <c r="A10" t="str">
        <f>'ALCHWTU LX_Monthly'!A10</f>
        <v>2017-09-29</v>
      </c>
    </row>
    <row r="11" spans="1:17" x14ac:dyDescent="0.3">
      <c r="A11" t="str">
        <f>'ALCHWTU LX_Monthly'!A11</f>
        <v>2017-10-31</v>
      </c>
    </row>
    <row r="12" spans="1:17" x14ac:dyDescent="0.3">
      <c r="A12" t="str">
        <f>'ALCHWTU LX_Monthly'!A12</f>
        <v>2017-11-30</v>
      </c>
    </row>
    <row r="13" spans="1:17" x14ac:dyDescent="0.3">
      <c r="A13" t="str">
        <f>'ALCHWTU LX_Monthly'!A13</f>
        <v>2017-12-29</v>
      </c>
    </row>
    <row r="14" spans="1:17" x14ac:dyDescent="0.3">
      <c r="A14" t="str">
        <f>'ALCHWTU LX_Monthly'!A14</f>
        <v>2018-01-31</v>
      </c>
      <c r="B14">
        <f>('ALCHWTU LX_Monthly'!B14-'ALCHWTU LX_Monthly'!B13)/'ALCHWTU LX_Monthly'!B13</f>
        <v>9.732766184717502E-2</v>
      </c>
      <c r="C14">
        <f>(China_All_Shares_Index_Monthly!B14-China_All_Shares_Index_Monthly!B13)/China_All_Shares_Index_Monthly!B13</f>
        <v>0.10906809790983855</v>
      </c>
    </row>
    <row r="15" spans="1:17" x14ac:dyDescent="0.3">
      <c r="A15" t="str">
        <f>'ALCHWTU LX_Monthly'!A15</f>
        <v>2018-02-28</v>
      </c>
      <c r="B15">
        <f>('ALCHWTU LX_Monthly'!B15-'ALCHWTU LX_Monthly'!B14)/'ALCHWTU LX_Monthly'!B14</f>
        <v>-3.9406555011863617E-2</v>
      </c>
      <c r="C15">
        <f>(China_All_Shares_Index_Monthly!B15-China_All_Shares_Index_Monthly!B14)/China_All_Shares_Index_Monthly!B14</f>
        <v>-6.5362758766614598E-2</v>
      </c>
    </row>
    <row r="16" spans="1:17" x14ac:dyDescent="0.3">
      <c r="A16" t="str">
        <f>'ALCHWTU LX_Monthly'!A16</f>
        <v>2018-03-30</v>
      </c>
      <c r="B16">
        <f>('ALCHWTU LX_Monthly'!B16-'ALCHWTU LX_Monthly'!B15)/'ALCHWTU LX_Monthly'!B15</f>
        <v>-3.4282457045140019E-2</v>
      </c>
      <c r="C16">
        <f>(China_All_Shares_Index_Monthly!B16-China_All_Shares_Index_Monthly!B15)/China_All_Shares_Index_Monthly!B15</f>
        <v>-2.8567404559306168E-2</v>
      </c>
    </row>
    <row r="17" spans="1:3" x14ac:dyDescent="0.3">
      <c r="A17" t="str">
        <f>'ALCHWTU LX_Monthly'!A17</f>
        <v>2018-04-30</v>
      </c>
      <c r="B17">
        <f>('ALCHWTU LX_Monthly'!B17-'ALCHWTU LX_Monthly'!B16)/'ALCHWTU LX_Monthly'!B16</f>
        <v>-3.8806753237018987E-2</v>
      </c>
      <c r="C17">
        <f>(China_All_Shares_Index_Monthly!B17-China_All_Shares_Index_Monthly!B16)/China_All_Shares_Index_Monthly!B16</f>
        <v>-1.8393898621906421E-2</v>
      </c>
    </row>
    <row r="18" spans="1:3" x14ac:dyDescent="0.3">
      <c r="A18" t="str">
        <f>'ALCHWTU LX_Monthly'!A18</f>
        <v>2018-05-31</v>
      </c>
      <c r="B18">
        <f>('ALCHWTU LX_Monthly'!B18-'ALCHWTU LX_Monthly'!B17)/'ALCHWTU LX_Monthly'!B17</f>
        <v>4.8493059887710542E-2</v>
      </c>
      <c r="C18">
        <f>(China_All_Shares_Index_Monthly!B18-China_All_Shares_Index_Monthly!B17)/China_All_Shares_Index_Monthly!B17</f>
        <v>8.6480752479565961E-3</v>
      </c>
    </row>
    <row r="19" spans="1:3" x14ac:dyDescent="0.3">
      <c r="A19" t="str">
        <f>'ALCHWTU LX_Monthly'!A19</f>
        <v>2018-06-29</v>
      </c>
      <c r="B19">
        <f>('ALCHWTU LX_Monthly'!B19-'ALCHWTU LX_Monthly'!B18)/'ALCHWTU LX_Monthly'!B18</f>
        <v>-5.1595749625814709E-2</v>
      </c>
      <c r="C19">
        <f>(China_All_Shares_Index_Monthly!B19-China_All_Shares_Index_Monthly!B18)/China_All_Shares_Index_Monthly!B18</f>
        <v>-7.1115864478774327E-2</v>
      </c>
    </row>
    <row r="20" spans="1:3" x14ac:dyDescent="0.3">
      <c r="A20" t="str">
        <f>'ALCHWTU LX_Monthly'!A20</f>
        <v>2018-07-31</v>
      </c>
      <c r="B20">
        <f>('ALCHWTU LX_Monthly'!B20-'ALCHWTU LX_Monthly'!B19)/'ALCHWTU LX_Monthly'!B19</f>
        <v>-3.7542762480762965E-2</v>
      </c>
      <c r="C20">
        <f>(China_All_Shares_Index_Monthly!B20-China_All_Shares_Index_Monthly!B19)/China_All_Shares_Index_Monthly!B19</f>
        <v>-2.3346738128671274E-2</v>
      </c>
    </row>
    <row r="21" spans="1:3" x14ac:dyDescent="0.3">
      <c r="A21" t="str">
        <f>'ALCHWTU LX_Monthly'!A21</f>
        <v>2018-08-31</v>
      </c>
      <c r="B21">
        <f>('ALCHWTU LX_Monthly'!B21-'ALCHWTU LX_Monthly'!B20)/'ALCHWTU LX_Monthly'!B20</f>
        <v>-7.3085031623330979E-2</v>
      </c>
      <c r="C21">
        <f>(China_All_Shares_Index_Monthly!B21-China_All_Shares_Index_Monthly!B20)/China_All_Shares_Index_Monthly!B20</f>
        <v>-4.6259789007951253E-2</v>
      </c>
    </row>
    <row r="22" spans="1:3" x14ac:dyDescent="0.3">
      <c r="A22" t="str">
        <f>'ALCHWTU LX_Monthly'!A22</f>
        <v>2018-09-28</v>
      </c>
      <c r="B22">
        <f>('ALCHWTU LX_Monthly'!B22-'ALCHWTU LX_Monthly'!B21)/'ALCHWTU LX_Monthly'!B21</f>
        <v>-2.2579688169561997E-2</v>
      </c>
      <c r="C22">
        <f>(China_All_Shares_Index_Monthly!B22-China_All_Shares_Index_Monthly!B21)/China_All_Shares_Index_Monthly!B21</f>
        <v>-9.7202032533436913E-4</v>
      </c>
    </row>
    <row r="23" spans="1:3" x14ac:dyDescent="0.3">
      <c r="A23" t="str">
        <f>'ALCHWTU LX_Monthly'!A23</f>
        <v>2018-10-31</v>
      </c>
      <c r="B23">
        <f>('ALCHWTU LX_Monthly'!B23-'ALCHWTU LX_Monthly'!B22)/'ALCHWTU LX_Monthly'!B22</f>
        <v>-0.13383020819281438</v>
      </c>
      <c r="C23">
        <f>(China_All_Shares_Index_Monthly!B23-China_All_Shares_Index_Monthly!B22)/China_All_Shares_Index_Monthly!B22</f>
        <v>-0.1092639740435499</v>
      </c>
    </row>
    <row r="24" spans="1:3" x14ac:dyDescent="0.3">
      <c r="A24" t="str">
        <f>'ALCHWTU LX_Monthly'!A24</f>
        <v>2018-11-30</v>
      </c>
      <c r="B24">
        <f>('ALCHWTU LX_Monthly'!B24-'ALCHWTU LX_Monthly'!B23)/'ALCHWTU LX_Monthly'!B23</f>
        <v>5.4859768205474273E-2</v>
      </c>
      <c r="C24">
        <f>(China_All_Shares_Index_Monthly!B24-China_All_Shares_Index_Monthly!B23)/China_All_Shares_Index_Monthly!B23</f>
        <v>5.2143513517094613E-2</v>
      </c>
    </row>
    <row r="25" spans="1:3" x14ac:dyDescent="0.3">
      <c r="A25" t="str">
        <f>'ALCHWTU LX_Monthly'!A25</f>
        <v>2018-12-31</v>
      </c>
      <c r="B25">
        <f>('ALCHWTU LX_Monthly'!B25-'ALCHWTU LX_Monthly'!B24)/'ALCHWTU LX_Monthly'!B24</f>
        <v>-3.8645143827357918E-2</v>
      </c>
      <c r="C25">
        <f>(China_All_Shares_Index_Monthly!B25-China_All_Shares_Index_Monthly!B24)/China_All_Shares_Index_Monthly!B24</f>
        <v>-5.0007865131280332E-2</v>
      </c>
    </row>
    <row r="26" spans="1:3" x14ac:dyDescent="0.3">
      <c r="A26" t="str">
        <f>'ALCHWTU LX_Monthly'!A26</f>
        <v>2019-01-31</v>
      </c>
      <c r="B26">
        <f>('ALCHWTU LX_Monthly'!B26-'ALCHWTU LX_Monthly'!B25)/'ALCHWTU LX_Monthly'!B25</f>
        <v>0.10873209874963211</v>
      </c>
      <c r="C26">
        <f>(China_All_Shares_Index_Monthly!B26-China_All_Shares_Index_Monthly!B25)/China_All_Shares_Index_Monthly!B25</f>
        <v>0.10182072511375603</v>
      </c>
    </row>
    <row r="27" spans="1:3" x14ac:dyDescent="0.3">
      <c r="A27" t="str">
        <f>'ALCHWTU LX_Monthly'!A27</f>
        <v>2019-02-28</v>
      </c>
      <c r="B27">
        <f>('ALCHWTU LX_Monthly'!B27-'ALCHWTU LX_Monthly'!B26)/'ALCHWTU LX_Monthly'!B26</f>
        <v>9.1524015098172706E-2</v>
      </c>
      <c r="C27">
        <f>(China_All_Shares_Index_Monthly!B27-China_All_Shares_Index_Monthly!B26)/China_All_Shares_Index_Monthly!B26</f>
        <v>7.190737826877909E-2</v>
      </c>
    </row>
    <row r="28" spans="1:3" x14ac:dyDescent="0.3">
      <c r="A28" t="str">
        <f>'ALCHWTU LX_Monthly'!A28</f>
        <v>2019-03-29</v>
      </c>
      <c r="B28">
        <f>('ALCHWTU LX_Monthly'!B28-'ALCHWTU LX_Monthly'!B27)/'ALCHWTU LX_Monthly'!B27</f>
        <v>6.6781582453839791E-2</v>
      </c>
      <c r="C28">
        <f>(China_All_Shares_Index_Monthly!B28-China_All_Shares_Index_Monthly!B27)/China_All_Shares_Index_Monthly!B27</f>
        <v>3.5476555114106127E-2</v>
      </c>
    </row>
    <row r="29" spans="1:3" x14ac:dyDescent="0.3">
      <c r="A29" t="str">
        <f>'ALCHWTU LX_Monthly'!A29</f>
        <v>2019-04-30</v>
      </c>
      <c r="B29">
        <f>('ALCHWTU LX_Monthly'!B29-'ALCHWTU LX_Monthly'!B28)/'ALCHWTU LX_Monthly'!B28</f>
        <v>1.071602050021319E-2</v>
      </c>
      <c r="C29">
        <f>(China_All_Shares_Index_Monthly!B29-China_All_Shares_Index_Monthly!B28)/China_All_Shares_Index_Monthly!B28</f>
        <v>1.4436998100248196E-2</v>
      </c>
    </row>
    <row r="30" spans="1:3" x14ac:dyDescent="0.3">
      <c r="A30" t="str">
        <f>'ALCHWTU LX_Monthly'!A30</f>
        <v>2019-05-31</v>
      </c>
      <c r="B30">
        <f>('ALCHWTU LX_Monthly'!B30-'ALCHWTU LX_Monthly'!B29)/'ALCHWTU LX_Monthly'!B29</f>
        <v>-9.7177269071578531E-2</v>
      </c>
      <c r="C30">
        <f>(China_All_Shares_Index_Monthly!B30-China_All_Shares_Index_Monthly!B29)/China_All_Shares_Index_Monthly!B29</f>
        <v>-0.11540904866738103</v>
      </c>
    </row>
    <row r="31" spans="1:3" x14ac:dyDescent="0.3">
      <c r="A31" t="str">
        <f>'ALCHWTU LX_Monthly'!A31</f>
        <v>2019-06-28</v>
      </c>
      <c r="B31">
        <f>('ALCHWTU LX_Monthly'!B31-'ALCHWTU LX_Monthly'!B30)/'ALCHWTU LX_Monthly'!B30</f>
        <v>9.1439435089625154E-2</v>
      </c>
      <c r="C31">
        <f>(China_All_Shares_Index_Monthly!B31-China_All_Shares_Index_Monthly!B30)/China_All_Shares_Index_Monthly!B30</f>
        <v>7.1393748003406754E-2</v>
      </c>
    </row>
    <row r="32" spans="1:3" x14ac:dyDescent="0.3">
      <c r="A32" t="str">
        <f>'ALCHWTU LX_Monthly'!A32</f>
        <v>2019-07-31</v>
      </c>
      <c r="B32">
        <f>('ALCHWTU LX_Monthly'!B32-'ALCHWTU LX_Monthly'!B31)/'ALCHWTU LX_Monthly'!B31</f>
        <v>1.6572605930305566E-2</v>
      </c>
      <c r="C32">
        <f>(China_All_Shares_Index_Monthly!B32-China_All_Shares_Index_Monthly!B31)/China_All_Shares_Index_Monthly!B31</f>
        <v>-1.723196735870089E-3</v>
      </c>
    </row>
    <row r="33" spans="1:3" x14ac:dyDescent="0.3">
      <c r="A33" t="str">
        <f>'ALCHWTU LX_Monthly'!A33</f>
        <v>2019-08-30</v>
      </c>
      <c r="B33">
        <f>('ALCHWTU LX_Monthly'!B33-'ALCHWTU LX_Monthly'!B32)/'ALCHWTU LX_Monthly'!B32</f>
        <v>-3.2976931813731312E-2</v>
      </c>
      <c r="C33">
        <f>(China_All_Shares_Index_Monthly!B33-China_All_Shares_Index_Monthly!B32)/China_All_Shares_Index_Monthly!B32</f>
        <v>-3.9621831653202474E-2</v>
      </c>
    </row>
    <row r="34" spans="1:3" x14ac:dyDescent="0.3">
      <c r="A34" t="str">
        <f>'ALCHWTU LX_Monthly'!A34</f>
        <v>2019-09-30</v>
      </c>
      <c r="B34">
        <f>('ALCHWTU LX_Monthly'!B34-'ALCHWTU LX_Monthly'!B33)/'ALCHWTU LX_Monthly'!B33</f>
        <v>1.8863148515653471E-2</v>
      </c>
      <c r="C34">
        <f>(China_All_Shares_Index_Monthly!B34-China_All_Shares_Index_Monthly!B33)/China_All_Shares_Index_Monthly!B33</f>
        <v>1.3413292890802689E-3</v>
      </c>
    </row>
    <row r="35" spans="1:3" x14ac:dyDescent="0.3">
      <c r="A35" t="str">
        <f>'ALCHWTU LX_Monthly'!A35</f>
        <v>2019-10-31</v>
      </c>
      <c r="B35">
        <f>('ALCHWTU LX_Monthly'!B35-'ALCHWTU LX_Monthly'!B34)/'ALCHWTU LX_Monthly'!B34</f>
        <v>4.7661164498593853E-2</v>
      </c>
      <c r="C35">
        <f>(China_All_Shares_Index_Monthly!B35-China_All_Shares_Index_Monthly!B34)/China_All_Shares_Index_Monthly!B34</f>
        <v>3.6921414118373574E-2</v>
      </c>
    </row>
    <row r="36" spans="1:3" x14ac:dyDescent="0.3">
      <c r="A36" t="str">
        <f>'ALCHWTU LX_Monthly'!A36</f>
        <v>2019-11-29</v>
      </c>
      <c r="B36">
        <f>('ALCHWTU LX_Monthly'!B36-'ALCHWTU LX_Monthly'!B35)/'ALCHWTU LX_Monthly'!B35</f>
        <v>1.9976665433539119E-2</v>
      </c>
      <c r="C36">
        <f>(China_All_Shares_Index_Monthly!B36-China_All_Shares_Index_Monthly!B35)/China_All_Shares_Index_Monthly!B35</f>
        <v>7.4074122541294973E-3</v>
      </c>
    </row>
    <row r="37" spans="1:3" x14ac:dyDescent="0.3">
      <c r="A37" t="str">
        <f>'ALCHWTU LX_Monthly'!A37</f>
        <v>2019-12-31</v>
      </c>
      <c r="B37">
        <f>('ALCHWTU LX_Monthly'!B37-'ALCHWTU LX_Monthly'!B36)/'ALCHWTU LX_Monthly'!B36</f>
        <v>8.7818169982051414E-2</v>
      </c>
      <c r="C37">
        <f>(China_All_Shares_Index_Monthly!B37-China_All_Shares_Index_Monthly!B36)/China_All_Shares_Index_Monthly!B36</f>
        <v>8.2460221115555024E-2</v>
      </c>
    </row>
    <row r="38" spans="1:3" x14ac:dyDescent="0.3">
      <c r="A38" t="str">
        <f>'ALCHWTU LX_Monthly'!A38</f>
        <v>2020-01-31</v>
      </c>
      <c r="B38">
        <f>('ALCHWTU LX_Monthly'!B38-'ALCHWTU LX_Monthly'!B37)/'ALCHWTU LX_Monthly'!B37</f>
        <v>1.3866566357760854E-2</v>
      </c>
      <c r="C38">
        <f>(China_All_Shares_Index_Monthly!B38-China_All_Shares_Index_Monthly!B37)/China_All_Shares_Index_Monthly!B37</f>
        <v>-3.3486558065174372E-2</v>
      </c>
    </row>
    <row r="39" spans="1:3" x14ac:dyDescent="0.3">
      <c r="A39" t="str">
        <f>'ALCHWTU LX_Monthly'!A39</f>
        <v>2020-02-28</v>
      </c>
      <c r="B39">
        <f>('ALCHWTU LX_Monthly'!B39-'ALCHWTU LX_Monthly'!B38)/'ALCHWTU LX_Monthly'!B38</f>
        <v>-1.8449499974703701E-2</v>
      </c>
      <c r="C39">
        <f>(China_All_Shares_Index_Monthly!B39-China_All_Shares_Index_Monthly!B38)/China_All_Shares_Index_Monthly!B38</f>
        <v>9.0872031819420613E-4</v>
      </c>
    </row>
    <row r="40" spans="1:3" x14ac:dyDescent="0.3">
      <c r="A40" t="str">
        <f>'ALCHWTU LX_Monthly'!A40</f>
        <v>2020-03-31</v>
      </c>
      <c r="B40">
        <f>('ALCHWTU LX_Monthly'!B40-'ALCHWTU LX_Monthly'!B39)/'ALCHWTU LX_Monthly'!B39</f>
        <v>-7.6258955723931737E-2</v>
      </c>
      <c r="C40">
        <f>(China_All_Shares_Index_Monthly!B40-China_All_Shares_Index_Monthly!B39)/China_All_Shares_Index_Monthly!B39</f>
        <v>-6.8411350947890595E-2</v>
      </c>
    </row>
    <row r="41" spans="1:3" x14ac:dyDescent="0.3">
      <c r="A41" t="str">
        <f>'ALCHWTU LX_Monthly'!A41</f>
        <v>2020-04-30</v>
      </c>
      <c r="B41">
        <f>('ALCHWTU LX_Monthly'!B41-'ALCHWTU LX_Monthly'!B40)/'ALCHWTU LX_Monthly'!B40</f>
        <v>9.2774972333045033E-2</v>
      </c>
      <c r="C41">
        <f>(China_All_Shares_Index_Monthly!B41-China_All_Shares_Index_Monthly!B40)/China_All_Shares_Index_Monthly!B40</f>
        <v>6.5937861271422066E-2</v>
      </c>
    </row>
    <row r="42" spans="1:3" x14ac:dyDescent="0.3">
      <c r="A42" t="str">
        <f>'ALCHWTU LX_Monthly'!A42</f>
        <v>2020-05-29</v>
      </c>
      <c r="B42">
        <f>('ALCHWTU LX_Monthly'!B42-'ALCHWTU LX_Monthly'!B41)/'ALCHWTU LX_Monthly'!B41</f>
        <v>2.7003106250797854E-2</v>
      </c>
      <c r="C42">
        <f>(China_All_Shares_Index_Monthly!B42-China_All_Shares_Index_Monthly!B41)/China_All_Shares_Index_Monthly!B41</f>
        <v>-9.1262661078885445E-3</v>
      </c>
    </row>
    <row r="43" spans="1:3" x14ac:dyDescent="0.3">
      <c r="A43" t="str">
        <f>'ALCHWTU LX_Monthly'!A43</f>
        <v>2020-06-30</v>
      </c>
      <c r="B43">
        <f>('ALCHWTU LX_Monthly'!B43-'ALCHWTU LX_Monthly'!B42)/'ALCHWTU LX_Monthly'!B42</f>
        <v>0.12833325046818816</v>
      </c>
      <c r="C43">
        <f>(China_All_Shares_Index_Monthly!B43-China_All_Shares_Index_Monthly!B42)/China_All_Shares_Index_Monthly!B42</f>
        <v>9.293935689784294E-2</v>
      </c>
    </row>
    <row r="44" spans="1:3" x14ac:dyDescent="0.3">
      <c r="A44" t="str">
        <f>'ALCHWTU LX_Monthly'!A44</f>
        <v>2020-07-31</v>
      </c>
      <c r="B44">
        <f>('ALCHWTU LX_Monthly'!B44-'ALCHWTU LX_Monthly'!B43)/'ALCHWTU LX_Monthly'!B43</f>
        <v>0.13816325781221303</v>
      </c>
      <c r="C44">
        <f>(China_All_Shares_Index_Monthly!B44-China_All_Shares_Index_Monthly!B43)/China_All_Shares_Index_Monthly!B43</f>
        <v>0.11271590422311882</v>
      </c>
    </row>
    <row r="45" spans="1:3" x14ac:dyDescent="0.3">
      <c r="A45" t="str">
        <f>'ALCHWTU LX_Monthly'!A45</f>
        <v>2020-08-31</v>
      </c>
      <c r="B45">
        <f>('ALCHWTU LX_Monthly'!B45-'ALCHWTU LX_Monthly'!B44)/'ALCHWTU LX_Monthly'!B44</f>
        <v>4.3264205242034323E-2</v>
      </c>
      <c r="C45">
        <f>(China_All_Shares_Index_Monthly!B45-China_All_Shares_Index_Monthly!B44)/China_All_Shares_Index_Monthly!B44</f>
        <v>5.2706263422477299E-2</v>
      </c>
    </row>
    <row r="46" spans="1:3" x14ac:dyDescent="0.3">
      <c r="A46" t="str">
        <f>'ALCHWTU LX_Monthly'!A46</f>
        <v>2020-09-30</v>
      </c>
      <c r="B46">
        <f>('ALCHWTU LX_Monthly'!B46-'ALCHWTU LX_Monthly'!B45)/'ALCHWTU LX_Monthly'!B45</f>
        <v>-2.43006376675346E-2</v>
      </c>
      <c r="C46">
        <f>(China_All_Shares_Index_Monthly!B46-China_All_Shares_Index_Monthly!B45)/China_All_Shares_Index_Monthly!B45</f>
        <v>-3.435145204033925E-2</v>
      </c>
    </row>
    <row r="47" spans="1:3" x14ac:dyDescent="0.3">
      <c r="A47" t="str">
        <f>'ALCHWTU LX_Monthly'!A47</f>
        <v>2020-10-30</v>
      </c>
      <c r="B47">
        <f>('ALCHWTU LX_Monthly'!B47-'ALCHWTU LX_Monthly'!B46)/'ALCHWTU LX_Monthly'!B46</f>
        <v>5.308898665010079E-2</v>
      </c>
      <c r="C47">
        <f>(China_All_Shares_Index_Monthly!B47-China_All_Shares_Index_Monthly!B46)/China_All_Shares_Index_Monthly!B46</f>
        <v>4.730994852859844E-2</v>
      </c>
    </row>
    <row r="48" spans="1:3" x14ac:dyDescent="0.3">
      <c r="A48" t="str">
        <f>'ALCHWTU LX_Monthly'!A48</f>
        <v>2020-11-30</v>
      </c>
      <c r="B48">
        <f>('ALCHWTU LX_Monthly'!B48-'ALCHWTU LX_Monthly'!B47)/'ALCHWTU LX_Monthly'!B47</f>
        <v>4.6999620776625353E-2</v>
      </c>
      <c r="C48">
        <f>(China_All_Shares_Index_Monthly!B48-China_All_Shares_Index_Monthly!B47)/China_All_Shares_Index_Monthly!B47</f>
        <v>3.9284695824364224E-2</v>
      </c>
    </row>
    <row r="49" spans="1:3" x14ac:dyDescent="0.3">
      <c r="A49" t="str">
        <f>'ALCHWTU LX_Monthly'!A49</f>
        <v>2020-12-31</v>
      </c>
      <c r="B49">
        <f>('ALCHWTU LX_Monthly'!B49-'ALCHWTU LX_Monthly'!B48)/'ALCHWTU LX_Monthly'!B48</f>
        <v>9.1303172987921025E-2</v>
      </c>
      <c r="C49">
        <f>(China_All_Shares_Index_Monthly!B49-China_All_Shares_Index_Monthly!B48)/China_All_Shares_Index_Monthly!B48</f>
        <v>4.160989961256379E-2</v>
      </c>
    </row>
    <row r="50" spans="1:3" x14ac:dyDescent="0.3">
      <c r="A50" t="str">
        <f>'ALCHWTU LX_Monthly'!A50</f>
        <v>2021-01-29</v>
      </c>
      <c r="B50">
        <f>('ALCHWTU LX_Monthly'!B50-'ALCHWTU LX_Monthly'!B49)/'ALCHWTU LX_Monthly'!B49</f>
        <v>6.1648526483262904E-2</v>
      </c>
      <c r="C50">
        <f>(China_All_Shares_Index_Monthly!B50-China_All_Shares_Index_Monthly!B49)/China_All_Shares_Index_Monthly!B49</f>
        <v>6.2775707971030048E-2</v>
      </c>
    </row>
    <row r="51" spans="1:3" x14ac:dyDescent="0.3">
      <c r="A51" t="str">
        <f>'ALCHWTU LX_Monthly'!A51</f>
        <v>2021-02-26</v>
      </c>
      <c r="B51">
        <f>('ALCHWTU LX_Monthly'!B51-'ALCHWTU LX_Monthly'!B50)/'ALCHWTU LX_Monthly'!B50</f>
        <v>-3.1292179436284213E-2</v>
      </c>
      <c r="C51">
        <f>(China_All_Shares_Index_Monthly!B51-China_All_Shares_Index_Monthly!B50)/China_All_Shares_Index_Monthly!B50</f>
        <v>-1.0318367502370196E-2</v>
      </c>
    </row>
    <row r="52" spans="1:3" x14ac:dyDescent="0.3">
      <c r="A52" t="str">
        <f>'ALCHWTU LX_Monthly'!A52</f>
        <v>2021-03-31</v>
      </c>
      <c r="B52">
        <f>('ALCHWTU LX_Monthly'!B52-'ALCHWTU LX_Monthly'!B51)/'ALCHWTU LX_Monthly'!B51</f>
        <v>-6.6680668394684839E-2</v>
      </c>
      <c r="C52">
        <f>(China_All_Shares_Index_Monthly!B52-China_All_Shares_Index_Monthly!B51)/China_All_Shares_Index_Monthly!B51</f>
        <v>-6.347437779647451E-2</v>
      </c>
    </row>
    <row r="53" spans="1:3" x14ac:dyDescent="0.3">
      <c r="A53" t="str">
        <f>'ALCHWTU LX_Monthly'!A53</f>
        <v>2021-04-30</v>
      </c>
      <c r="B53">
        <f>('ALCHWTU LX_Monthly'!B53-'ALCHWTU LX_Monthly'!B52)/'ALCHWTU LX_Monthly'!B52</f>
        <v>5.4825271546732314E-2</v>
      </c>
      <c r="C53">
        <f>(China_All_Shares_Index_Monthly!B53-China_All_Shares_Index_Monthly!B52)/China_All_Shares_Index_Monthly!B52</f>
        <v>2.3120763525853044E-2</v>
      </c>
    </row>
    <row r="54" spans="1:3" x14ac:dyDescent="0.3">
      <c r="A54" t="str">
        <f>'ALCHWTU LX_Monthly'!A54</f>
        <v>2021-05-31</v>
      </c>
      <c r="B54">
        <f>('ALCHWTU LX_Monthly'!B54-'ALCHWTU LX_Monthly'!B53)/'ALCHWTU LX_Monthly'!B53</f>
        <v>2.7582654303643341E-2</v>
      </c>
      <c r="C54">
        <f>(China_All_Shares_Index_Monthly!B54-China_All_Shares_Index_Monthly!B53)/China_All_Shares_Index_Monthly!B53</f>
        <v>2.796596835821779E-2</v>
      </c>
    </row>
    <row r="55" spans="1:3" x14ac:dyDescent="0.3">
      <c r="A55" t="str">
        <f>'ALCHWTU LX_Monthly'!A55</f>
        <v>2021-06-30</v>
      </c>
      <c r="B55">
        <f>('ALCHWTU LX_Monthly'!B55-'ALCHWTU LX_Monthly'!B54)/'ALCHWTU LX_Monthly'!B54</f>
        <v>2.2001448196590178E-2</v>
      </c>
      <c r="C55">
        <f>(China_All_Shares_Index_Monthly!B55-China_All_Shares_Index_Monthly!B54)/China_All_Shares_Index_Monthly!B54</f>
        <v>-4.7839717664234635E-3</v>
      </c>
    </row>
    <row r="56" spans="1:3" x14ac:dyDescent="0.3">
      <c r="A56" t="str">
        <f>'ALCHWTU LX_Monthly'!A56</f>
        <v>2021-07-30</v>
      </c>
      <c r="B56">
        <f>('ALCHWTU LX_Monthly'!B56-'ALCHWTU LX_Monthly'!B55)/'ALCHWTU LX_Monthly'!B55</f>
        <v>-0.11552677474335084</v>
      </c>
      <c r="C56">
        <f>(China_All_Shares_Index_Monthly!B56-China_All_Shares_Index_Monthly!B55)/China_All_Shares_Index_Monthly!B55</f>
        <v>-0.11128710567395378</v>
      </c>
    </row>
    <row r="57" spans="1:3" x14ac:dyDescent="0.3">
      <c r="A57" t="str">
        <f>'ALCHWTU LX_Monthly'!A57</f>
        <v>2021-08-31</v>
      </c>
      <c r="B57">
        <f>('ALCHWTU LX_Monthly'!B57-'ALCHWTU LX_Monthly'!B56)/'ALCHWTU LX_Monthly'!B56</f>
        <v>-1.8088115844607001E-2</v>
      </c>
      <c r="C57">
        <f>(China_All_Shares_Index_Monthly!B57-China_All_Shares_Index_Monthly!B56)/China_All_Shares_Index_Monthly!B56</f>
        <v>2.2294796290394216E-3</v>
      </c>
    </row>
    <row r="58" spans="1:3" x14ac:dyDescent="0.3">
      <c r="A58" t="str">
        <f>'ALCHWTU LX_Monthly'!A58</f>
        <v>2021-09-30</v>
      </c>
      <c r="B58">
        <f>('ALCHWTU LX_Monthly'!B58-'ALCHWTU LX_Monthly'!B57)/'ALCHWTU LX_Monthly'!B57</f>
        <v>-2.9380555206918981E-2</v>
      </c>
      <c r="C58">
        <f>(China_All_Shares_Index_Monthly!B58-China_All_Shares_Index_Monthly!B57)/China_All_Shares_Index_Monthly!B57</f>
        <v>-2.7099068101077872E-2</v>
      </c>
    </row>
    <row r="59" spans="1:3" x14ac:dyDescent="0.3">
      <c r="A59" t="str">
        <f>'ALCHWTU LX_Monthly'!A59</f>
        <v>2021-10-29</v>
      </c>
      <c r="B59">
        <f>('ALCHWTU LX_Monthly'!B59-'ALCHWTU LX_Monthly'!B58)/'ALCHWTU LX_Monthly'!B58</f>
        <v>3.7693374711995173E-2</v>
      </c>
      <c r="C59">
        <f>(China_All_Shares_Index_Monthly!B59-China_All_Shares_Index_Monthly!B58)/China_All_Shares_Index_Monthly!B58</f>
        <v>2.7819146389689419E-2</v>
      </c>
    </row>
    <row r="60" spans="1:3" x14ac:dyDescent="0.3">
      <c r="A60" t="str">
        <f>'ALCHWTU LX_Monthly'!A60</f>
        <v>2021-11-30</v>
      </c>
      <c r="B60">
        <f>('ALCHWTU LX_Monthly'!B60-'ALCHWTU LX_Monthly'!B59)/'ALCHWTU LX_Monthly'!B59</f>
        <v>-4.1127392395312296E-2</v>
      </c>
      <c r="C60">
        <f>(China_All_Shares_Index_Monthly!B60-China_All_Shares_Index_Monthly!B59)/China_All_Shares_Index_Monthly!B59</f>
        <v>-3.7020978725507615E-2</v>
      </c>
    </row>
    <row r="61" spans="1:3" x14ac:dyDescent="0.3">
      <c r="A61" t="str">
        <f>'ALCHWTU LX_Monthly'!A61</f>
        <v>2021-12-31</v>
      </c>
      <c r="B61">
        <f>('ALCHWTU LX_Monthly'!B61-'ALCHWTU LX_Monthly'!B60)/'ALCHWTU LX_Monthly'!B60</f>
        <v>-1.602003686026187E-2</v>
      </c>
      <c r="C61">
        <f>(China_All_Shares_Index_Monthly!B61-China_All_Shares_Index_Monthly!B60)/China_All_Shares_Index_Monthly!B60</f>
        <v>-1.5176329894827305E-2</v>
      </c>
    </row>
    <row r="62" spans="1:3" x14ac:dyDescent="0.3">
      <c r="A62" t="str">
        <f>'ALCHWTU LX_Monthly'!A62</f>
        <v>2022-01-31</v>
      </c>
      <c r="B62">
        <f>('ALCHWTU LX_Monthly'!B62-'ALCHWTU LX_Monthly'!B61)/'ALCHWTU LX_Monthly'!B61</f>
        <v>-6.3160359235424096E-2</v>
      </c>
      <c r="C62">
        <f>(China_All_Shares_Index_Monthly!B62-China_All_Shares_Index_Monthly!B61)/China_All_Shares_Index_Monthly!B61</f>
        <v>-5.3248734402784027E-2</v>
      </c>
    </row>
    <row r="63" spans="1:3" x14ac:dyDescent="0.3">
      <c r="A63" t="str">
        <f>'ALCHWTU LX_Monthly'!A63</f>
        <v>2022-02-28</v>
      </c>
      <c r="B63">
        <f>('ALCHWTU LX_Monthly'!B63-'ALCHWTU LX_Monthly'!B62)/'ALCHWTU LX_Monthly'!B62</f>
        <v>-1.0265611483130935E-2</v>
      </c>
      <c r="C63">
        <f>(China_All_Shares_Index_Monthly!B63-China_All_Shares_Index_Monthly!B62)/China_All_Shares_Index_Monthly!B62</f>
        <v>-1.2291827569554308E-2</v>
      </c>
    </row>
    <row r="64" spans="1:3" x14ac:dyDescent="0.3">
      <c r="A64" t="str">
        <f>'ALCHWTU LX_Monthly'!A64</f>
        <v>2022-03-31</v>
      </c>
      <c r="B64">
        <f>('ALCHWTU LX_Monthly'!B64-'ALCHWTU LX_Monthly'!B63)/'ALCHWTU LX_Monthly'!B63</f>
        <v>-0.10143538811159386</v>
      </c>
      <c r="C64">
        <f>(China_All_Shares_Index_Monthly!B64-China_All_Shares_Index_Monthly!B63)/China_All_Shares_Index_Monthly!B63</f>
        <v>-8.3129492315391684E-2</v>
      </c>
    </row>
    <row r="65" spans="1:3" x14ac:dyDescent="0.3">
      <c r="A65" t="str">
        <f>'ALCHWTU LX_Monthly'!A65</f>
        <v>2022-04-29</v>
      </c>
      <c r="B65">
        <f>('ALCHWTU LX_Monthly'!B65-'ALCHWTU LX_Monthly'!B64)/'ALCHWTU LX_Monthly'!B64</f>
        <v>-5.7239202801435185E-2</v>
      </c>
      <c r="C65">
        <f>(China_All_Shares_Index_Monthly!B65-China_All_Shares_Index_Monthly!B64)/China_All_Shares_Index_Monthly!B64</f>
        <v>-6.2674396932406784E-2</v>
      </c>
    </row>
    <row r="66" spans="1:3" x14ac:dyDescent="0.3">
      <c r="A66" t="str">
        <f>'ALCHWTU LX_Monthly'!A66</f>
        <v>2022-05-31</v>
      </c>
      <c r="B66">
        <f>('ALCHWTU LX_Monthly'!B66-'ALCHWTU LX_Monthly'!B65)/'ALCHWTU LX_Monthly'!B65</f>
        <v>7.1307378364744703E-3</v>
      </c>
      <c r="C66">
        <f>(China_All_Shares_Index_Monthly!B66-China_All_Shares_Index_Monthly!B65)/China_All_Shares_Index_Monthly!B65</f>
        <v>1.8169121162288013E-2</v>
      </c>
    </row>
    <row r="67" spans="1:3" x14ac:dyDescent="0.3">
      <c r="A67" t="str">
        <f>'ALCHWTU LX_Monthly'!A67</f>
        <v>2022-06-30</v>
      </c>
      <c r="B67">
        <f>('ALCHWTU LX_Monthly'!B67-'ALCHWTU LX_Monthly'!B66)/'ALCHWTU LX_Monthly'!B66</f>
        <v>6.0626067159931775E-2</v>
      </c>
      <c r="C67">
        <f>(China_All_Shares_Index_Monthly!B67-China_All_Shares_Index_Monthly!B66)/China_All_Shares_Index_Monthly!B66</f>
        <v>7.824875391652053E-2</v>
      </c>
    </row>
    <row r="68" spans="1:3" x14ac:dyDescent="0.3">
      <c r="A68" t="str">
        <f>'ALCHWTU LX_Monthly'!A68</f>
        <v>2022-07-29</v>
      </c>
      <c r="B68">
        <f>('ALCHWTU LX_Monthly'!B68-'ALCHWTU LX_Monthly'!B67)/'ALCHWTU LX_Monthly'!B67</f>
        <v>-7.3359377235912099E-2</v>
      </c>
      <c r="C68">
        <f>(China_All_Shares_Index_Monthly!B68-China_All_Shares_Index_Monthly!B67)/China_All_Shares_Index_Monthly!B67</f>
        <v>-8.0728904736279597E-2</v>
      </c>
    </row>
    <row r="69" spans="1:3" x14ac:dyDescent="0.3">
      <c r="A69" t="str">
        <f>'ALCHWTU LX_Monthly'!A69</f>
        <v>2022-08-31</v>
      </c>
      <c r="B69">
        <f>('ALCHWTU LX_Monthly'!B69-'ALCHWTU LX_Monthly'!B68)/'ALCHWTU LX_Monthly'!B68</f>
        <v>-2.0199056450803297E-2</v>
      </c>
      <c r="C69">
        <f>(China_All_Shares_Index_Monthly!B69-China_All_Shares_Index_Monthly!B68)/China_All_Shares_Index_Monthly!B68</f>
        <v>-1.6129958408523666E-2</v>
      </c>
    </row>
    <row r="70" spans="1:3" x14ac:dyDescent="0.3">
      <c r="A70" t="str">
        <f>'ALCHWTU LX_Monthly'!A70</f>
        <v>2022-09-30</v>
      </c>
      <c r="B70">
        <f>('ALCHWTU LX_Monthly'!B70-'ALCHWTU LX_Monthly'!B69)/'ALCHWTU LX_Monthly'!B69</f>
        <v>-0.11814492296780808</v>
      </c>
      <c r="C70">
        <f>(China_All_Shares_Index_Monthly!B70-China_All_Shares_Index_Monthly!B69)/China_All_Shares_Index_Monthly!B69</f>
        <v>-0.12255430058238573</v>
      </c>
    </row>
    <row r="71" spans="1:3" x14ac:dyDescent="0.3">
      <c r="A71" t="str">
        <f>'ALCHWTU LX_Monthly'!A71</f>
        <v>2022-10-31</v>
      </c>
      <c r="B71">
        <f>('ALCHWTU LX_Monthly'!B71-'ALCHWTU LX_Monthly'!B70)/'ALCHWTU LX_Monthly'!B70</f>
        <v>-0.14895936659428249</v>
      </c>
      <c r="C71">
        <f>(China_All_Shares_Index_Monthly!B71-China_All_Shares_Index_Monthly!B70)/China_All_Shares_Index_Monthly!B70</f>
        <v>-0.13523569852988751</v>
      </c>
    </row>
    <row r="72" spans="1:3" x14ac:dyDescent="0.3">
      <c r="A72" t="str">
        <f>'ALCHWTU LX_Monthly'!A72</f>
        <v>2022-11-30</v>
      </c>
      <c r="B72">
        <f>('ALCHWTU LX_Monthly'!B72-'ALCHWTU LX_Monthly'!B71)/'ALCHWTU LX_Monthly'!B71</f>
        <v>0.18381040384736549</v>
      </c>
      <c r="C72">
        <f>(China_All_Shares_Index_Monthly!B72-China_All_Shares_Index_Monthly!B71)/China_All_Shares_Index_Monthly!B71</f>
        <v>0.21294412601448415</v>
      </c>
    </row>
    <row r="73" spans="1:3" x14ac:dyDescent="0.3">
      <c r="A73" t="str">
        <f>'ALCHWTU LX_Monthly'!A73</f>
        <v>2022-12-30</v>
      </c>
      <c r="B73">
        <f>('ALCHWTU LX_Monthly'!B73-'ALCHWTU LX_Monthly'!B72)/'ALCHWTU LX_Monthly'!B72</f>
        <v>5.2182474565145978E-2</v>
      </c>
      <c r="C73">
        <f>(China_All_Shares_Index_Monthly!B73-China_All_Shares_Index_Monthly!B72)/China_All_Shares_Index_Monthly!B72</f>
        <v>4.0178592957907211E-2</v>
      </c>
    </row>
    <row r="74" spans="1:3" x14ac:dyDescent="0.3">
      <c r="A74" t="str">
        <f>'ALCHWTU LX_Monthly'!A74</f>
        <v>2023-01-31</v>
      </c>
      <c r="B74">
        <f>('ALCHWTU LX_Monthly'!B74-'ALCHWTU LX_Monthly'!B73)/'ALCHWTU LX_Monthly'!B73</f>
        <v>9.9062568494882902E-2</v>
      </c>
      <c r="C74">
        <f>(China_All_Shares_Index_Monthly!B74-China_All_Shares_Index_Monthly!B73)/China_All_Shares_Index_Monthly!B73</f>
        <v>0.11055381920909708</v>
      </c>
    </row>
    <row r="75" spans="1:3" x14ac:dyDescent="0.3">
      <c r="A75" t="str">
        <f>'ALCHWTU LX_Monthly'!A75</f>
        <v>2023-02-28</v>
      </c>
      <c r="B75">
        <f>('ALCHWTU LX_Monthly'!B75-'ALCHWTU LX_Monthly'!B74)/'ALCHWTU LX_Monthly'!B74</f>
        <v>-9.7803993158092545E-2</v>
      </c>
      <c r="C75">
        <f>(China_All_Shares_Index_Monthly!B75-China_All_Shares_Index_Monthly!B74)/China_All_Shares_Index_Monthly!B74</f>
        <v>-7.824803149836046E-2</v>
      </c>
    </row>
    <row r="76" spans="1:3" x14ac:dyDescent="0.3">
      <c r="A76" t="str">
        <f>'ALCHWTU LX_Monthly'!A76</f>
        <v>2023-03-31</v>
      </c>
      <c r="B76">
        <f>('ALCHWTU LX_Monthly'!B76-'ALCHWTU LX_Monthly'!B75)/'ALCHWTU LX_Monthly'!B75</f>
        <v>1.9996259203210267E-2</v>
      </c>
      <c r="C76">
        <f>(China_All_Shares_Index_Monthly!B76-China_All_Shares_Index_Monthly!B75)/China_All_Shares_Index_Monthly!B75</f>
        <v>2.5793100209667436E-2</v>
      </c>
    </row>
    <row r="77" spans="1:3" x14ac:dyDescent="0.3">
      <c r="A77" t="str">
        <f>'ALCHWTU LX_Monthly'!A77</f>
        <v>2023-04-28</v>
      </c>
      <c r="B77">
        <f>('ALCHWTU LX_Monthly'!B77-'ALCHWTU LX_Monthly'!B76)/'ALCHWTU LX_Monthly'!B76</f>
        <v>-5.6245519862636921E-2</v>
      </c>
      <c r="C77">
        <f>(China_All_Shares_Index_Monthly!B77-China_All_Shares_Index_Monthly!B76)/China_All_Shares_Index_Monthly!B76</f>
        <v>-3.8742910647629587E-2</v>
      </c>
    </row>
    <row r="78" spans="1:3" x14ac:dyDescent="0.3">
      <c r="A78" t="str">
        <f>'ALCHWTU LX_Monthly'!A78</f>
        <v>2023-05-31</v>
      </c>
      <c r="B78">
        <f>('ALCHWTU LX_Monthly'!B78-'ALCHWTU LX_Monthly'!B77)/'ALCHWTU LX_Monthly'!B77</f>
        <v>-8.6755692155512001E-2</v>
      </c>
      <c r="C78">
        <f>(China_All_Shares_Index_Monthly!B78-China_All_Shares_Index_Monthly!B77)/China_All_Shares_Index_Monthly!B77</f>
        <v>-7.9428904010463569E-2</v>
      </c>
    </row>
    <row r="79" spans="1:3" x14ac:dyDescent="0.3">
      <c r="A79" t="str">
        <f>'ALCHWTU LX_Monthly'!A79</f>
        <v>2023-06-30</v>
      </c>
      <c r="B79">
        <f>('ALCHWTU LX_Monthly'!B79-'ALCHWTU LX_Monthly'!B78)/'ALCHWTU LX_Monthly'!B78</f>
        <v>2.6798061951780933E-2</v>
      </c>
      <c r="C79">
        <f>(China_All_Shares_Index_Monthly!B79-China_All_Shares_Index_Monthly!B78)/China_All_Shares_Index_Monthly!B78</f>
        <v>1.8529798722771756E-2</v>
      </c>
    </row>
    <row r="80" spans="1:3" x14ac:dyDescent="0.3">
      <c r="A80" t="str">
        <f>'ALCHWTU LX_Monthly'!A80</f>
        <v>2023-07-31</v>
      </c>
      <c r="B80">
        <f>('ALCHWTU LX_Monthly'!B80-'ALCHWTU LX_Monthly'!B79)/'ALCHWTU LX_Monthly'!B79</f>
        <v>8.5764876523442599E-2</v>
      </c>
      <c r="C80">
        <f>(China_All_Shares_Index_Monthly!B80-China_All_Shares_Index_Monthly!B79)/China_All_Shares_Index_Monthly!B79</f>
        <v>8.9903564655748919E-2</v>
      </c>
    </row>
    <row r="81" spans="1:3" x14ac:dyDescent="0.3">
      <c r="A81" t="str">
        <f>'ALCHWTU LX_Monthly'!A81</f>
        <v>2023-08-31</v>
      </c>
      <c r="B81">
        <f>('ALCHWTU LX_Monthly'!B81-'ALCHWTU LX_Monthly'!B80)/'ALCHWTU LX_Monthly'!B80</f>
        <v>-8.0135322692574507E-2</v>
      </c>
      <c r="C81">
        <f>(China_All_Shares_Index_Monthly!B81-China_All_Shares_Index_Monthly!B80)/China_All_Shares_Index_Monthly!B80</f>
        <v>-8.6081274953664022E-2</v>
      </c>
    </row>
    <row r="82" spans="1:3" x14ac:dyDescent="0.3">
      <c r="A82" t="str">
        <f>'ALCHWTU LX_Monthly'!A82</f>
        <v>2023-09-29</v>
      </c>
      <c r="B82">
        <f>('ALCHWTU LX_Monthly'!B82-'ALCHWTU LX_Monthly'!B81)/'ALCHWTU LX_Monthly'!B81</f>
        <v>-5.0046208106222109E-2</v>
      </c>
      <c r="C82">
        <f>(China_All_Shares_Index_Monthly!B82-China_All_Shares_Index_Monthly!B81)/China_All_Shares_Index_Monthly!B81</f>
        <v>-2.4289950532134494E-2</v>
      </c>
    </row>
    <row r="83" spans="1:3" x14ac:dyDescent="0.3">
      <c r="A83" t="str">
        <f>'ALCHWTU LX_Monthly'!A83</f>
        <v>2023-10-31</v>
      </c>
      <c r="B83">
        <f>('ALCHWTU LX_Monthly'!B83-'ALCHWTU LX_Monthly'!B82)/'ALCHWTU LX_Monthly'!B82</f>
        <v>-3.299746860574776E-2</v>
      </c>
      <c r="C83">
        <f>(China_All_Shares_Index_Monthly!B83-China_All_Shares_Index_Monthly!B82)/China_All_Shares_Index_Monthly!B82</f>
        <v>-3.8063024822944602E-2</v>
      </c>
    </row>
    <row r="84" spans="1:3" x14ac:dyDescent="0.3">
      <c r="A84" t="str">
        <f>'ALCHWTU LX_Monthly'!A84</f>
        <v>2023-11-30</v>
      </c>
      <c r="B84">
        <f>('ALCHWTU LX_Monthly'!B84-'ALCHWTU LX_Monthly'!B83)/'ALCHWTU LX_Monthly'!B83</f>
        <v>2.1239901037870407E-2</v>
      </c>
      <c r="C84">
        <f>(China_All_Shares_Index_Monthly!B84-China_All_Shares_Index_Monthly!B83)/China_All_Shares_Index_Monthly!B83</f>
        <v>2.0058742412359064E-2</v>
      </c>
    </row>
    <row r="85" spans="1:3" x14ac:dyDescent="0.3">
      <c r="A85" t="str">
        <f>'ALCHWTU LX_Monthly'!A85</f>
        <v>2023-12-29</v>
      </c>
      <c r="B85">
        <f>('ALCHWTU LX_Monthly'!B85-'ALCHWTU LX_Monthly'!B84)/'ALCHWTU LX_Monthly'!B84</f>
        <v>-4.1435464414957698E-2</v>
      </c>
      <c r="C85">
        <f>(China_All_Shares_Index_Monthly!B85-China_All_Shares_Index_Monthly!B84)/China_All_Shares_Index_Monthly!B84</f>
        <v>-1.9786461065714522E-2</v>
      </c>
    </row>
    <row r="86" spans="1:3" x14ac:dyDescent="0.3">
      <c r="A86" t="str">
        <f>'ALCHWTU LX_Monthly'!A86</f>
        <v>2024-01-31</v>
      </c>
      <c r="B86">
        <f>('ALCHWTU LX_Monthly'!B86-'ALCHWTU LX_Monthly'!B85)/'ALCHWTU LX_Monthly'!B85</f>
        <v>-0.11766186371358464</v>
      </c>
      <c r="C86">
        <f>(China_All_Shares_Index_Monthly!B86-China_All_Shares_Index_Monthly!B85)/China_All_Shares_Index_Monthly!B85</f>
        <v>-9.9420574573726841E-2</v>
      </c>
    </row>
    <row r="87" spans="1:3" x14ac:dyDescent="0.3">
      <c r="A87" t="str">
        <f>'ALCHWTU LX_Monthly'!A87</f>
        <v>2024-02-29</v>
      </c>
      <c r="B87">
        <f>('ALCHWTU LX_Monthly'!B87-'ALCHWTU LX_Monthly'!B86)/'ALCHWTU LX_Monthly'!B86</f>
        <v>9.4891725498585697E-2</v>
      </c>
      <c r="C87">
        <f>(China_All_Shares_Index_Monthly!B87-China_All_Shares_Index_Monthly!B86)/China_All_Shares_Index_Monthly!B86</f>
        <v>9.1673752388862023E-2</v>
      </c>
    </row>
    <row r="88" spans="1:3" x14ac:dyDescent="0.3">
      <c r="A88" t="str">
        <f>'ALCHWTU LX_Monthly'!A88</f>
        <v>2024-03-29</v>
      </c>
      <c r="B88">
        <f>('ALCHWTU LX_Monthly'!B88-'ALCHWTU LX_Monthly'!B87)/'ALCHWTU LX_Monthly'!B87</f>
        <v>6.5022470202557572E-3</v>
      </c>
      <c r="C88">
        <f>(China_All_Shares_Index_Monthly!B88-China_All_Shares_Index_Monthly!B87)/China_All_Shares_Index_Monthly!B87</f>
        <v>6.4820139100090091E-3</v>
      </c>
    </row>
    <row r="89" spans="1:3" x14ac:dyDescent="0.3">
      <c r="A89" t="str">
        <f>'ALCHWTU LX_Monthly'!A89</f>
        <v>2024-04-30</v>
      </c>
      <c r="B89">
        <f>('ALCHWTU LX_Monthly'!B89-'ALCHWTU LX_Monthly'!B88)/'ALCHWTU LX_Monthly'!B88</f>
        <v>5.7225439760140578E-2</v>
      </c>
      <c r="C89">
        <f>(China_All_Shares_Index_Monthly!B89-China_All_Shares_Index_Monthly!B88)/China_All_Shares_Index_Monthly!B88</f>
        <v>4.7502851957470789E-2</v>
      </c>
    </row>
    <row r="90" spans="1:3" x14ac:dyDescent="0.3">
      <c r="A90" t="str">
        <f>'ALCHWTU LX_Monthly'!A90</f>
        <v>2024-05-31</v>
      </c>
      <c r="B90">
        <f>('ALCHWTU LX_Monthly'!B90-'ALCHWTU LX_Monthly'!B89)/'ALCHWTU LX_Monthly'!B89</f>
        <v>2.14226692645906E-3</v>
      </c>
      <c r="C90">
        <f>(China_All_Shares_Index_Monthly!B90-China_All_Shares_Index_Monthly!B89)/China_All_Shares_Index_Monthly!B89</f>
        <v>1.1739086262302406E-2</v>
      </c>
    </row>
    <row r="91" spans="1:3" x14ac:dyDescent="0.3">
      <c r="A91" t="str">
        <f>'ALCHWTU LX_Monthly'!A91</f>
        <v>2024-06-28</v>
      </c>
      <c r="B91">
        <f>('ALCHWTU LX_Monthly'!B91-'ALCHWTU LX_Monthly'!B90)/'ALCHWTU LX_Monthly'!B90</f>
        <v>-1.3111149566863805E-2</v>
      </c>
      <c r="C91">
        <f>(China_All_Shares_Index_Monthly!B91-China_All_Shares_Index_Monthly!B90)/China_All_Shares_Index_Monthly!B90</f>
        <v>-2.4701531132461298E-2</v>
      </c>
    </row>
    <row r="92" spans="1:3" x14ac:dyDescent="0.3">
      <c r="A92" t="str">
        <f>'ALCHWTU LX_Monthly'!A92</f>
        <v>2024-07-31</v>
      </c>
      <c r="B92">
        <f>('ALCHWTU LX_Monthly'!B92-'ALCHWTU LX_Monthly'!B91)/'ALCHWTU LX_Monthly'!B91</f>
        <v>-1.6472578365945009E-2</v>
      </c>
      <c r="C92">
        <f>(China_All_Shares_Index_Monthly!B92-China_All_Shares_Index_Monthly!B91)/China_All_Shares_Index_Monthly!B91</f>
        <v>-7.0073693094103821E-3</v>
      </c>
    </row>
    <row r="93" spans="1:3" x14ac:dyDescent="0.3">
      <c r="A93" t="str">
        <f>'ALCHWTU LX_Monthly'!A93</f>
        <v>2024-08-30</v>
      </c>
      <c r="B93">
        <f>('ALCHWTU LX_Monthly'!B93-'ALCHWTU LX_Monthly'!B92)/'ALCHWTU LX_Monthly'!B92</f>
        <v>2.1394412282909258E-3</v>
      </c>
      <c r="C93">
        <f>(China_All_Shares_Index_Monthly!B93-China_All_Shares_Index_Monthly!B92)/China_All_Shares_Index_Monthly!B92</f>
        <v>-2.2595108309412661E-4</v>
      </c>
    </row>
    <row r="94" spans="1:3" x14ac:dyDescent="0.3">
      <c r="A94" t="str">
        <f>'ALCHWTU LX_Monthly'!A94</f>
        <v>2024-09-30</v>
      </c>
      <c r="B94">
        <f>('ALCHWTU LX_Monthly'!B94-'ALCHWTU LX_Monthly'!B93)/'ALCHWTU LX_Monthly'!B93</f>
        <v>0.21125831972874559</v>
      </c>
      <c r="C94">
        <f>(China_All_Shares_Index_Monthly!B94-China_All_Shares_Index_Monthly!B93)/China_All_Shares_Index_Monthly!B93</f>
        <v>0.23191919623620541</v>
      </c>
    </row>
    <row r="95" spans="1:3" x14ac:dyDescent="0.3">
      <c r="A95" t="str">
        <f>'ALCHWTU LX_Monthly'!A95</f>
        <v>2024-10-31</v>
      </c>
      <c r="B95">
        <f>('ALCHWTU LX_Monthly'!B95-'ALCHWTU LX_Monthly'!B94)/'ALCHWTU LX_Monthly'!B94</f>
        <v>-5.392118745842088E-2</v>
      </c>
      <c r="C95">
        <f>(China_All_Shares_Index_Monthly!B95-China_All_Shares_Index_Monthly!B94)/China_All_Shares_Index_Monthly!B94</f>
        <v>-5.274738834331226E-2</v>
      </c>
    </row>
    <row r="96" spans="1:3" x14ac:dyDescent="0.3">
      <c r="A96" t="str">
        <f>'ALCHWTU LX_Monthly'!A96</f>
        <v>2024-11-29</v>
      </c>
      <c r="B96">
        <f>('ALCHWTU LX_Monthly'!B96-'ALCHWTU LX_Monthly'!B95)/'ALCHWTU LX_Monthly'!B95</f>
        <v>-4.046501433763762E-2</v>
      </c>
      <c r="C96">
        <f>(China_All_Shares_Index_Monthly!B96-China_All_Shares_Index_Monthly!B95)/China_All_Shares_Index_Monthly!B95</f>
        <v>-3.2286401502107549E-2</v>
      </c>
    </row>
    <row r="97" spans="1:3" x14ac:dyDescent="0.3">
      <c r="A97" t="str">
        <f>'ALCHWTU LX_Monthly'!A97</f>
        <v>2024-12-31</v>
      </c>
      <c r="B97">
        <f>('ALCHWTU LX_Monthly'!B97-'ALCHWTU LX_Monthly'!B96)/'ALCHWTU LX_Monthly'!B96</f>
        <v>1.7169342634980121E-2</v>
      </c>
      <c r="C97">
        <f>(China_All_Shares_Index_Monthly!B97-China_All_Shares_Index_Monthly!B96)/China_All_Shares_Index_Monthly!B96</f>
        <v>1.5012189515128126E-2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50238-3DEB-4E84-82D7-5CEC85D0AA8A}">
  <dimension ref="A1:B97"/>
  <sheetViews>
    <sheetView workbookViewId="0">
      <selection activeCell="B26" sqref="B26"/>
    </sheetView>
  </sheetViews>
  <sheetFormatPr baseColWidth="10" defaultRowHeight="14.4" x14ac:dyDescent="0.3"/>
  <sheetData>
    <row r="1" spans="1:2" x14ac:dyDescent="0.3">
      <c r="A1" s="7" t="s">
        <v>104</v>
      </c>
      <c r="B1" s="7" t="s">
        <v>105</v>
      </c>
    </row>
    <row r="2" spans="1:2" x14ac:dyDescent="0.3">
      <c r="A2" s="8">
        <v>42736</v>
      </c>
      <c r="B2" s="2">
        <v>0.51</v>
      </c>
    </row>
    <row r="3" spans="1:2" x14ac:dyDescent="0.3">
      <c r="A3" s="8">
        <v>42767</v>
      </c>
      <c r="B3" s="2">
        <v>0.52</v>
      </c>
    </row>
    <row r="4" spans="1:2" x14ac:dyDescent="0.3">
      <c r="A4" s="8">
        <v>42795</v>
      </c>
      <c r="B4" s="2">
        <v>0.74</v>
      </c>
    </row>
    <row r="5" spans="1:2" x14ac:dyDescent="0.3">
      <c r="A5" s="8">
        <v>42826</v>
      </c>
      <c r="B5" s="2">
        <v>0.8</v>
      </c>
    </row>
    <row r="6" spans="1:2" x14ac:dyDescent="0.3">
      <c r="A6" s="8">
        <v>42856</v>
      </c>
      <c r="B6" s="2">
        <v>0.89</v>
      </c>
    </row>
    <row r="7" spans="1:2" x14ac:dyDescent="0.3">
      <c r="A7" s="8">
        <v>42887</v>
      </c>
      <c r="B7" s="2">
        <v>0.98</v>
      </c>
    </row>
    <row r="8" spans="1:2" x14ac:dyDescent="0.3">
      <c r="A8" s="8">
        <v>42917</v>
      </c>
      <c r="B8" s="2">
        <v>1.07</v>
      </c>
    </row>
    <row r="9" spans="1:2" x14ac:dyDescent="0.3">
      <c r="A9" s="8">
        <v>42948</v>
      </c>
      <c r="B9" s="2">
        <v>1.01</v>
      </c>
    </row>
    <row r="10" spans="1:2" x14ac:dyDescent="0.3">
      <c r="A10" s="8">
        <v>42979</v>
      </c>
      <c r="B10" s="2">
        <v>1.03</v>
      </c>
    </row>
    <row r="11" spans="1:2" x14ac:dyDescent="0.3">
      <c r="A11" s="8">
        <v>43009</v>
      </c>
      <c r="B11" s="2">
        <v>1.07</v>
      </c>
    </row>
    <row r="12" spans="1:2" x14ac:dyDescent="0.3">
      <c r="A12" s="8">
        <v>43040</v>
      </c>
      <c r="B12" s="2">
        <v>1.23</v>
      </c>
    </row>
    <row r="13" spans="1:2" x14ac:dyDescent="0.3">
      <c r="A13" s="8">
        <v>43070</v>
      </c>
      <c r="B13" s="2">
        <v>1.32</v>
      </c>
    </row>
    <row r="14" spans="1:2" x14ac:dyDescent="0.3">
      <c r="A14" s="8">
        <v>43101</v>
      </c>
      <c r="B14" s="2">
        <v>1.41</v>
      </c>
    </row>
    <row r="15" spans="1:2" x14ac:dyDescent="0.3">
      <c r="A15" s="8">
        <v>43132</v>
      </c>
      <c r="B15" s="2">
        <v>1.57</v>
      </c>
    </row>
    <row r="16" spans="1:2" x14ac:dyDescent="0.3">
      <c r="A16" s="8">
        <v>43160</v>
      </c>
      <c r="B16" s="2">
        <v>1.7</v>
      </c>
    </row>
    <row r="17" spans="1:2" x14ac:dyDescent="0.3">
      <c r="A17" s="8">
        <v>43191</v>
      </c>
      <c r="B17" s="2">
        <v>1.76</v>
      </c>
    </row>
    <row r="18" spans="1:2" x14ac:dyDescent="0.3">
      <c r="A18" s="8">
        <v>43221</v>
      </c>
      <c r="B18" s="2">
        <v>1.86</v>
      </c>
    </row>
    <row r="19" spans="1:2" x14ac:dyDescent="0.3">
      <c r="A19" s="8">
        <v>43252</v>
      </c>
      <c r="B19" s="2">
        <v>1.9</v>
      </c>
    </row>
    <row r="20" spans="1:2" x14ac:dyDescent="0.3">
      <c r="A20" s="8">
        <v>43282</v>
      </c>
      <c r="B20" s="2">
        <v>1.96</v>
      </c>
    </row>
    <row r="21" spans="1:2" x14ac:dyDescent="0.3">
      <c r="A21" s="8">
        <v>43313</v>
      </c>
      <c r="B21" s="2">
        <v>2.0299999999999998</v>
      </c>
    </row>
    <row r="22" spans="1:2" x14ac:dyDescent="0.3">
      <c r="A22" s="8">
        <v>43344</v>
      </c>
      <c r="B22" s="2">
        <v>2.13</v>
      </c>
    </row>
    <row r="23" spans="1:2" x14ac:dyDescent="0.3">
      <c r="A23" s="8">
        <v>43374</v>
      </c>
      <c r="B23" s="2">
        <v>2.25</v>
      </c>
    </row>
    <row r="24" spans="1:2" x14ac:dyDescent="0.3">
      <c r="A24" s="8">
        <v>43405</v>
      </c>
      <c r="B24" s="2">
        <v>2.33</v>
      </c>
    </row>
    <row r="25" spans="1:2" x14ac:dyDescent="0.3">
      <c r="A25" s="8">
        <v>43435</v>
      </c>
      <c r="B25" s="2">
        <v>2.37</v>
      </c>
    </row>
    <row r="26" spans="1:2" x14ac:dyDescent="0.3">
      <c r="A26" s="8">
        <v>43466</v>
      </c>
      <c r="B26" s="2">
        <v>2.37</v>
      </c>
    </row>
    <row r="27" spans="1:2" x14ac:dyDescent="0.3">
      <c r="A27" s="8">
        <v>43497</v>
      </c>
      <c r="B27" s="2">
        <v>2.39</v>
      </c>
    </row>
    <row r="28" spans="1:2" x14ac:dyDescent="0.3">
      <c r="A28" s="8">
        <v>43525</v>
      </c>
      <c r="B28" s="2">
        <v>2.4</v>
      </c>
    </row>
    <row r="29" spans="1:2" x14ac:dyDescent="0.3">
      <c r="A29" s="8">
        <v>43556</v>
      </c>
      <c r="B29" s="2">
        <v>2.38</v>
      </c>
    </row>
    <row r="30" spans="1:2" x14ac:dyDescent="0.3">
      <c r="A30" s="8">
        <v>43586</v>
      </c>
      <c r="B30" s="2">
        <v>2.35</v>
      </c>
    </row>
    <row r="31" spans="1:2" x14ac:dyDescent="0.3">
      <c r="A31" s="8">
        <v>43617</v>
      </c>
      <c r="B31" s="2">
        <v>2.17</v>
      </c>
    </row>
    <row r="32" spans="1:2" x14ac:dyDescent="0.3">
      <c r="A32" s="8">
        <v>43647</v>
      </c>
      <c r="B32" s="2">
        <v>2.1</v>
      </c>
    </row>
    <row r="33" spans="1:2" x14ac:dyDescent="0.3">
      <c r="A33" s="8">
        <v>43678</v>
      </c>
      <c r="B33" s="2">
        <v>1.95</v>
      </c>
    </row>
    <row r="34" spans="1:2" x14ac:dyDescent="0.3">
      <c r="A34" s="8">
        <v>43709</v>
      </c>
      <c r="B34" s="2">
        <v>1.89</v>
      </c>
    </row>
    <row r="35" spans="1:2" x14ac:dyDescent="0.3">
      <c r="A35" s="8">
        <v>43739</v>
      </c>
      <c r="B35" s="2">
        <v>1.65</v>
      </c>
    </row>
    <row r="36" spans="1:2" x14ac:dyDescent="0.3">
      <c r="A36" s="8">
        <v>43770</v>
      </c>
      <c r="B36" s="2">
        <v>1.54</v>
      </c>
    </row>
    <row r="37" spans="1:2" x14ac:dyDescent="0.3">
      <c r="A37" s="8">
        <v>43800</v>
      </c>
      <c r="B37" s="2">
        <v>1.54</v>
      </c>
    </row>
    <row r="38" spans="1:2" x14ac:dyDescent="0.3">
      <c r="A38" s="8">
        <v>43831</v>
      </c>
      <c r="B38" s="2">
        <v>1.52</v>
      </c>
    </row>
    <row r="39" spans="1:2" x14ac:dyDescent="0.3">
      <c r="A39" s="8">
        <v>43862</v>
      </c>
      <c r="B39" s="2">
        <v>1.52</v>
      </c>
    </row>
    <row r="40" spans="1:2" x14ac:dyDescent="0.3">
      <c r="A40" s="8">
        <v>43891</v>
      </c>
      <c r="B40" s="2">
        <v>0.28999999999999998</v>
      </c>
    </row>
    <row r="41" spans="1:2" x14ac:dyDescent="0.3">
      <c r="A41" s="8">
        <v>43922</v>
      </c>
      <c r="B41" s="2">
        <v>0.14000000000000001</v>
      </c>
    </row>
    <row r="42" spans="1:2" x14ac:dyDescent="0.3">
      <c r="A42" s="8">
        <v>43952</v>
      </c>
      <c r="B42" s="2">
        <v>0.13</v>
      </c>
    </row>
    <row r="43" spans="1:2" x14ac:dyDescent="0.3">
      <c r="A43" s="8">
        <v>43983</v>
      </c>
      <c r="B43" s="2">
        <v>0.16</v>
      </c>
    </row>
    <row r="44" spans="1:2" x14ac:dyDescent="0.3">
      <c r="A44" s="8">
        <v>44013</v>
      </c>
      <c r="B44" s="2">
        <v>0.13</v>
      </c>
    </row>
    <row r="45" spans="1:2" x14ac:dyDescent="0.3">
      <c r="A45" s="8">
        <v>44044</v>
      </c>
      <c r="B45" s="2">
        <v>0.1</v>
      </c>
    </row>
    <row r="46" spans="1:2" x14ac:dyDescent="0.3">
      <c r="A46" s="8">
        <v>44075</v>
      </c>
      <c r="B46" s="2">
        <v>0.11</v>
      </c>
    </row>
    <row r="47" spans="1:2" x14ac:dyDescent="0.3">
      <c r="A47" s="8">
        <v>44105</v>
      </c>
      <c r="B47" s="2">
        <v>0.1</v>
      </c>
    </row>
    <row r="48" spans="1:2" x14ac:dyDescent="0.3">
      <c r="A48" s="8">
        <v>44136</v>
      </c>
      <c r="B48" s="2">
        <v>0.09</v>
      </c>
    </row>
    <row r="49" spans="1:2" x14ac:dyDescent="0.3">
      <c r="A49" s="8">
        <v>44166</v>
      </c>
      <c r="B49" s="2">
        <v>0.09</v>
      </c>
    </row>
    <row r="50" spans="1:2" x14ac:dyDescent="0.3">
      <c r="A50" s="8">
        <v>44197</v>
      </c>
      <c r="B50" s="2">
        <v>0.08</v>
      </c>
    </row>
    <row r="51" spans="1:2" x14ac:dyDescent="0.3">
      <c r="A51" s="8">
        <v>44228</v>
      </c>
      <c r="B51" s="2">
        <v>0.04</v>
      </c>
    </row>
    <row r="52" spans="1:2" x14ac:dyDescent="0.3">
      <c r="A52" s="8">
        <v>44256</v>
      </c>
      <c r="B52" s="2">
        <v>0.03</v>
      </c>
    </row>
    <row r="53" spans="1:2" x14ac:dyDescent="0.3">
      <c r="A53" s="8">
        <v>44287</v>
      </c>
      <c r="B53" s="2">
        <v>0.02</v>
      </c>
    </row>
    <row r="54" spans="1:2" x14ac:dyDescent="0.3">
      <c r="A54" s="8">
        <v>44317</v>
      </c>
      <c r="B54" s="2">
        <v>0.02</v>
      </c>
    </row>
    <row r="55" spans="1:2" x14ac:dyDescent="0.3">
      <c r="A55" s="8">
        <v>44348</v>
      </c>
      <c r="B55" s="2">
        <v>0.04</v>
      </c>
    </row>
    <row r="56" spans="1:2" x14ac:dyDescent="0.3">
      <c r="A56" s="8">
        <v>44378</v>
      </c>
      <c r="B56" s="2">
        <v>0.05</v>
      </c>
    </row>
    <row r="57" spans="1:2" x14ac:dyDescent="0.3">
      <c r="A57" s="8">
        <v>44409</v>
      </c>
      <c r="B57" s="2">
        <v>0.05</v>
      </c>
    </row>
    <row r="58" spans="1:2" x14ac:dyDescent="0.3">
      <c r="A58" s="8">
        <v>44440</v>
      </c>
      <c r="B58" s="2">
        <v>0.04</v>
      </c>
    </row>
    <row r="59" spans="1:2" x14ac:dyDescent="0.3">
      <c r="A59" s="8">
        <v>44470</v>
      </c>
      <c r="B59" s="2">
        <v>0.05</v>
      </c>
    </row>
    <row r="60" spans="1:2" x14ac:dyDescent="0.3">
      <c r="A60" s="8">
        <v>44501</v>
      </c>
      <c r="B60" s="2">
        <v>0.05</v>
      </c>
    </row>
    <row r="61" spans="1:2" x14ac:dyDescent="0.3">
      <c r="A61" s="8">
        <v>44531</v>
      </c>
      <c r="B61" s="2">
        <v>0.06</v>
      </c>
    </row>
    <row r="62" spans="1:2" x14ac:dyDescent="0.3">
      <c r="A62" s="8">
        <v>44562</v>
      </c>
      <c r="B62" s="2">
        <v>0.15</v>
      </c>
    </row>
    <row r="63" spans="1:2" x14ac:dyDescent="0.3">
      <c r="A63" s="8">
        <v>44593</v>
      </c>
      <c r="B63" s="2">
        <v>0.33</v>
      </c>
    </row>
    <row r="64" spans="1:2" x14ac:dyDescent="0.3">
      <c r="A64" s="8">
        <v>44621</v>
      </c>
      <c r="B64" s="2">
        <v>0.44</v>
      </c>
    </row>
    <row r="65" spans="1:2" x14ac:dyDescent="0.3">
      <c r="A65" s="8">
        <v>44652</v>
      </c>
      <c r="B65" s="2">
        <v>0.76</v>
      </c>
    </row>
    <row r="66" spans="1:2" x14ac:dyDescent="0.3">
      <c r="A66" s="8">
        <v>44682</v>
      </c>
      <c r="B66" s="2">
        <v>0.98</v>
      </c>
    </row>
    <row r="67" spans="1:2" x14ac:dyDescent="0.3">
      <c r="A67" s="8">
        <v>44713</v>
      </c>
      <c r="B67" s="2">
        <v>1.49</v>
      </c>
    </row>
    <row r="68" spans="1:2" x14ac:dyDescent="0.3">
      <c r="A68" s="8">
        <v>44743</v>
      </c>
      <c r="B68" s="2">
        <v>2.23</v>
      </c>
    </row>
    <row r="69" spans="1:2" x14ac:dyDescent="0.3">
      <c r="A69" s="8">
        <v>44774</v>
      </c>
      <c r="B69" s="2">
        <v>2.63</v>
      </c>
    </row>
    <row r="70" spans="1:2" x14ac:dyDescent="0.3">
      <c r="A70" s="8">
        <v>44805</v>
      </c>
      <c r="B70" s="2">
        <v>3.13</v>
      </c>
    </row>
    <row r="71" spans="1:2" x14ac:dyDescent="0.3">
      <c r="A71" s="8">
        <v>44835</v>
      </c>
      <c r="B71" s="2">
        <v>3.72</v>
      </c>
    </row>
    <row r="72" spans="1:2" x14ac:dyDescent="0.3">
      <c r="A72" s="8">
        <v>44866</v>
      </c>
      <c r="B72" s="2">
        <v>4.1500000000000004</v>
      </c>
    </row>
    <row r="73" spans="1:2" x14ac:dyDescent="0.3">
      <c r="A73" s="8">
        <v>44896</v>
      </c>
      <c r="B73" s="2">
        <v>4.25</v>
      </c>
    </row>
    <row r="74" spans="1:2" x14ac:dyDescent="0.3">
      <c r="A74" s="8">
        <v>44927</v>
      </c>
      <c r="B74" s="2">
        <v>4.54</v>
      </c>
    </row>
    <row r="75" spans="1:2" x14ac:dyDescent="0.3">
      <c r="A75" s="8">
        <v>44958</v>
      </c>
      <c r="B75" s="2">
        <v>4.6500000000000004</v>
      </c>
    </row>
    <row r="76" spans="1:2" x14ac:dyDescent="0.3">
      <c r="A76" s="8">
        <v>44986</v>
      </c>
      <c r="B76" s="2">
        <v>4.6900000000000004</v>
      </c>
    </row>
    <row r="77" spans="1:2" x14ac:dyDescent="0.3">
      <c r="A77" s="8">
        <v>45017</v>
      </c>
      <c r="B77" s="2">
        <v>4.92</v>
      </c>
    </row>
    <row r="78" spans="1:2" x14ac:dyDescent="0.3">
      <c r="A78" s="8">
        <v>45047</v>
      </c>
      <c r="B78" s="2">
        <v>5.14</v>
      </c>
    </row>
    <row r="79" spans="1:2" x14ac:dyDescent="0.3">
      <c r="A79" s="8">
        <v>45078</v>
      </c>
      <c r="B79" s="2">
        <v>5.16</v>
      </c>
    </row>
    <row r="80" spans="1:2" x14ac:dyDescent="0.3">
      <c r="A80" s="8">
        <v>45108</v>
      </c>
      <c r="B80" s="2">
        <v>5.25</v>
      </c>
    </row>
    <row r="81" spans="1:2" x14ac:dyDescent="0.3">
      <c r="A81" s="8">
        <v>45139</v>
      </c>
      <c r="B81" s="2">
        <v>5.3</v>
      </c>
    </row>
    <row r="82" spans="1:2" x14ac:dyDescent="0.3">
      <c r="A82" s="8">
        <v>45170</v>
      </c>
      <c r="B82" s="2">
        <v>5.32</v>
      </c>
    </row>
    <row r="83" spans="1:2" x14ac:dyDescent="0.3">
      <c r="A83" s="8">
        <v>45200</v>
      </c>
      <c r="B83" s="2">
        <v>5.34</v>
      </c>
    </row>
    <row r="84" spans="1:2" x14ac:dyDescent="0.3">
      <c r="A84" s="8">
        <v>45231</v>
      </c>
      <c r="B84" s="2">
        <v>5.27</v>
      </c>
    </row>
    <row r="85" spans="1:2" x14ac:dyDescent="0.3">
      <c r="A85" s="8">
        <v>45261</v>
      </c>
      <c r="B85" s="2">
        <v>5.24</v>
      </c>
    </row>
    <row r="86" spans="1:2" x14ac:dyDescent="0.3">
      <c r="A86" s="8">
        <v>45292</v>
      </c>
      <c r="B86" s="2">
        <v>5.22</v>
      </c>
    </row>
    <row r="87" spans="1:2" x14ac:dyDescent="0.3">
      <c r="A87" s="8">
        <v>45323</v>
      </c>
      <c r="B87" s="2">
        <v>5.24</v>
      </c>
    </row>
    <row r="88" spans="1:2" x14ac:dyDescent="0.3">
      <c r="A88" s="8">
        <v>45352</v>
      </c>
      <c r="B88" s="2">
        <v>5.24</v>
      </c>
    </row>
    <row r="89" spans="1:2" x14ac:dyDescent="0.3">
      <c r="A89" s="8">
        <v>45383</v>
      </c>
      <c r="B89" s="2">
        <v>5.24</v>
      </c>
    </row>
    <row r="90" spans="1:2" x14ac:dyDescent="0.3">
      <c r="A90" s="8">
        <v>45413</v>
      </c>
      <c r="B90" s="2">
        <v>5.25</v>
      </c>
    </row>
    <row r="91" spans="1:2" x14ac:dyDescent="0.3">
      <c r="A91" s="8">
        <v>45444</v>
      </c>
      <c r="B91" s="2">
        <v>5.24</v>
      </c>
    </row>
    <row r="92" spans="1:2" x14ac:dyDescent="0.3">
      <c r="A92" s="8">
        <v>45474</v>
      </c>
      <c r="B92" s="2">
        <v>5.2</v>
      </c>
    </row>
    <row r="93" spans="1:2" x14ac:dyDescent="0.3">
      <c r="A93" s="8">
        <v>45505</v>
      </c>
      <c r="B93" s="2">
        <v>5.05</v>
      </c>
    </row>
    <row r="94" spans="1:2" x14ac:dyDescent="0.3">
      <c r="A94" s="8">
        <v>45536</v>
      </c>
      <c r="B94" s="2">
        <v>4.72</v>
      </c>
    </row>
    <row r="95" spans="1:2" x14ac:dyDescent="0.3">
      <c r="A95" s="8">
        <v>45566</v>
      </c>
      <c r="B95" s="2">
        <v>4.51</v>
      </c>
    </row>
    <row r="96" spans="1:2" x14ac:dyDescent="0.3">
      <c r="A96" s="8">
        <v>45597</v>
      </c>
      <c r="B96" s="2">
        <v>4.42</v>
      </c>
    </row>
    <row r="97" spans="1:2" x14ac:dyDescent="0.3">
      <c r="A97" s="8">
        <v>45627</v>
      </c>
      <c r="B97" s="2">
        <v>4.2699999999999996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4A3EA-F94D-4FD2-ABB1-88F94155DA26}">
  <dimension ref="A1:C97"/>
  <sheetViews>
    <sheetView workbookViewId="0">
      <selection activeCell="I17" sqref="I17"/>
    </sheetView>
  </sheetViews>
  <sheetFormatPr baseColWidth="10" defaultRowHeight="14.4" x14ac:dyDescent="0.3"/>
  <sheetData>
    <row r="1" spans="1:3" x14ac:dyDescent="0.3">
      <c r="A1" s="1" t="s">
        <v>0</v>
      </c>
      <c r="B1" s="1" t="s">
        <v>78</v>
      </c>
    </row>
    <row r="2" spans="1:3" x14ac:dyDescent="0.3">
      <c r="A2" t="s">
        <v>79</v>
      </c>
      <c r="B2" s="5"/>
      <c r="C2" t="b">
        <f>A2=China_All_Shares_Index_Monthly!A2</f>
        <v>1</v>
      </c>
    </row>
    <row r="3" spans="1:3" x14ac:dyDescent="0.3">
      <c r="A3" t="s">
        <v>80</v>
      </c>
      <c r="B3" s="5"/>
      <c r="C3" t="b">
        <f>A3=China_All_Shares_Index_Monthly!A3</f>
        <v>1</v>
      </c>
    </row>
    <row r="4" spans="1:3" x14ac:dyDescent="0.3">
      <c r="A4" t="s">
        <v>81</v>
      </c>
      <c r="B4" s="5"/>
      <c r="C4" t="b">
        <f>A4=China_All_Shares_Index_Monthly!A4</f>
        <v>1</v>
      </c>
    </row>
    <row r="5" spans="1:3" x14ac:dyDescent="0.3">
      <c r="A5" t="s">
        <v>82</v>
      </c>
      <c r="B5" s="5"/>
      <c r="C5" t="b">
        <f>A5=China_All_Shares_Index_Monthly!A5</f>
        <v>1</v>
      </c>
    </row>
    <row r="6" spans="1:3" x14ac:dyDescent="0.3">
      <c r="A6" t="s">
        <v>83</v>
      </c>
      <c r="B6" s="5"/>
      <c r="C6" t="b">
        <f>A6=China_All_Shares_Index_Monthly!A6</f>
        <v>1</v>
      </c>
    </row>
    <row r="7" spans="1:3" x14ac:dyDescent="0.3">
      <c r="A7" t="s">
        <v>84</v>
      </c>
      <c r="B7" s="5"/>
      <c r="C7" t="b">
        <f>A7=China_All_Shares_Index_Monthly!A7</f>
        <v>1</v>
      </c>
    </row>
    <row r="8" spans="1:3" x14ac:dyDescent="0.3">
      <c r="A8" t="s">
        <v>85</v>
      </c>
      <c r="B8" s="5"/>
      <c r="C8" t="b">
        <f>A8=China_All_Shares_Index_Monthly!A8</f>
        <v>1</v>
      </c>
    </row>
    <row r="9" spans="1:3" x14ac:dyDescent="0.3">
      <c r="A9" t="s">
        <v>86</v>
      </c>
      <c r="B9" s="5"/>
      <c r="C9" t="b">
        <f>A9=China_All_Shares_Index_Monthly!A9</f>
        <v>1</v>
      </c>
    </row>
    <row r="10" spans="1:3" x14ac:dyDescent="0.3">
      <c r="A10" t="s">
        <v>87</v>
      </c>
      <c r="B10" s="5"/>
      <c r="C10" t="b">
        <f>A10=China_All_Shares_Index_Monthly!A10</f>
        <v>1</v>
      </c>
    </row>
    <row r="11" spans="1:3" x14ac:dyDescent="0.3">
      <c r="A11" t="s">
        <v>88</v>
      </c>
      <c r="B11" s="5"/>
      <c r="C11" t="b">
        <f>A11=China_All_Shares_Index_Monthly!A11</f>
        <v>1</v>
      </c>
    </row>
    <row r="12" spans="1:3" x14ac:dyDescent="0.3">
      <c r="A12" t="s">
        <v>89</v>
      </c>
      <c r="B12" s="5"/>
      <c r="C12" t="b">
        <f>A12=China_All_Shares_Index_Monthly!A12</f>
        <v>1</v>
      </c>
    </row>
    <row r="13" spans="1:3" x14ac:dyDescent="0.3">
      <c r="A13" t="s">
        <v>90</v>
      </c>
      <c r="B13">
        <v>1048.52</v>
      </c>
      <c r="C13" t="b">
        <f>A13=China_All_Shares_Index_Monthly!A13</f>
        <v>1</v>
      </c>
    </row>
    <row r="14" spans="1:3" x14ac:dyDescent="0.3">
      <c r="A14" t="s">
        <v>91</v>
      </c>
      <c r="B14">
        <v>1150.57</v>
      </c>
      <c r="C14" t="b">
        <f>A14=China_All_Shares_Index_Monthly!A14</f>
        <v>1</v>
      </c>
    </row>
    <row r="15" spans="1:3" x14ac:dyDescent="0.3">
      <c r="A15" t="s">
        <v>92</v>
      </c>
      <c r="B15">
        <v>1105.23</v>
      </c>
      <c r="C15" t="b">
        <f>A15=China_All_Shares_Index_Monthly!A15</f>
        <v>1</v>
      </c>
    </row>
    <row r="16" spans="1:3" x14ac:dyDescent="0.3">
      <c r="A16" t="s">
        <v>93</v>
      </c>
      <c r="B16">
        <v>1067.3399999999999</v>
      </c>
      <c r="C16" t="b">
        <f>A16=China_All_Shares_Index_Monthly!A16</f>
        <v>1</v>
      </c>
    </row>
    <row r="17" spans="1:3" x14ac:dyDescent="0.3">
      <c r="A17" t="s">
        <v>94</v>
      </c>
      <c r="B17">
        <v>1025.92</v>
      </c>
      <c r="C17" t="b">
        <f>A17=China_All_Shares_Index_Monthly!A17</f>
        <v>1</v>
      </c>
    </row>
    <row r="18" spans="1:3" x14ac:dyDescent="0.3">
      <c r="A18" t="s">
        <v>95</v>
      </c>
      <c r="B18">
        <v>1075.67</v>
      </c>
      <c r="C18" t="b">
        <f>A18=China_All_Shares_Index_Monthly!A18</f>
        <v>1</v>
      </c>
    </row>
    <row r="19" spans="1:3" x14ac:dyDescent="0.3">
      <c r="A19" t="s">
        <v>96</v>
      </c>
      <c r="B19">
        <v>1020.17</v>
      </c>
      <c r="C19" t="b">
        <f>A19=China_All_Shares_Index_Monthly!A19</f>
        <v>1</v>
      </c>
    </row>
    <row r="20" spans="1:3" x14ac:dyDescent="0.3">
      <c r="A20" t="s">
        <v>97</v>
      </c>
      <c r="B20">
        <v>981.87</v>
      </c>
      <c r="C20" t="b">
        <f>A20=China_All_Shares_Index_Monthly!A20</f>
        <v>1</v>
      </c>
    </row>
    <row r="21" spans="1:3" x14ac:dyDescent="0.3">
      <c r="A21" t="s">
        <v>98</v>
      </c>
      <c r="B21">
        <v>910.11</v>
      </c>
      <c r="C21" t="b">
        <f>A21=China_All_Shares_Index_Monthly!A21</f>
        <v>1</v>
      </c>
    </row>
    <row r="22" spans="1:3" x14ac:dyDescent="0.3">
      <c r="A22" t="s">
        <v>99</v>
      </c>
      <c r="B22">
        <v>889.56</v>
      </c>
      <c r="C22" t="b">
        <f>A22=China_All_Shares_Index_Monthly!A22</f>
        <v>1</v>
      </c>
    </row>
    <row r="23" spans="1:3" x14ac:dyDescent="0.3">
      <c r="A23" t="s">
        <v>100</v>
      </c>
      <c r="B23">
        <v>770.51</v>
      </c>
      <c r="C23" t="b">
        <f>A23=China_All_Shares_Index_Monthly!A23</f>
        <v>1</v>
      </c>
    </row>
    <row r="24" spans="1:3" x14ac:dyDescent="0.3">
      <c r="A24" t="s">
        <v>101</v>
      </c>
      <c r="B24">
        <v>812.78</v>
      </c>
      <c r="C24" t="b">
        <f>A24=China_All_Shares_Index_Monthly!A24</f>
        <v>1</v>
      </c>
    </row>
    <row r="25" spans="1:3" x14ac:dyDescent="0.3">
      <c r="A25" t="s">
        <v>1</v>
      </c>
      <c r="B25">
        <v>781.37</v>
      </c>
      <c r="C25" t="b">
        <f>A25=China_All_Shares_Index_Monthly!A25</f>
        <v>1</v>
      </c>
    </row>
    <row r="26" spans="1:3" x14ac:dyDescent="0.3">
      <c r="A26" t="s">
        <v>2</v>
      </c>
      <c r="B26" s="2">
        <v>866.33</v>
      </c>
      <c r="C26" t="b">
        <f>A26=China_All_Shares_Index_Monthly!A26</f>
        <v>1</v>
      </c>
    </row>
    <row r="27" spans="1:3" x14ac:dyDescent="0.3">
      <c r="A27" t="s">
        <v>3</v>
      </c>
      <c r="B27" s="2">
        <v>945.62</v>
      </c>
      <c r="C27" t="b">
        <f>A27=China_All_Shares_Index_Monthly!A27</f>
        <v>1</v>
      </c>
    </row>
    <row r="28" spans="1:3" x14ac:dyDescent="0.3">
      <c r="A28" t="s">
        <v>4</v>
      </c>
      <c r="B28" s="2">
        <v>1008.77</v>
      </c>
      <c r="C28" t="b">
        <f>A28=China_All_Shares_Index_Monthly!A28</f>
        <v>1</v>
      </c>
    </row>
    <row r="29" spans="1:3" x14ac:dyDescent="0.3">
      <c r="A29" t="s">
        <v>5</v>
      </c>
      <c r="B29" s="2">
        <v>1019.58</v>
      </c>
      <c r="C29" t="b">
        <f>A29=China_All_Shares_Index_Monthly!A29</f>
        <v>1</v>
      </c>
    </row>
    <row r="30" spans="1:3" x14ac:dyDescent="0.3">
      <c r="A30" t="s">
        <v>6</v>
      </c>
      <c r="B30" s="2">
        <v>920.5</v>
      </c>
      <c r="C30" t="b">
        <f>A30=China_All_Shares_Index_Monthly!A30</f>
        <v>1</v>
      </c>
    </row>
    <row r="31" spans="1:3" x14ac:dyDescent="0.3">
      <c r="A31" t="s">
        <v>7</v>
      </c>
      <c r="B31" s="2">
        <v>1004.67</v>
      </c>
      <c r="C31" t="b">
        <f>A31=China_All_Shares_Index_Monthly!A31</f>
        <v>1</v>
      </c>
    </row>
    <row r="32" spans="1:3" x14ac:dyDescent="0.3">
      <c r="A32" t="s">
        <v>8</v>
      </c>
      <c r="B32" s="2">
        <v>1021.32</v>
      </c>
      <c r="C32" t="b">
        <f>A32=China_All_Shares_Index_Monthly!A32</f>
        <v>1</v>
      </c>
    </row>
    <row r="33" spans="1:3" x14ac:dyDescent="0.3">
      <c r="A33" t="s">
        <v>9</v>
      </c>
      <c r="B33" s="2">
        <v>987.64</v>
      </c>
      <c r="C33" t="b">
        <f>A33=China_All_Shares_Index_Monthly!A33</f>
        <v>1</v>
      </c>
    </row>
    <row r="34" spans="1:3" x14ac:dyDescent="0.3">
      <c r="A34" t="s">
        <v>10</v>
      </c>
      <c r="B34" s="2">
        <v>1006.27</v>
      </c>
      <c r="C34" t="b">
        <f>A34=China_All_Shares_Index_Monthly!A34</f>
        <v>1</v>
      </c>
    </row>
    <row r="35" spans="1:3" x14ac:dyDescent="0.3">
      <c r="A35" t="s">
        <v>11</v>
      </c>
      <c r="B35" s="2">
        <v>1054.23</v>
      </c>
      <c r="C35" t="b">
        <f>A35=China_All_Shares_Index_Monthly!A35</f>
        <v>1</v>
      </c>
    </row>
    <row r="36" spans="1:3" x14ac:dyDescent="0.3">
      <c r="A36" t="s">
        <v>12</v>
      </c>
      <c r="B36" s="2">
        <v>1075.29</v>
      </c>
      <c r="C36" t="b">
        <f>A36=China_All_Shares_Index_Monthly!A36</f>
        <v>1</v>
      </c>
    </row>
    <row r="37" spans="1:3" x14ac:dyDescent="0.3">
      <c r="A37" t="s">
        <v>13</v>
      </c>
      <c r="B37" s="2">
        <v>1169.72</v>
      </c>
      <c r="C37" t="b">
        <f>A37=China_All_Shares_Index_Monthly!A37</f>
        <v>1</v>
      </c>
    </row>
    <row r="38" spans="1:3" x14ac:dyDescent="0.3">
      <c r="A38" t="s">
        <v>70</v>
      </c>
      <c r="B38" s="2">
        <v>1185.94</v>
      </c>
      <c r="C38" t="b">
        <f>A38=China_All_Shares_Index_Monthly!A38</f>
        <v>1</v>
      </c>
    </row>
    <row r="39" spans="1:3" x14ac:dyDescent="0.3">
      <c r="A39" t="s">
        <v>14</v>
      </c>
      <c r="B39" s="2">
        <v>1164.06</v>
      </c>
      <c r="C39" t="b">
        <f>A39=China_All_Shares_Index_Monthly!A39</f>
        <v>1</v>
      </c>
    </row>
    <row r="40" spans="1:3" x14ac:dyDescent="0.3">
      <c r="A40" t="s">
        <v>15</v>
      </c>
      <c r="B40" s="2">
        <v>1075.29</v>
      </c>
      <c r="C40" t="b">
        <f>A40=China_All_Shares_Index_Monthly!A40</f>
        <v>1</v>
      </c>
    </row>
    <row r="41" spans="1:3" x14ac:dyDescent="0.3">
      <c r="A41" t="s">
        <v>71</v>
      </c>
      <c r="B41" s="2">
        <v>1175.05</v>
      </c>
      <c r="C41" t="b">
        <f>A41=China_All_Shares_Index_Monthly!A41</f>
        <v>1</v>
      </c>
    </row>
    <row r="42" spans="1:3" x14ac:dyDescent="0.3">
      <c r="A42" t="s">
        <v>16</v>
      </c>
      <c r="B42" s="2">
        <v>1206.78</v>
      </c>
      <c r="C42" t="b">
        <f>A42=China_All_Shares_Index_Monthly!A42</f>
        <v>1</v>
      </c>
    </row>
    <row r="43" spans="1:3" x14ac:dyDescent="0.3">
      <c r="A43" t="s">
        <v>17</v>
      </c>
      <c r="B43" s="2">
        <v>1361.65</v>
      </c>
      <c r="C43" t="b">
        <f>A43=China_All_Shares_Index_Monthly!A43</f>
        <v>1</v>
      </c>
    </row>
    <row r="44" spans="1:3" x14ac:dyDescent="0.3">
      <c r="A44" t="s">
        <v>18</v>
      </c>
      <c r="B44" s="2">
        <v>1549.78</v>
      </c>
      <c r="C44" t="b">
        <f>A44=China_All_Shares_Index_Monthly!A44</f>
        <v>1</v>
      </c>
    </row>
    <row r="45" spans="1:3" x14ac:dyDescent="0.3">
      <c r="A45" t="s">
        <v>19</v>
      </c>
      <c r="B45" s="2">
        <v>1616.83</v>
      </c>
      <c r="C45" t="b">
        <f>A45=China_All_Shares_Index_Monthly!A45</f>
        <v>1</v>
      </c>
    </row>
    <row r="46" spans="1:3" x14ac:dyDescent="0.3">
      <c r="A46" t="s">
        <v>20</v>
      </c>
      <c r="B46" s="2">
        <v>1577.54</v>
      </c>
      <c r="C46" t="b">
        <f>A46=China_All_Shares_Index_Monthly!A46</f>
        <v>1</v>
      </c>
    </row>
    <row r="47" spans="1:3" x14ac:dyDescent="0.3">
      <c r="A47" t="s">
        <v>21</v>
      </c>
      <c r="B47" s="2">
        <v>1661.29</v>
      </c>
      <c r="C47" t="b">
        <f>A47=China_All_Shares_Index_Monthly!A47</f>
        <v>1</v>
      </c>
    </row>
    <row r="48" spans="1:3" x14ac:dyDescent="0.3">
      <c r="A48" t="s">
        <v>22</v>
      </c>
      <c r="B48" s="2">
        <v>1739.37</v>
      </c>
      <c r="C48" t="b">
        <f>A48=China_All_Shares_Index_Monthly!A48</f>
        <v>1</v>
      </c>
    </row>
    <row r="49" spans="1:3" x14ac:dyDescent="0.3">
      <c r="A49" t="s">
        <v>23</v>
      </c>
      <c r="B49" s="2">
        <v>1898.18</v>
      </c>
      <c r="C49" t="b">
        <f>A49=China_All_Shares_Index_Monthly!A49</f>
        <v>1</v>
      </c>
    </row>
    <row r="50" spans="1:3" x14ac:dyDescent="0.3">
      <c r="A50" t="s">
        <v>24</v>
      </c>
      <c r="B50" s="2">
        <v>2015.2</v>
      </c>
      <c r="C50" t="b">
        <f>A50=China_All_Shares_Index_Monthly!A50</f>
        <v>1</v>
      </c>
    </row>
    <row r="51" spans="1:3" x14ac:dyDescent="0.3">
      <c r="A51" t="s">
        <v>25</v>
      </c>
      <c r="B51" s="2">
        <v>1952.14</v>
      </c>
      <c r="C51" t="b">
        <f>A51=China_All_Shares_Index_Monthly!A51</f>
        <v>1</v>
      </c>
    </row>
    <row r="52" spans="1:3" x14ac:dyDescent="0.3">
      <c r="A52" t="s">
        <v>26</v>
      </c>
      <c r="B52" s="2">
        <v>1821.97</v>
      </c>
      <c r="C52" t="b">
        <f>A52=China_All_Shares_Index_Monthly!A52</f>
        <v>1</v>
      </c>
    </row>
    <row r="53" spans="1:3" x14ac:dyDescent="0.3">
      <c r="A53" t="s">
        <v>27</v>
      </c>
      <c r="B53" s="2">
        <v>1921.86</v>
      </c>
      <c r="C53" t="b">
        <f>A53=China_All_Shares_Index_Monthly!A53</f>
        <v>1</v>
      </c>
    </row>
    <row r="54" spans="1:3" x14ac:dyDescent="0.3">
      <c r="A54" t="s">
        <v>72</v>
      </c>
      <c r="B54" s="2">
        <v>1974.87</v>
      </c>
      <c r="C54" t="b">
        <f>A54=China_All_Shares_Index_Monthly!A54</f>
        <v>1</v>
      </c>
    </row>
    <row r="55" spans="1:3" x14ac:dyDescent="0.3">
      <c r="A55" t="s">
        <v>73</v>
      </c>
      <c r="B55" s="2">
        <v>2018.32</v>
      </c>
      <c r="C55" t="b">
        <f>A55=China_All_Shares_Index_Monthly!A55</f>
        <v>1</v>
      </c>
    </row>
    <row r="56" spans="1:3" x14ac:dyDescent="0.3">
      <c r="A56" t="s">
        <v>28</v>
      </c>
      <c r="B56" s="2">
        <v>1785.15</v>
      </c>
      <c r="C56" t="b">
        <f>A56=China_All_Shares_Index_Monthly!A56</f>
        <v>1</v>
      </c>
    </row>
    <row r="57" spans="1:3" x14ac:dyDescent="0.3">
      <c r="A57" t="s">
        <v>29</v>
      </c>
      <c r="B57" s="2">
        <v>1752.86</v>
      </c>
      <c r="C57" t="b">
        <f>A57=China_All_Shares_Index_Monthly!A57</f>
        <v>1</v>
      </c>
    </row>
    <row r="58" spans="1:3" x14ac:dyDescent="0.3">
      <c r="A58" t="s">
        <v>30</v>
      </c>
      <c r="B58" s="2">
        <v>1701.36</v>
      </c>
      <c r="C58" t="b">
        <f>A58=China_All_Shares_Index_Monthly!A58</f>
        <v>1</v>
      </c>
    </row>
    <row r="59" spans="1:3" x14ac:dyDescent="0.3">
      <c r="A59" t="s">
        <v>31</v>
      </c>
      <c r="B59" s="2">
        <v>1765.49</v>
      </c>
      <c r="C59" t="b">
        <f>A59=China_All_Shares_Index_Monthly!A59</f>
        <v>1</v>
      </c>
    </row>
    <row r="60" spans="1:3" x14ac:dyDescent="0.3">
      <c r="A60" t="s">
        <v>32</v>
      </c>
      <c r="B60" s="2">
        <v>1692.88</v>
      </c>
      <c r="C60" t="b">
        <f>A60=China_All_Shares_Index_Monthly!A60</f>
        <v>1</v>
      </c>
    </row>
    <row r="61" spans="1:3" x14ac:dyDescent="0.3">
      <c r="A61" t="s">
        <v>33</v>
      </c>
      <c r="B61" s="2">
        <v>1665.76</v>
      </c>
      <c r="C61" t="b">
        <f>A61=China_All_Shares_Index_Monthly!A61</f>
        <v>1</v>
      </c>
    </row>
    <row r="62" spans="1:3" x14ac:dyDescent="0.3">
      <c r="A62" t="s">
        <v>74</v>
      </c>
      <c r="B62" s="2">
        <v>1560.55</v>
      </c>
      <c r="C62" t="b">
        <f>A62=China_All_Shares_Index_Monthly!A62</f>
        <v>1</v>
      </c>
    </row>
    <row r="63" spans="1:3" x14ac:dyDescent="0.3">
      <c r="A63" t="s">
        <v>34</v>
      </c>
      <c r="B63" s="2">
        <v>1544.53</v>
      </c>
      <c r="C63" t="b">
        <f>A63=China_All_Shares_Index_Monthly!A63</f>
        <v>1</v>
      </c>
    </row>
    <row r="64" spans="1:3" x14ac:dyDescent="0.3">
      <c r="A64" t="s">
        <v>35</v>
      </c>
      <c r="B64" s="2">
        <v>1387.86</v>
      </c>
      <c r="C64" t="b">
        <f>A64=China_All_Shares_Index_Monthly!A64</f>
        <v>1</v>
      </c>
    </row>
    <row r="65" spans="1:3" x14ac:dyDescent="0.3">
      <c r="A65" t="s">
        <v>36</v>
      </c>
      <c r="B65" s="2">
        <v>1308.42</v>
      </c>
      <c r="C65" t="b">
        <f>A65=China_All_Shares_Index_Monthly!A65</f>
        <v>1</v>
      </c>
    </row>
    <row r="66" spans="1:3" x14ac:dyDescent="0.3">
      <c r="A66" t="s">
        <v>37</v>
      </c>
      <c r="B66" s="2">
        <v>1317.75</v>
      </c>
      <c r="C66" t="b">
        <f>A66=China_All_Shares_Index_Monthly!A66</f>
        <v>1</v>
      </c>
    </row>
    <row r="67" spans="1:3" x14ac:dyDescent="0.3">
      <c r="A67" t="s">
        <v>75</v>
      </c>
      <c r="B67" s="2">
        <v>1397.64</v>
      </c>
      <c r="C67" t="b">
        <f>A67=China_All_Shares_Index_Monthly!A67</f>
        <v>1</v>
      </c>
    </row>
    <row r="68" spans="1:3" x14ac:dyDescent="0.3">
      <c r="A68" t="s">
        <v>38</v>
      </c>
      <c r="B68" s="2">
        <v>1295.1099999999999</v>
      </c>
      <c r="C68" t="b">
        <f>A68=China_All_Shares_Index_Monthly!A68</f>
        <v>1</v>
      </c>
    </row>
    <row r="69" spans="1:3" x14ac:dyDescent="0.3">
      <c r="A69" t="s">
        <v>39</v>
      </c>
      <c r="B69" s="2">
        <v>1268.95</v>
      </c>
      <c r="C69" t="b">
        <f>A69=China_All_Shares_Index_Monthly!A69</f>
        <v>1</v>
      </c>
    </row>
    <row r="70" spans="1:3" x14ac:dyDescent="0.3">
      <c r="A70" t="s">
        <v>40</v>
      </c>
      <c r="B70" s="2">
        <v>1119.03</v>
      </c>
      <c r="C70" t="b">
        <f>A70=China_All_Shares_Index_Monthly!A70</f>
        <v>1</v>
      </c>
    </row>
    <row r="71" spans="1:3" x14ac:dyDescent="0.3">
      <c r="A71" t="s">
        <v>41</v>
      </c>
      <c r="B71" s="2">
        <v>952.34</v>
      </c>
      <c r="C71" t="b">
        <f>A71=China_All_Shares_Index_Monthly!A71</f>
        <v>1</v>
      </c>
    </row>
    <row r="72" spans="1:3" x14ac:dyDescent="0.3">
      <c r="A72" t="s">
        <v>42</v>
      </c>
      <c r="B72" s="2">
        <v>1127.3900000000001</v>
      </c>
      <c r="C72" t="b">
        <f>A72=China_All_Shares_Index_Monthly!A72</f>
        <v>1</v>
      </c>
    </row>
    <row r="73" spans="1:3" x14ac:dyDescent="0.3">
      <c r="A73" t="s">
        <v>43</v>
      </c>
      <c r="B73" s="2">
        <v>1186.22</v>
      </c>
      <c r="C73" t="b">
        <f>A73=China_All_Shares_Index_Monthly!A73</f>
        <v>1</v>
      </c>
    </row>
    <row r="74" spans="1:3" x14ac:dyDescent="0.3">
      <c r="A74" t="s">
        <v>44</v>
      </c>
      <c r="B74" s="2">
        <v>1303.73</v>
      </c>
      <c r="C74" t="b">
        <f>A74=China_All_Shares_Index_Monthly!A74</f>
        <v>1</v>
      </c>
    </row>
    <row r="75" spans="1:3" x14ac:dyDescent="0.3">
      <c r="A75" t="s">
        <v>45</v>
      </c>
      <c r="B75" s="2">
        <v>1176.22</v>
      </c>
      <c r="C75" t="b">
        <f>A75=China_All_Shares_Index_Monthly!A75</f>
        <v>1</v>
      </c>
    </row>
    <row r="76" spans="1:3" x14ac:dyDescent="0.3">
      <c r="A76" t="s">
        <v>46</v>
      </c>
      <c r="B76" s="2">
        <v>1199.74</v>
      </c>
      <c r="C76" t="b">
        <f>A76=China_All_Shares_Index_Monthly!A76</f>
        <v>1</v>
      </c>
    </row>
    <row r="77" spans="1:3" x14ac:dyDescent="0.3">
      <c r="A77" t="s">
        <v>47</v>
      </c>
      <c r="B77" s="2">
        <v>1132.26</v>
      </c>
      <c r="C77" t="b">
        <f>A77=China_All_Shares_Index_Monthly!A77</f>
        <v>1</v>
      </c>
    </row>
    <row r="78" spans="1:3" x14ac:dyDescent="0.3">
      <c r="A78" t="s">
        <v>48</v>
      </c>
      <c r="B78" s="2">
        <v>1034.03</v>
      </c>
      <c r="C78" t="b">
        <f>A78=China_All_Shares_Index_Monthly!A78</f>
        <v>1</v>
      </c>
    </row>
    <row r="79" spans="1:3" x14ac:dyDescent="0.3">
      <c r="A79" t="s">
        <v>49</v>
      </c>
      <c r="B79" s="2">
        <v>1061.74</v>
      </c>
      <c r="C79" t="b">
        <f>A79=China_All_Shares_Index_Monthly!A79</f>
        <v>1</v>
      </c>
    </row>
    <row r="80" spans="1:3" x14ac:dyDescent="0.3">
      <c r="A80" t="s">
        <v>50</v>
      </c>
      <c r="B80" s="2">
        <v>1152.8</v>
      </c>
      <c r="C80" t="b">
        <f>A80=China_All_Shares_Index_Monthly!A80</f>
        <v>1</v>
      </c>
    </row>
    <row r="81" spans="1:3" x14ac:dyDescent="0.3">
      <c r="A81" t="s">
        <v>51</v>
      </c>
      <c r="B81" s="2">
        <v>1060.42</v>
      </c>
      <c r="C81" t="b">
        <f>A81=China_All_Shares_Index_Monthly!A81</f>
        <v>1</v>
      </c>
    </row>
    <row r="82" spans="1:3" x14ac:dyDescent="0.3">
      <c r="A82" t="s">
        <v>76</v>
      </c>
      <c r="B82" s="2">
        <v>1007.35</v>
      </c>
      <c r="C82" t="b">
        <f>A82=China_All_Shares_Index_Monthly!A82</f>
        <v>1</v>
      </c>
    </row>
    <row r="83" spans="1:3" x14ac:dyDescent="0.3">
      <c r="A83" t="s">
        <v>52</v>
      </c>
      <c r="B83" s="2">
        <v>974.11</v>
      </c>
      <c r="C83" t="b">
        <f>A83=China_All_Shares_Index_Monthly!A83</f>
        <v>1</v>
      </c>
    </row>
    <row r="84" spans="1:3" x14ac:dyDescent="0.3">
      <c r="A84" t="s">
        <v>53</v>
      </c>
      <c r="B84" s="2">
        <v>994.8</v>
      </c>
      <c r="C84" t="b">
        <f>A84=China_All_Shares_Index_Monthly!A84</f>
        <v>1</v>
      </c>
    </row>
    <row r="85" spans="1:3" x14ac:dyDescent="0.3">
      <c r="A85" t="s">
        <v>54</v>
      </c>
      <c r="B85" s="2">
        <v>953.58</v>
      </c>
      <c r="C85" t="b">
        <f>A85=China_All_Shares_Index_Monthly!A85</f>
        <v>1</v>
      </c>
    </row>
    <row r="86" spans="1:3" x14ac:dyDescent="0.3">
      <c r="A86" t="s">
        <v>55</v>
      </c>
      <c r="B86" s="2">
        <v>841.38</v>
      </c>
      <c r="C86" t="b">
        <f>A86=China_All_Shares_Index_Monthly!A86</f>
        <v>1</v>
      </c>
    </row>
    <row r="87" spans="1:3" x14ac:dyDescent="0.3">
      <c r="A87" t="s">
        <v>56</v>
      </c>
      <c r="B87" s="2">
        <v>921.22</v>
      </c>
      <c r="C87" t="b">
        <f>A87=China_All_Shares_Index_Monthly!A87</f>
        <v>1</v>
      </c>
    </row>
    <row r="88" spans="1:3" x14ac:dyDescent="0.3">
      <c r="A88" t="s">
        <v>77</v>
      </c>
      <c r="B88" s="2">
        <v>927.21</v>
      </c>
      <c r="C88" t="b">
        <f>A88=China_All_Shares_Index_Monthly!A88</f>
        <v>1</v>
      </c>
    </row>
    <row r="89" spans="1:3" x14ac:dyDescent="0.3">
      <c r="A89" t="s">
        <v>57</v>
      </c>
      <c r="B89" s="2">
        <v>980.27</v>
      </c>
      <c r="C89" t="b">
        <f>A89=China_All_Shares_Index_Monthly!A89</f>
        <v>1</v>
      </c>
    </row>
    <row r="90" spans="1:3" x14ac:dyDescent="0.3">
      <c r="A90" t="s">
        <v>58</v>
      </c>
      <c r="B90" s="2">
        <v>982.37</v>
      </c>
      <c r="C90" t="b">
        <f>A90=China_All_Shares_Index_Monthly!A90</f>
        <v>1</v>
      </c>
    </row>
    <row r="91" spans="1:3" x14ac:dyDescent="0.3">
      <c r="A91" t="s">
        <v>59</v>
      </c>
      <c r="B91" s="2">
        <v>969.49</v>
      </c>
      <c r="C91" t="b">
        <f>A91=China_All_Shares_Index_Monthly!A91</f>
        <v>1</v>
      </c>
    </row>
    <row r="92" spans="1:3" x14ac:dyDescent="0.3">
      <c r="A92" t="s">
        <v>60</v>
      </c>
      <c r="B92" s="2">
        <v>953.52</v>
      </c>
      <c r="C92" t="b">
        <f>A92=China_All_Shares_Index_Monthly!A92</f>
        <v>1</v>
      </c>
    </row>
    <row r="93" spans="1:3" x14ac:dyDescent="0.3">
      <c r="A93" t="s">
        <v>61</v>
      </c>
      <c r="B93" s="2">
        <v>955.56</v>
      </c>
      <c r="C93" t="b">
        <f>A93=China_All_Shares_Index_Monthly!A93</f>
        <v>1</v>
      </c>
    </row>
    <row r="94" spans="1:3" x14ac:dyDescent="0.3">
      <c r="A94" t="s">
        <v>62</v>
      </c>
      <c r="B94" s="2">
        <v>1157.43</v>
      </c>
      <c r="C94" t="b">
        <f>A94=China_All_Shares_Index_Monthly!A94</f>
        <v>1</v>
      </c>
    </row>
    <row r="95" spans="1:3" x14ac:dyDescent="0.3">
      <c r="A95" t="s">
        <v>63</v>
      </c>
      <c r="B95" s="2">
        <v>1095.02</v>
      </c>
      <c r="C95" t="b">
        <f>A95=China_All_Shares_Index_Monthly!A95</f>
        <v>1</v>
      </c>
    </row>
    <row r="96" spans="1:3" x14ac:dyDescent="0.3">
      <c r="A96" t="s">
        <v>64</v>
      </c>
      <c r="B96" s="2">
        <v>1050.71</v>
      </c>
      <c r="C96" t="b">
        <f>A96=China_All_Shares_Index_Monthly!A96</f>
        <v>1</v>
      </c>
    </row>
    <row r="97" spans="1:3" x14ac:dyDescent="0.3">
      <c r="A97" t="s">
        <v>65</v>
      </c>
      <c r="B97" s="2">
        <v>1068.75</v>
      </c>
      <c r="C97" t="b">
        <f>A97=China_All_Shares_Index_Monthly!A97</f>
        <v>1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2B3C3-06B3-4791-A4E4-8C03C0A0779C}">
  <dimension ref="A1:B97"/>
  <sheetViews>
    <sheetView workbookViewId="0">
      <selection activeCell="B13" sqref="B13"/>
    </sheetView>
  </sheetViews>
  <sheetFormatPr baseColWidth="10" defaultRowHeight="14.4" x14ac:dyDescent="0.3"/>
  <sheetData>
    <row r="1" spans="1:2" ht="43.2" x14ac:dyDescent="0.3">
      <c r="A1" s="4" t="s">
        <v>0</v>
      </c>
      <c r="B1" s="3" t="s">
        <v>66</v>
      </c>
    </row>
    <row r="2" spans="1:2" x14ac:dyDescent="0.3">
      <c r="A2" t="s">
        <v>79</v>
      </c>
      <c r="B2">
        <v>2149.7993219999998</v>
      </c>
    </row>
    <row r="3" spans="1:2" x14ac:dyDescent="0.3">
      <c r="A3" t="s">
        <v>80</v>
      </c>
      <c r="B3">
        <v>2217.0619000000002</v>
      </c>
    </row>
    <row r="4" spans="1:2" x14ac:dyDescent="0.3">
      <c r="A4" t="s">
        <v>81</v>
      </c>
      <c r="B4">
        <v>2239.7489959999998</v>
      </c>
    </row>
    <row r="5" spans="1:2" x14ac:dyDescent="0.3">
      <c r="A5" t="s">
        <v>82</v>
      </c>
      <c r="B5">
        <v>2267.740436</v>
      </c>
    </row>
    <row r="6" spans="1:2" x14ac:dyDescent="0.3">
      <c r="A6" t="s">
        <v>83</v>
      </c>
      <c r="B6">
        <v>2348.0891799999999</v>
      </c>
    </row>
    <row r="7" spans="1:2" x14ac:dyDescent="0.3">
      <c r="A7" t="s">
        <v>84</v>
      </c>
      <c r="B7">
        <v>2438.2965939999999</v>
      </c>
    </row>
    <row r="8" spans="1:2" x14ac:dyDescent="0.3">
      <c r="A8" t="s">
        <v>85</v>
      </c>
      <c r="B8">
        <v>2600.3517000000002</v>
      </c>
    </row>
    <row r="9" spans="1:2" x14ac:dyDescent="0.3">
      <c r="A9" t="s">
        <v>86</v>
      </c>
      <c r="B9">
        <v>2708.5940999999998</v>
      </c>
    </row>
    <row r="10" spans="1:2" x14ac:dyDescent="0.3">
      <c r="A10" t="s">
        <v>87</v>
      </c>
      <c r="B10">
        <v>2726.8438019999999</v>
      </c>
    </row>
    <row r="11" spans="1:2" x14ac:dyDescent="0.3">
      <c r="A11" t="s">
        <v>88</v>
      </c>
      <c r="B11">
        <v>2831.2255140000002</v>
      </c>
    </row>
    <row r="12" spans="1:2" x14ac:dyDescent="0.3">
      <c r="A12" t="s">
        <v>89</v>
      </c>
      <c r="B12">
        <v>2827.7891749999999</v>
      </c>
    </row>
    <row r="13" spans="1:2" x14ac:dyDescent="0.3">
      <c r="A13" t="s">
        <v>90</v>
      </c>
      <c r="B13">
        <v>2884.6746760000001</v>
      </c>
    </row>
    <row r="14" spans="1:2" x14ac:dyDescent="0.3">
      <c r="A14" t="s">
        <v>91</v>
      </c>
      <c r="B14">
        <v>3199.3006559999999</v>
      </c>
    </row>
    <row r="15" spans="1:2" x14ac:dyDescent="0.3">
      <c r="A15" t="s">
        <v>92</v>
      </c>
      <c r="B15">
        <v>2990.1855390000001</v>
      </c>
    </row>
    <row r="16" spans="1:2" x14ac:dyDescent="0.3">
      <c r="A16" t="s">
        <v>93</v>
      </c>
      <c r="B16">
        <v>2904.7636990000001</v>
      </c>
    </row>
    <row r="17" spans="1:2" x14ac:dyDescent="0.3">
      <c r="A17" t="s">
        <v>94</v>
      </c>
      <c r="B17">
        <v>2851.3337700000002</v>
      </c>
    </row>
    <row r="18" spans="1:2" x14ac:dyDescent="0.3">
      <c r="A18" t="s">
        <v>95</v>
      </c>
      <c r="B18">
        <v>2875.992319</v>
      </c>
    </row>
    <row r="19" spans="1:2" x14ac:dyDescent="0.3">
      <c r="A19" t="s">
        <v>96</v>
      </c>
      <c r="B19">
        <v>2671.4636390000001</v>
      </c>
    </row>
    <row r="20" spans="1:2" x14ac:dyDescent="0.3">
      <c r="A20" t="s">
        <v>97</v>
      </c>
      <c r="B20">
        <v>2609.0936769999998</v>
      </c>
    </row>
    <row r="21" spans="1:2" x14ac:dyDescent="0.3">
      <c r="A21" t="s">
        <v>98</v>
      </c>
      <c r="B21">
        <v>2488.3975540000001</v>
      </c>
    </row>
    <row r="22" spans="1:2" x14ac:dyDescent="0.3">
      <c r="A22" t="s">
        <v>99</v>
      </c>
      <c r="B22">
        <v>2485.9787809999998</v>
      </c>
    </row>
    <row r="23" spans="1:2" x14ac:dyDescent="0.3">
      <c r="A23" t="s">
        <v>100</v>
      </c>
      <c r="B23">
        <v>2214.35086</v>
      </c>
    </row>
    <row r="24" spans="1:2" x14ac:dyDescent="0.3">
      <c r="A24" t="s">
        <v>101</v>
      </c>
      <c r="B24">
        <v>2329.8148940000001</v>
      </c>
    </row>
    <row r="25" spans="1:2" x14ac:dyDescent="0.3">
      <c r="A25" t="s">
        <v>1</v>
      </c>
      <c r="B25">
        <v>2213.3058249999999</v>
      </c>
    </row>
    <row r="26" spans="1:2" x14ac:dyDescent="0.3">
      <c r="A26" t="s">
        <v>2</v>
      </c>
      <c r="B26">
        <v>2438.6662289999999</v>
      </c>
    </row>
    <row r="27" spans="1:2" x14ac:dyDescent="0.3">
      <c r="A27" t="s">
        <v>3</v>
      </c>
      <c r="B27">
        <v>2614.024324</v>
      </c>
    </row>
    <row r="28" spans="1:2" x14ac:dyDescent="0.3">
      <c r="A28" t="s">
        <v>4</v>
      </c>
      <c r="B28">
        <v>2706.760902</v>
      </c>
    </row>
    <row r="29" spans="1:2" x14ac:dyDescent="0.3">
      <c r="A29" t="s">
        <v>5</v>
      </c>
      <c r="B29">
        <v>2745.8384040000001</v>
      </c>
    </row>
    <row r="30" spans="1:2" x14ac:dyDescent="0.3">
      <c r="A30" t="s">
        <v>6</v>
      </c>
      <c r="B30">
        <v>2428.9438060000002</v>
      </c>
    </row>
    <row r="31" spans="1:2" x14ac:dyDescent="0.3">
      <c r="A31" t="s">
        <v>7</v>
      </c>
      <c r="B31">
        <v>2602.3552079999999</v>
      </c>
    </row>
    <row r="32" spans="1:2" x14ac:dyDescent="0.3">
      <c r="A32" t="s">
        <v>8</v>
      </c>
      <c r="B32">
        <v>2597.8708379999998</v>
      </c>
    </row>
    <row r="33" spans="1:2" x14ac:dyDescent="0.3">
      <c r="A33" t="s">
        <v>9</v>
      </c>
      <c r="B33">
        <v>2494.9384369999998</v>
      </c>
    </row>
    <row r="34" spans="1:2" x14ac:dyDescent="0.3">
      <c r="A34" t="s">
        <v>10</v>
      </c>
      <c r="B34">
        <v>2498.284971</v>
      </c>
    </row>
    <row r="35" spans="1:2" x14ac:dyDescent="0.3">
      <c r="A35" t="s">
        <v>11</v>
      </c>
      <c r="B35">
        <v>2590.525185</v>
      </c>
    </row>
    <row r="36" spans="1:2" x14ac:dyDescent="0.3">
      <c r="A36" t="s">
        <v>12</v>
      </c>
      <c r="B36">
        <v>2609.714273</v>
      </c>
    </row>
    <row r="37" spans="1:2" x14ac:dyDescent="0.3">
      <c r="A37" t="s">
        <v>13</v>
      </c>
      <c r="B37">
        <v>2824.911889</v>
      </c>
    </row>
    <row r="38" spans="1:2" x14ac:dyDescent="0.3">
      <c r="A38" t="s">
        <v>70</v>
      </c>
      <c r="B38">
        <v>2730.3153130000001</v>
      </c>
    </row>
    <row r="39" spans="1:2" x14ac:dyDescent="0.3">
      <c r="A39" t="s">
        <v>14</v>
      </c>
      <c r="B39">
        <v>2732.7964059999999</v>
      </c>
    </row>
    <row r="40" spans="1:2" x14ac:dyDescent="0.3">
      <c r="A40" t="s">
        <v>15</v>
      </c>
      <c r="B40">
        <v>2545.8421119999998</v>
      </c>
    </row>
    <row r="41" spans="1:2" x14ac:dyDescent="0.3">
      <c r="A41" t="s">
        <v>71</v>
      </c>
      <c r="B41">
        <v>2713.7094959999999</v>
      </c>
    </row>
    <row r="42" spans="1:2" x14ac:dyDescent="0.3">
      <c r="A42" t="s">
        <v>16</v>
      </c>
      <c r="B42">
        <v>2688.9434609999998</v>
      </c>
    </row>
    <row r="43" spans="1:2" x14ac:dyDescent="0.3">
      <c r="A43" t="s">
        <v>17</v>
      </c>
      <c r="B43">
        <v>2938.8521369999999</v>
      </c>
    </row>
    <row r="44" spans="1:2" x14ac:dyDescent="0.3">
      <c r="A44" t="s">
        <v>18</v>
      </c>
      <c r="B44">
        <v>3270.1075129999999</v>
      </c>
    </row>
    <row r="45" spans="1:2" x14ac:dyDescent="0.3">
      <c r="A45" t="s">
        <v>19</v>
      </c>
      <c r="B45">
        <v>3442.462661</v>
      </c>
    </row>
    <row r="46" spans="1:2" x14ac:dyDescent="0.3">
      <c r="A46" t="s">
        <v>20</v>
      </c>
      <c r="B46">
        <v>3324.2090699999999</v>
      </c>
    </row>
    <row r="47" spans="1:2" x14ac:dyDescent="0.3">
      <c r="A47" t="s">
        <v>21</v>
      </c>
      <c r="B47">
        <v>3481.47723</v>
      </c>
    </row>
    <row r="48" spans="1:2" x14ac:dyDescent="0.3">
      <c r="A48" t="s">
        <v>22</v>
      </c>
      <c r="B48">
        <v>3618.2460040000001</v>
      </c>
    </row>
    <row r="49" spans="1:2" x14ac:dyDescent="0.3">
      <c r="A49" t="s">
        <v>23</v>
      </c>
      <c r="B49">
        <v>3768.8008570000002</v>
      </c>
    </row>
    <row r="50" spans="1:2" x14ac:dyDescent="0.3">
      <c r="A50" t="s">
        <v>24</v>
      </c>
      <c r="B50">
        <v>4005.389999</v>
      </c>
    </row>
    <row r="51" spans="1:2" x14ac:dyDescent="0.3">
      <c r="A51" t="s">
        <v>25</v>
      </c>
      <c r="B51">
        <v>3964.0609129999998</v>
      </c>
    </row>
    <row r="52" spans="1:2" x14ac:dyDescent="0.3">
      <c r="A52" t="s">
        <v>26</v>
      </c>
      <c r="B52">
        <v>3712.4446130000001</v>
      </c>
    </row>
    <row r="53" spans="1:2" x14ac:dyDescent="0.3">
      <c r="A53" t="s">
        <v>27</v>
      </c>
      <c r="B53">
        <v>3798.2791670000001</v>
      </c>
    </row>
    <row r="54" spans="1:2" x14ac:dyDescent="0.3">
      <c r="A54" t="s">
        <v>72</v>
      </c>
      <c r="B54">
        <v>3904.501722</v>
      </c>
    </row>
    <row r="55" spans="1:2" x14ac:dyDescent="0.3">
      <c r="A55" t="s">
        <v>73</v>
      </c>
      <c r="B55">
        <v>3885.8226960000002</v>
      </c>
    </row>
    <row r="56" spans="1:2" x14ac:dyDescent="0.3">
      <c r="A56" t="s">
        <v>28</v>
      </c>
      <c r="B56">
        <v>3453.3807350000002</v>
      </c>
    </row>
    <row r="57" spans="1:2" x14ac:dyDescent="0.3">
      <c r="A57" t="s">
        <v>29</v>
      </c>
      <c r="B57">
        <v>3461.0799769999999</v>
      </c>
    </row>
    <row r="58" spans="1:2" x14ac:dyDescent="0.3">
      <c r="A58" t="s">
        <v>30</v>
      </c>
      <c r="B58">
        <v>3367.2879349999998</v>
      </c>
    </row>
    <row r="59" spans="1:2" x14ac:dyDescent="0.3">
      <c r="A59" t="s">
        <v>31</v>
      </c>
      <c r="B59">
        <v>3460.9630109999998</v>
      </c>
    </row>
    <row r="60" spans="1:2" x14ac:dyDescent="0.3">
      <c r="A60" t="s">
        <v>32</v>
      </c>
      <c r="B60">
        <v>3332.834773</v>
      </c>
    </row>
    <row r="61" spans="1:2" x14ac:dyDescent="0.3">
      <c r="A61" t="s">
        <v>33</v>
      </c>
      <c r="B61">
        <v>3282.2545730000002</v>
      </c>
    </row>
    <row r="62" spans="1:2" x14ac:dyDescent="0.3">
      <c r="A62" t="s">
        <v>74</v>
      </c>
      <c r="B62">
        <v>3107.4786709999998</v>
      </c>
    </row>
    <row r="63" spans="1:2" x14ac:dyDescent="0.3">
      <c r="A63" t="s">
        <v>34</v>
      </c>
      <c r="B63">
        <v>3069.2820790000001</v>
      </c>
    </row>
    <row r="64" spans="1:2" x14ac:dyDescent="0.3">
      <c r="A64" t="s">
        <v>35</v>
      </c>
      <c r="B64">
        <v>2814.1342180000001</v>
      </c>
    </row>
    <row r="65" spans="1:2" x14ac:dyDescent="0.3">
      <c r="A65" t="s">
        <v>36</v>
      </c>
      <c r="B65">
        <v>2637.760053</v>
      </c>
    </row>
    <row r="66" spans="1:2" x14ac:dyDescent="0.3">
      <c r="A66" t="s">
        <v>37</v>
      </c>
      <c r="B66">
        <v>2685.6858350000002</v>
      </c>
    </row>
    <row r="67" spans="1:2" x14ac:dyDescent="0.3">
      <c r="A67" t="s">
        <v>75</v>
      </c>
      <c r="B67">
        <v>2895.8374050000002</v>
      </c>
    </row>
    <row r="68" spans="1:2" x14ac:dyDescent="0.3">
      <c r="A68" t="s">
        <v>38</v>
      </c>
      <c r="B68">
        <v>2662.0596230000001</v>
      </c>
    </row>
    <row r="69" spans="1:2" x14ac:dyDescent="0.3">
      <c r="A69" t="s">
        <v>39</v>
      </c>
      <c r="B69">
        <v>2619.1207119999999</v>
      </c>
    </row>
    <row r="70" spans="1:2" x14ac:dyDescent="0.3">
      <c r="A70" t="s">
        <v>40</v>
      </c>
      <c r="B70">
        <v>2298.1362049999998</v>
      </c>
    </row>
    <row r="71" spans="1:2" x14ac:dyDescent="0.3">
      <c r="A71" t="s">
        <v>41</v>
      </c>
      <c r="B71">
        <v>1987.3461500000001</v>
      </c>
    </row>
    <row r="72" spans="1:2" x14ac:dyDescent="0.3">
      <c r="A72" t="s">
        <v>42</v>
      </c>
      <c r="B72">
        <v>2410.539839</v>
      </c>
    </row>
    <row r="73" spans="1:2" x14ac:dyDescent="0.3">
      <c r="A73" t="s">
        <v>43</v>
      </c>
      <c r="B73">
        <v>2507.3919380000002</v>
      </c>
    </row>
    <row r="74" spans="1:2" x14ac:dyDescent="0.3">
      <c r="A74" t="s">
        <v>44</v>
      </c>
      <c r="B74">
        <v>2784.5936929999998</v>
      </c>
    </row>
    <row r="75" spans="1:2" x14ac:dyDescent="0.3">
      <c r="A75" t="s">
        <v>45</v>
      </c>
      <c r="B75">
        <v>2566.704718</v>
      </c>
    </row>
    <row r="76" spans="1:2" x14ac:dyDescent="0.3">
      <c r="A76" t="s">
        <v>46</v>
      </c>
      <c r="B76">
        <v>2632.9079900000002</v>
      </c>
    </row>
    <row r="77" spans="1:2" x14ac:dyDescent="0.3">
      <c r="A77" t="s">
        <v>47</v>
      </c>
      <c r="B77">
        <v>2530.9014710000001</v>
      </c>
    </row>
    <row r="78" spans="1:2" x14ac:dyDescent="0.3">
      <c r="A78" t="s">
        <v>48</v>
      </c>
      <c r="B78">
        <v>2329.8747410000001</v>
      </c>
    </row>
    <row r="79" spans="1:2" x14ac:dyDescent="0.3">
      <c r="A79" t="s">
        <v>49</v>
      </c>
      <c r="B79">
        <v>2373.0468510000001</v>
      </c>
    </row>
    <row r="80" spans="1:2" x14ac:dyDescent="0.3">
      <c r="A80" t="s">
        <v>50</v>
      </c>
      <c r="B80">
        <v>2586.3922219999999</v>
      </c>
    </row>
    <row r="81" spans="1:2" x14ac:dyDescent="0.3">
      <c r="A81" t="s">
        <v>51</v>
      </c>
      <c r="B81">
        <v>2363.7522819999999</v>
      </c>
    </row>
    <row r="82" spans="1:2" x14ac:dyDescent="0.3">
      <c r="A82" t="s">
        <v>76</v>
      </c>
      <c r="B82">
        <v>2306.3368559999999</v>
      </c>
    </row>
    <row r="83" spans="1:2" x14ac:dyDescent="0.3">
      <c r="A83" t="s">
        <v>52</v>
      </c>
      <c r="B83">
        <v>2218.5506989999999</v>
      </c>
    </row>
    <row r="84" spans="1:2" x14ac:dyDescent="0.3">
      <c r="A84" t="s">
        <v>53</v>
      </c>
      <c r="B84">
        <v>2263.052036</v>
      </c>
    </row>
    <row r="85" spans="1:2" x14ac:dyDescent="0.3">
      <c r="A85" t="s">
        <v>54</v>
      </c>
      <c r="B85">
        <v>2218.2742450000001</v>
      </c>
    </row>
    <row r="86" spans="1:2" x14ac:dyDescent="0.3">
      <c r="A86" t="s">
        <v>55</v>
      </c>
      <c r="B86">
        <v>1997.7321449999999</v>
      </c>
    </row>
    <row r="87" spans="1:2" x14ac:dyDescent="0.3">
      <c r="A87" t="s">
        <v>56</v>
      </c>
      <c r="B87">
        <v>2180.8717470000001</v>
      </c>
    </row>
    <row r="88" spans="1:2" x14ac:dyDescent="0.3">
      <c r="A88" t="s">
        <v>77</v>
      </c>
      <c r="B88">
        <v>2195.0081879999998</v>
      </c>
    </row>
    <row r="89" spans="1:2" x14ac:dyDescent="0.3">
      <c r="A89" t="s">
        <v>57</v>
      </c>
      <c r="B89">
        <v>2299.277337</v>
      </c>
    </row>
    <row r="90" spans="1:2" x14ac:dyDescent="0.3">
      <c r="A90" t="s">
        <v>58</v>
      </c>
      <c r="B90">
        <v>2326.2687519999999</v>
      </c>
    </row>
    <row r="91" spans="1:2" x14ac:dyDescent="0.3">
      <c r="A91" t="s">
        <v>59</v>
      </c>
      <c r="B91">
        <v>2268.8063520000001</v>
      </c>
    </row>
    <row r="92" spans="1:2" x14ac:dyDescent="0.3">
      <c r="A92" t="s">
        <v>60</v>
      </c>
      <c r="B92">
        <v>2252.9079879999999</v>
      </c>
    </row>
    <row r="93" spans="1:2" x14ac:dyDescent="0.3">
      <c r="A93" t="s">
        <v>61</v>
      </c>
      <c r="B93">
        <v>2252.3989409999999</v>
      </c>
    </row>
    <row r="94" spans="1:2" x14ac:dyDescent="0.3">
      <c r="A94" t="s">
        <v>62</v>
      </c>
      <c r="B94">
        <v>2774.7734930000001</v>
      </c>
    </row>
    <row r="95" spans="1:2" x14ac:dyDescent="0.3">
      <c r="A95" t="s">
        <v>63</v>
      </c>
      <c r="B95">
        <v>2628.4114380000001</v>
      </c>
    </row>
    <row r="96" spans="1:2" x14ac:dyDescent="0.3">
      <c r="A96" t="s">
        <v>64</v>
      </c>
      <c r="B96">
        <v>2543.5494910000002</v>
      </c>
    </row>
    <row r="97" spans="1:2" x14ac:dyDescent="0.3">
      <c r="A97" t="s">
        <v>65</v>
      </c>
      <c r="B97">
        <v>2581.7337379999999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FAD1D-4E52-4BD3-BAE4-B8486B2C5774}">
  <dimension ref="A1:N97"/>
  <sheetViews>
    <sheetView topLeftCell="A2" workbookViewId="0">
      <selection activeCell="A14" sqref="A14:A25"/>
    </sheetView>
  </sheetViews>
  <sheetFormatPr baseColWidth="10" defaultRowHeight="14.4" x14ac:dyDescent="0.3"/>
  <cols>
    <col min="3" max="5" width="12" bestFit="1" customWidth="1"/>
  </cols>
  <sheetData>
    <row r="1" spans="1:14" ht="43.2" x14ac:dyDescent="0.3">
      <c r="A1" s="6" t="s">
        <v>0</v>
      </c>
      <c r="B1" s="9" t="s">
        <v>69</v>
      </c>
      <c r="C1" s="9" t="s">
        <v>102</v>
      </c>
      <c r="D1" s="9" t="s">
        <v>103</v>
      </c>
      <c r="E1" s="9" t="s">
        <v>106</v>
      </c>
      <c r="F1" s="9" t="s">
        <v>107</v>
      </c>
      <c r="G1" s="9" t="s">
        <v>108</v>
      </c>
      <c r="H1" s="9" t="s">
        <v>109</v>
      </c>
      <c r="I1" s="9" t="s">
        <v>68</v>
      </c>
      <c r="J1" s="9" t="s">
        <v>67</v>
      </c>
      <c r="K1" s="9"/>
      <c r="L1" s="9"/>
      <c r="M1" s="9"/>
      <c r="N1" s="9"/>
    </row>
    <row r="2" spans="1:14" x14ac:dyDescent="0.3">
      <c r="A2" t="str">
        <f>'ALCHWTU LX_Monthly'!A2</f>
        <v>2017-01-31</v>
      </c>
      <c r="B2">
        <f>'ALCHWTU LX_Monthly'!B2</f>
        <v>0</v>
      </c>
      <c r="C2">
        <f>China_All_Shares_Index_Monthly!B2</f>
        <v>2149.7993219999998</v>
      </c>
      <c r="F2">
        <f>(1+'Risk-free rate'!B2/100)^(1/12)-1</f>
        <v>4.2400978746104379E-4</v>
      </c>
    </row>
    <row r="3" spans="1:14" x14ac:dyDescent="0.3">
      <c r="A3" t="str">
        <f>'ALCHWTU LX_Monthly'!A3</f>
        <v>2017-02-28</v>
      </c>
      <c r="B3">
        <f>'ALCHWTU LX_Monthly'!B3</f>
        <v>0</v>
      </c>
      <c r="C3">
        <f>China_All_Shares_Index_Monthly!B3</f>
        <v>2217.0619000000002</v>
      </c>
      <c r="F3">
        <f>(1+'Risk-free rate'!B3/100)^(1/12)-1</f>
        <v>4.3230397371596396E-4</v>
      </c>
      <c r="G3">
        <f>D3-$F3</f>
        <v>-4.3230397371596396E-4</v>
      </c>
      <c r="H3">
        <f>E3-$F3</f>
        <v>-4.3230397371596396E-4</v>
      </c>
    </row>
    <row r="4" spans="1:14" x14ac:dyDescent="0.3">
      <c r="A4" t="str">
        <f>'ALCHWTU LX_Monthly'!A4</f>
        <v>2017-03-31</v>
      </c>
      <c r="B4">
        <f>'ALCHWTU LX_Monthly'!B4</f>
        <v>0</v>
      </c>
      <c r="C4">
        <f>China_All_Shares_Index_Monthly!B4</f>
        <v>2239.7489959999998</v>
      </c>
      <c r="F4">
        <f>(1+'Risk-free rate'!B4/100)^(1/12)-1</f>
        <v>6.1458497411925883E-4</v>
      </c>
      <c r="G4">
        <f t="shared" ref="G4:H67" si="0">D4-$F4</f>
        <v>-6.1458497411925883E-4</v>
      </c>
      <c r="H4">
        <f t="shared" si="0"/>
        <v>-6.1458497411925883E-4</v>
      </c>
    </row>
    <row r="5" spans="1:14" x14ac:dyDescent="0.3">
      <c r="A5" t="str">
        <f>'ALCHWTU LX_Monthly'!A5</f>
        <v>2017-04-28</v>
      </c>
      <c r="B5">
        <f>'ALCHWTU LX_Monthly'!B5</f>
        <v>0</v>
      </c>
      <c r="C5">
        <f>China_All_Shares_Index_Monthly!B5</f>
        <v>2267.740436</v>
      </c>
      <c r="F5">
        <f>(1+'Risk-free rate'!B5/100)^(1/12)-1</f>
        <v>6.6423464362252993E-4</v>
      </c>
      <c r="G5">
        <f t="shared" si="0"/>
        <v>-6.6423464362252993E-4</v>
      </c>
      <c r="H5">
        <f t="shared" si="0"/>
        <v>-6.6423464362252993E-4</v>
      </c>
    </row>
    <row r="6" spans="1:14" x14ac:dyDescent="0.3">
      <c r="A6" t="str">
        <f>'ALCHWTU LX_Monthly'!A6</f>
        <v>2017-05-31</v>
      </c>
      <c r="B6">
        <f>'ALCHWTU LX_Monthly'!B6</f>
        <v>0</v>
      </c>
      <c r="C6">
        <f>China_All_Shares_Index_Monthly!B6</f>
        <v>2348.0891799999999</v>
      </c>
      <c r="F6">
        <f>(1+'Risk-free rate'!B6/100)^(1/12)-1</f>
        <v>7.3865837651476696E-4</v>
      </c>
      <c r="G6">
        <f t="shared" si="0"/>
        <v>-7.3865837651476696E-4</v>
      </c>
      <c r="H6">
        <f t="shared" si="0"/>
        <v>-7.3865837651476696E-4</v>
      </c>
    </row>
    <row r="7" spans="1:14" x14ac:dyDescent="0.3">
      <c r="A7" t="str">
        <f>'ALCHWTU LX_Monthly'!A7</f>
        <v>2017-06-30</v>
      </c>
      <c r="B7">
        <f>'ALCHWTU LX_Monthly'!B7</f>
        <v>0</v>
      </c>
      <c r="C7">
        <f>China_All_Shares_Index_Monthly!B7</f>
        <v>2438.2965939999999</v>
      </c>
      <c r="F7">
        <f>(1+'Risk-free rate'!B7/100)^(1/12)-1</f>
        <v>8.1302127632687515E-4</v>
      </c>
      <c r="G7">
        <f t="shared" si="0"/>
        <v>-8.1302127632687515E-4</v>
      </c>
      <c r="H7">
        <f t="shared" si="0"/>
        <v>-8.1302127632687515E-4</v>
      </c>
    </row>
    <row r="8" spans="1:14" x14ac:dyDescent="0.3">
      <c r="A8" t="str">
        <f>'ALCHWTU LX_Monthly'!A8</f>
        <v>2017-07-31</v>
      </c>
      <c r="B8">
        <f>'ALCHWTU LX_Monthly'!B8</f>
        <v>0</v>
      </c>
      <c r="C8">
        <f>China_All_Shares_Index_Monthly!B8</f>
        <v>2600.3517000000002</v>
      </c>
      <c r="F8">
        <f>(1+'Risk-free rate'!B8/100)^(1/12)-1</f>
        <v>8.8732344693531751E-4</v>
      </c>
      <c r="G8">
        <f t="shared" si="0"/>
        <v>-8.8732344693531751E-4</v>
      </c>
      <c r="H8">
        <f t="shared" si="0"/>
        <v>-8.8732344693531751E-4</v>
      </c>
    </row>
    <row r="9" spans="1:14" x14ac:dyDescent="0.3">
      <c r="A9" t="str">
        <f>'ALCHWTU LX_Monthly'!A9</f>
        <v>2017-08-31</v>
      </c>
      <c r="B9">
        <f>'ALCHWTU LX_Monthly'!B9</f>
        <v>0</v>
      </c>
      <c r="C9">
        <f>China_All_Shares_Index_Monthly!B9</f>
        <v>2708.5940999999998</v>
      </c>
      <c r="F9">
        <f>(1+'Risk-free rate'!B9/100)^(1/12)-1</f>
        <v>8.3779540909700856E-4</v>
      </c>
      <c r="G9">
        <f t="shared" si="0"/>
        <v>-8.3779540909700856E-4</v>
      </c>
      <c r="H9">
        <f t="shared" si="0"/>
        <v>-8.3779540909700856E-4</v>
      </c>
    </row>
    <row r="10" spans="1:14" x14ac:dyDescent="0.3">
      <c r="A10" t="str">
        <f>'ALCHWTU LX_Monthly'!A10</f>
        <v>2017-09-29</v>
      </c>
      <c r="B10">
        <f>'ALCHWTU LX_Monthly'!B10</f>
        <v>0</v>
      </c>
      <c r="C10">
        <f>China_All_Shares_Index_Monthly!B10</f>
        <v>2726.8438019999999</v>
      </c>
      <c r="F10">
        <f>(1+'Risk-free rate'!B10/100)^(1/12)-1</f>
        <v>8.543077507923158E-4</v>
      </c>
      <c r="G10">
        <f t="shared" si="0"/>
        <v>-8.543077507923158E-4</v>
      </c>
      <c r="H10">
        <f t="shared" si="0"/>
        <v>-8.543077507923158E-4</v>
      </c>
    </row>
    <row r="11" spans="1:14" x14ac:dyDescent="0.3">
      <c r="A11" t="str">
        <f>'ALCHWTU LX_Monthly'!A11</f>
        <v>2017-10-31</v>
      </c>
      <c r="B11">
        <f>'ALCHWTU LX_Monthly'!B11</f>
        <v>0</v>
      </c>
      <c r="C11">
        <f>China_All_Shares_Index_Monthly!B11</f>
        <v>2831.2255140000002</v>
      </c>
      <c r="F11">
        <f>(1+'Risk-free rate'!B11/100)^(1/12)-1</f>
        <v>8.8732344693531751E-4</v>
      </c>
      <c r="G11">
        <f t="shared" si="0"/>
        <v>-8.8732344693531751E-4</v>
      </c>
      <c r="H11">
        <f t="shared" si="0"/>
        <v>-8.8732344693531751E-4</v>
      </c>
    </row>
    <row r="12" spans="1:14" x14ac:dyDescent="0.3">
      <c r="A12" t="str">
        <f>'ALCHWTU LX_Monthly'!A12</f>
        <v>2017-11-30</v>
      </c>
      <c r="B12">
        <f>'ALCHWTU LX_Monthly'!B12</f>
        <v>0</v>
      </c>
      <c r="C12">
        <f>China_All_Shares_Index_Monthly!B12</f>
        <v>2827.7891749999999</v>
      </c>
      <c r="F12">
        <f>(1+'Risk-free rate'!B12/100)^(1/12)-1</f>
        <v>1.0192665680117674E-3</v>
      </c>
      <c r="G12">
        <f t="shared" si="0"/>
        <v>-1.0192665680117674E-3</v>
      </c>
      <c r="H12">
        <f t="shared" si="0"/>
        <v>-1.0192665680117674E-3</v>
      </c>
    </row>
    <row r="13" spans="1:14" x14ac:dyDescent="0.3">
      <c r="A13" t="str">
        <f>'ALCHWTU LX_Monthly'!A13</f>
        <v>2017-12-29</v>
      </c>
      <c r="B13">
        <f>'ALCHWTU LX_Monthly'!B13</f>
        <v>1048.52</v>
      </c>
      <c r="C13">
        <f>China_All_Shares_Index_Monthly!B13</f>
        <v>2884.6746760000001</v>
      </c>
      <c r="F13">
        <f>(1+'Risk-free rate'!B13/100)^(1/12)-1</f>
        <v>1.0934005891671816E-3</v>
      </c>
      <c r="G13">
        <f t="shared" si="0"/>
        <v>-1.0934005891671816E-3</v>
      </c>
      <c r="H13">
        <f t="shared" si="0"/>
        <v>-1.0934005891671816E-3</v>
      </c>
    </row>
    <row r="14" spans="1:14" x14ac:dyDescent="0.3">
      <c r="A14" t="str">
        <f>'ALCHWTU LX_Monthly'!A14</f>
        <v>2018-01-31</v>
      </c>
      <c r="B14">
        <f>'ALCHWTU LX_Monthly'!B14</f>
        <v>1150.57</v>
      </c>
      <c r="C14">
        <f>China_All_Shares_Index_Monthly!B14</f>
        <v>3199.3006559999999</v>
      </c>
      <c r="D14">
        <f>('ALCHWTU LX_Monthly'!B14-'ALCHWTU LX_Monthly'!B13)/'ALCHWTU LX_Monthly'!B13</f>
        <v>9.732766184717502E-2</v>
      </c>
      <c r="E14">
        <f>(China_All_Shares_Index_Monthly!B14-China_All_Shares_Index_Monthly!B13)/China_All_Shares_Index_Monthly!B13</f>
        <v>0.10906809790983855</v>
      </c>
      <c r="F14">
        <f>(1+'Risk-free rate'!B14/100)^(1/12)-1</f>
        <v>1.1674742711142994E-3</v>
      </c>
      <c r="G14">
        <f t="shared" si="0"/>
        <v>9.6160187576060721E-2</v>
      </c>
      <c r="H14">
        <f t="shared" si="0"/>
        <v>0.10790062363872426</v>
      </c>
    </row>
    <row r="15" spans="1:14" x14ac:dyDescent="0.3">
      <c r="A15" t="str">
        <f>'ALCHWTU LX_Monthly'!A15</f>
        <v>2018-02-28</v>
      </c>
      <c r="B15">
        <f>'ALCHWTU LX_Monthly'!B15</f>
        <v>1105.23</v>
      </c>
      <c r="C15">
        <f>China_All_Shares_Index_Monthly!B15</f>
        <v>2990.1855390000001</v>
      </c>
      <c r="D15">
        <f>('ALCHWTU LX_Monthly'!B15-'ALCHWTU LX_Monthly'!B14)/'ALCHWTU LX_Monthly'!B14</f>
        <v>-3.9406555011863617E-2</v>
      </c>
      <c r="E15">
        <f>(China_All_Shares_Index_Monthly!B15-China_All_Shares_Index_Monthly!B14)/China_All_Shares_Index_Monthly!B14</f>
        <v>-6.5362758766614598E-2</v>
      </c>
      <c r="F15">
        <f>(1+'Risk-free rate'!B15/100)^(1/12)-1</f>
        <v>1.2990121499387719E-3</v>
      </c>
      <c r="G15">
        <f t="shared" si="0"/>
        <v>-4.0705567161802389E-2</v>
      </c>
      <c r="H15">
        <f t="shared" si="0"/>
        <v>-6.666177091655337E-2</v>
      </c>
    </row>
    <row r="16" spans="1:14" x14ac:dyDescent="0.3">
      <c r="A16" t="str">
        <f>'ALCHWTU LX_Monthly'!A16</f>
        <v>2018-03-30</v>
      </c>
      <c r="B16">
        <f>'ALCHWTU LX_Monthly'!B16</f>
        <v>1067.3399999999999</v>
      </c>
      <c r="C16">
        <f>China_All_Shares_Index_Monthly!B16</f>
        <v>2904.7636990000001</v>
      </c>
      <c r="D16">
        <f>('ALCHWTU LX_Monthly'!B16-'ALCHWTU LX_Monthly'!B15)/'ALCHWTU LX_Monthly'!B15</f>
        <v>-3.4282457045140019E-2</v>
      </c>
      <c r="E16">
        <f>(China_All_Shares_Index_Monthly!B16-China_All_Shares_Index_Monthly!B15)/China_All_Shares_Index_Monthly!B15</f>
        <v>-2.8567404559306168E-2</v>
      </c>
      <c r="F16">
        <f>(1+'Risk-free rate'!B16/100)^(1/12)-1</f>
        <v>1.4057468926966799E-3</v>
      </c>
      <c r="G16">
        <f t="shared" si="0"/>
        <v>-3.5688203937836699E-2</v>
      </c>
      <c r="H16">
        <f t="shared" si="0"/>
        <v>-2.9973151452002848E-2</v>
      </c>
    </row>
    <row r="17" spans="1:8" x14ac:dyDescent="0.3">
      <c r="A17" t="str">
        <f>'ALCHWTU LX_Monthly'!A17</f>
        <v>2018-04-30</v>
      </c>
      <c r="B17">
        <f>'ALCHWTU LX_Monthly'!B17</f>
        <v>1025.92</v>
      </c>
      <c r="C17">
        <f>China_All_Shares_Index_Monthly!B17</f>
        <v>2851.3337700000002</v>
      </c>
      <c r="D17">
        <f>('ALCHWTU LX_Monthly'!B17-'ALCHWTU LX_Monthly'!B16)/'ALCHWTU LX_Monthly'!B16</f>
        <v>-3.8806753237018987E-2</v>
      </c>
      <c r="E17">
        <f>(China_All_Shares_Index_Monthly!B17-China_All_Shares_Index_Monthly!B16)/China_All_Shares_Index_Monthly!B16</f>
        <v>-1.8393898621906421E-2</v>
      </c>
      <c r="F17">
        <f>(1+'Risk-free rate'!B17/100)^(1/12)-1</f>
        <v>1.4549669057570824E-3</v>
      </c>
      <c r="G17">
        <f t="shared" si="0"/>
        <v>-4.026172014277607E-2</v>
      </c>
      <c r="H17">
        <f t="shared" si="0"/>
        <v>-1.9848865527663503E-2</v>
      </c>
    </row>
    <row r="18" spans="1:8" x14ac:dyDescent="0.3">
      <c r="A18" t="str">
        <f>'ALCHWTU LX_Monthly'!A18</f>
        <v>2018-05-31</v>
      </c>
      <c r="B18">
        <f>'ALCHWTU LX_Monthly'!B18</f>
        <v>1075.67</v>
      </c>
      <c r="C18">
        <f>China_All_Shares_Index_Monthly!B18</f>
        <v>2875.992319</v>
      </c>
      <c r="D18">
        <f>('ALCHWTU LX_Monthly'!B18-'ALCHWTU LX_Monthly'!B17)/'ALCHWTU LX_Monthly'!B17</f>
        <v>4.8493059887710542E-2</v>
      </c>
      <c r="E18">
        <f>(China_All_Shares_Index_Monthly!B18-China_All_Shares_Index_Monthly!B17)/China_All_Shares_Index_Monthly!B17</f>
        <v>8.6480752479565961E-3</v>
      </c>
      <c r="F18">
        <f>(1+'Risk-free rate'!B18/100)^(1/12)-1</f>
        <v>1.5369411743291206E-3</v>
      </c>
      <c r="G18">
        <f t="shared" si="0"/>
        <v>4.6956118713381421E-2</v>
      </c>
      <c r="H18">
        <f t="shared" si="0"/>
        <v>7.1111340736274755E-3</v>
      </c>
    </row>
    <row r="19" spans="1:8" x14ac:dyDescent="0.3">
      <c r="A19" t="str">
        <f>'ALCHWTU LX_Monthly'!A19</f>
        <v>2018-06-29</v>
      </c>
      <c r="B19">
        <f>'ALCHWTU LX_Monthly'!B19</f>
        <v>1020.17</v>
      </c>
      <c r="C19">
        <f>China_All_Shares_Index_Monthly!B19</f>
        <v>2671.4636390000001</v>
      </c>
      <c r="D19">
        <f>('ALCHWTU LX_Monthly'!B19-'ALCHWTU LX_Monthly'!B18)/'ALCHWTU LX_Monthly'!B18</f>
        <v>-5.1595749625814709E-2</v>
      </c>
      <c r="E19">
        <f>(China_All_Shares_Index_Monthly!B19-China_All_Shares_Index_Monthly!B18)/China_All_Shares_Index_Monthly!B18</f>
        <v>-7.1115864478774327E-2</v>
      </c>
      <c r="F19">
        <f>(1+'Risk-free rate'!B19/100)^(1/12)-1</f>
        <v>1.5697102274137009E-3</v>
      </c>
      <c r="G19">
        <f t="shared" si="0"/>
        <v>-5.316545985322841E-2</v>
      </c>
      <c r="H19">
        <f t="shared" si="0"/>
        <v>-7.2685574706188028E-2</v>
      </c>
    </row>
    <row r="20" spans="1:8" x14ac:dyDescent="0.3">
      <c r="A20" t="str">
        <f>'ALCHWTU LX_Monthly'!A20</f>
        <v>2018-07-31</v>
      </c>
      <c r="B20">
        <f>'ALCHWTU LX_Monthly'!B20</f>
        <v>981.87</v>
      </c>
      <c r="C20">
        <f>China_All_Shares_Index_Monthly!B20</f>
        <v>2609.0936769999998</v>
      </c>
      <c r="D20">
        <f>('ALCHWTU LX_Monthly'!B20-'ALCHWTU LX_Monthly'!B19)/'ALCHWTU LX_Monthly'!B19</f>
        <v>-3.7542762480762965E-2</v>
      </c>
      <c r="E20">
        <f>(China_All_Shares_Index_Monthly!B20-China_All_Shares_Index_Monthly!B19)/China_All_Shares_Index_Monthly!B19</f>
        <v>-2.3346738128671274E-2</v>
      </c>
      <c r="F20">
        <f>(1+'Risk-free rate'!B20/100)^(1/12)-1</f>
        <v>1.6188417051281601E-3</v>
      </c>
      <c r="G20">
        <f t="shared" si="0"/>
        <v>-3.9161604185891125E-2</v>
      </c>
      <c r="H20">
        <f t="shared" si="0"/>
        <v>-2.4965579833799434E-2</v>
      </c>
    </row>
    <row r="21" spans="1:8" x14ac:dyDescent="0.3">
      <c r="A21" t="str">
        <f>'ALCHWTU LX_Monthly'!A21</f>
        <v>2018-08-31</v>
      </c>
      <c r="B21">
        <f>'ALCHWTU LX_Monthly'!B21</f>
        <v>910.11</v>
      </c>
      <c r="C21">
        <f>China_All_Shares_Index_Monthly!B21</f>
        <v>2488.3975540000001</v>
      </c>
      <c r="D21">
        <f>('ALCHWTU LX_Monthly'!B21-'ALCHWTU LX_Monthly'!B20)/'ALCHWTU LX_Monthly'!B20</f>
        <v>-7.3085031623330979E-2</v>
      </c>
      <c r="E21">
        <f>(China_All_Shares_Index_Monthly!B21-China_All_Shares_Index_Monthly!B20)/China_All_Shares_Index_Monthly!B20</f>
        <v>-4.6259789007951253E-2</v>
      </c>
      <c r="F21">
        <f>(1+'Risk-free rate'!B21/100)^(1/12)-1</f>
        <v>1.6761282769228725E-3</v>
      </c>
      <c r="G21">
        <f t="shared" si="0"/>
        <v>-7.4761159900253851E-2</v>
      </c>
      <c r="H21">
        <f t="shared" si="0"/>
        <v>-4.7935917284874126E-2</v>
      </c>
    </row>
    <row r="22" spans="1:8" x14ac:dyDescent="0.3">
      <c r="A22" t="str">
        <f>'ALCHWTU LX_Monthly'!A22</f>
        <v>2018-09-28</v>
      </c>
      <c r="B22">
        <f>'ALCHWTU LX_Monthly'!B22</f>
        <v>889.56</v>
      </c>
      <c r="C22">
        <f>China_All_Shares_Index_Monthly!B22</f>
        <v>2485.9787809999998</v>
      </c>
      <c r="D22">
        <f>('ALCHWTU LX_Monthly'!B22-'ALCHWTU LX_Monthly'!B21)/'ALCHWTU LX_Monthly'!B21</f>
        <v>-2.2579688169561997E-2</v>
      </c>
      <c r="E22">
        <f>(China_All_Shares_Index_Monthly!B22-China_All_Shares_Index_Monthly!B21)/China_All_Shares_Index_Monthly!B21</f>
        <v>-9.7202032533436913E-4</v>
      </c>
      <c r="F22">
        <f>(1+'Risk-free rate'!B22/100)^(1/12)-1</f>
        <v>1.7579037712718293E-3</v>
      </c>
      <c r="G22">
        <f t="shared" si="0"/>
        <v>-2.4337591940833826E-2</v>
      </c>
      <c r="H22">
        <f t="shared" si="0"/>
        <v>-2.7299240966061986E-3</v>
      </c>
    </row>
    <row r="23" spans="1:8" x14ac:dyDescent="0.3">
      <c r="A23" t="str">
        <f>'ALCHWTU LX_Monthly'!A23</f>
        <v>2018-10-31</v>
      </c>
      <c r="B23">
        <f>'ALCHWTU LX_Monthly'!B23</f>
        <v>770.51</v>
      </c>
      <c r="C23">
        <f>China_All_Shares_Index_Monthly!B23</f>
        <v>2214.35086</v>
      </c>
      <c r="D23">
        <f>('ALCHWTU LX_Monthly'!B23-'ALCHWTU LX_Monthly'!B22)/'ALCHWTU LX_Monthly'!B22</f>
        <v>-0.13383020819281438</v>
      </c>
      <c r="E23">
        <f>(China_All_Shares_Index_Monthly!B23-China_All_Shares_Index_Monthly!B22)/China_All_Shares_Index_Monthly!B22</f>
        <v>-0.1092639740435499</v>
      </c>
      <c r="F23">
        <f>(1+'Risk-free rate'!B23/100)^(1/12)-1</f>
        <v>1.855937535336194E-3</v>
      </c>
      <c r="G23">
        <f t="shared" si="0"/>
        <v>-0.13568614572815058</v>
      </c>
      <c r="H23">
        <f t="shared" si="0"/>
        <v>-0.11111991157888609</v>
      </c>
    </row>
    <row r="24" spans="1:8" x14ac:dyDescent="0.3">
      <c r="A24" t="str">
        <f>'ALCHWTU LX_Monthly'!A24</f>
        <v>2018-11-30</v>
      </c>
      <c r="B24">
        <f>'ALCHWTU LX_Monthly'!B24</f>
        <v>812.78</v>
      </c>
      <c r="C24">
        <f>China_All_Shares_Index_Monthly!B24</f>
        <v>2329.8148940000001</v>
      </c>
      <c r="D24">
        <f>('ALCHWTU LX_Monthly'!B24-'ALCHWTU LX_Monthly'!B23)/'ALCHWTU LX_Monthly'!B23</f>
        <v>5.4859768205474273E-2</v>
      </c>
      <c r="E24">
        <f>(China_All_Shares_Index_Monthly!B24-China_All_Shares_Index_Monthly!B23)/China_All_Shares_Index_Monthly!B23</f>
        <v>5.2143513517094613E-2</v>
      </c>
      <c r="F24">
        <f>(1+'Risk-free rate'!B24/100)^(1/12)-1</f>
        <v>1.921234803683225E-3</v>
      </c>
      <c r="G24">
        <f t="shared" si="0"/>
        <v>5.2938533401791048E-2</v>
      </c>
      <c r="H24">
        <f t="shared" si="0"/>
        <v>5.0222278713411388E-2</v>
      </c>
    </row>
    <row r="25" spans="1:8" x14ac:dyDescent="0.3">
      <c r="A25" t="str">
        <f>'ALCHWTU LX_Monthly'!A25</f>
        <v>2018-12-31</v>
      </c>
      <c r="B25">
        <f>'ALCHWTU LX_Monthly'!B25</f>
        <v>781.37</v>
      </c>
      <c r="C25">
        <f>China_All_Shares_Index_Monthly!B25</f>
        <v>2213.3058249999999</v>
      </c>
      <c r="D25">
        <f>('ALCHWTU LX_Monthly'!B25-'ALCHWTU LX_Monthly'!B24)/'ALCHWTU LX_Monthly'!B24</f>
        <v>-3.8645143827357918E-2</v>
      </c>
      <c r="E25">
        <f>(China_All_Shares_Index_Monthly!B25-China_All_Shares_Index_Monthly!B24)/China_All_Shares_Index_Monthly!B24</f>
        <v>-5.0007865131280332E-2</v>
      </c>
      <c r="F25">
        <f>(1+'Risk-free rate'!B25/100)^(1/12)-1</f>
        <v>1.9538658918776264E-3</v>
      </c>
      <c r="G25">
        <f t="shared" si="0"/>
        <v>-4.0599009719235545E-2</v>
      </c>
      <c r="H25">
        <f t="shared" si="0"/>
        <v>-5.1961731023157959E-2</v>
      </c>
    </row>
    <row r="26" spans="1:8" x14ac:dyDescent="0.3">
      <c r="A26" t="str">
        <f>'ALCHWTU LX_Monthly'!A26</f>
        <v>2019-01-31</v>
      </c>
      <c r="B26">
        <f>'ALCHWTU LX_Monthly'!B26</f>
        <v>866.33</v>
      </c>
      <c r="C26">
        <f>China_All_Shares_Index_Monthly!B26</f>
        <v>2438.6662289999999</v>
      </c>
      <c r="D26">
        <f>('ALCHWTU LX_Monthly'!B26-'ALCHWTU LX_Monthly'!B25)/'ALCHWTU LX_Monthly'!B25</f>
        <v>0.10873209874963211</v>
      </c>
      <c r="E26">
        <f>(China_All_Shares_Index_Monthly!B26-China_All_Shares_Index_Monthly!B25)/China_All_Shares_Index_Monthly!B25</f>
        <v>0.10182072511375603</v>
      </c>
      <c r="F26">
        <f>(1+'Risk-free rate'!B26/100)^(1/12)-1</f>
        <v>1.9538658918776264E-3</v>
      </c>
      <c r="G26">
        <f t="shared" si="0"/>
        <v>0.10677823285775448</v>
      </c>
      <c r="H26">
        <f t="shared" si="0"/>
        <v>9.9866859221878407E-2</v>
      </c>
    </row>
    <row r="27" spans="1:8" x14ac:dyDescent="0.3">
      <c r="A27" t="str">
        <f>'ALCHWTU LX_Monthly'!A27</f>
        <v>2019-02-28</v>
      </c>
      <c r="B27">
        <f>'ALCHWTU LX_Monthly'!B27</f>
        <v>945.62</v>
      </c>
      <c r="C27">
        <f>China_All_Shares_Index_Monthly!B27</f>
        <v>2614.024324</v>
      </c>
      <c r="D27">
        <f>('ALCHWTU LX_Monthly'!B27-'ALCHWTU LX_Monthly'!B26)/'ALCHWTU LX_Monthly'!B26</f>
        <v>9.1524015098172706E-2</v>
      </c>
      <c r="E27">
        <f>(China_All_Shares_Index_Monthly!B27-China_All_Shares_Index_Monthly!B26)/China_All_Shares_Index_Monthly!B26</f>
        <v>7.190737826877909E-2</v>
      </c>
      <c r="F27">
        <f>(1+'Risk-free rate'!B27/100)^(1/12)-1</f>
        <v>1.970177053312705E-3</v>
      </c>
      <c r="G27">
        <f t="shared" si="0"/>
        <v>8.9553838044860001E-2</v>
      </c>
      <c r="H27">
        <f t="shared" si="0"/>
        <v>6.9937201215466385E-2</v>
      </c>
    </row>
    <row r="28" spans="1:8" x14ac:dyDescent="0.3">
      <c r="A28" t="str">
        <f>'ALCHWTU LX_Monthly'!A28</f>
        <v>2019-03-29</v>
      </c>
      <c r="B28">
        <f>'ALCHWTU LX_Monthly'!B28</f>
        <v>1008.77</v>
      </c>
      <c r="C28">
        <f>China_All_Shares_Index_Monthly!B28</f>
        <v>2706.760902</v>
      </c>
      <c r="D28">
        <f>('ALCHWTU LX_Monthly'!B28-'ALCHWTU LX_Monthly'!B27)/'ALCHWTU LX_Monthly'!B27</f>
        <v>6.6781582453839791E-2</v>
      </c>
      <c r="E28">
        <f>(China_All_Shares_Index_Monthly!B28-China_All_Shares_Index_Monthly!B27)/China_All_Shares_Index_Monthly!B27</f>
        <v>3.5476555114106127E-2</v>
      </c>
      <c r="F28">
        <f>(1+'Risk-free rate'!B28/100)^(1/12)-1</f>
        <v>1.9783315388433032E-3</v>
      </c>
      <c r="G28">
        <f t="shared" si="0"/>
        <v>6.4803250914996488E-2</v>
      </c>
      <c r="H28">
        <f t="shared" si="0"/>
        <v>3.3498223575262824E-2</v>
      </c>
    </row>
    <row r="29" spans="1:8" x14ac:dyDescent="0.3">
      <c r="A29" t="str">
        <f>'ALCHWTU LX_Monthly'!A29</f>
        <v>2019-04-30</v>
      </c>
      <c r="B29">
        <f>'ALCHWTU LX_Monthly'!B29</f>
        <v>1019.58</v>
      </c>
      <c r="C29">
        <f>China_All_Shares_Index_Monthly!B29</f>
        <v>2745.8384040000001</v>
      </c>
      <c r="D29">
        <f>('ALCHWTU LX_Monthly'!B29-'ALCHWTU LX_Monthly'!B28)/'ALCHWTU LX_Monthly'!B28</f>
        <v>1.071602050021319E-2</v>
      </c>
      <c r="E29">
        <f>(China_All_Shares_Index_Monthly!B29-China_All_Shares_Index_Monthly!B28)/China_All_Shares_Index_Monthly!B28</f>
        <v>1.4436998100248196E-2</v>
      </c>
      <c r="F29">
        <f>(1+'Risk-free rate'!B29/100)^(1/12)-1</f>
        <v>1.9620218377029985E-3</v>
      </c>
      <c r="G29">
        <f t="shared" si="0"/>
        <v>8.7539986625101915E-3</v>
      </c>
      <c r="H29">
        <f t="shared" si="0"/>
        <v>1.2474976262545198E-2</v>
      </c>
    </row>
    <row r="30" spans="1:8" x14ac:dyDescent="0.3">
      <c r="A30" t="str">
        <f>'ALCHWTU LX_Monthly'!A30</f>
        <v>2019-05-31</v>
      </c>
      <c r="B30">
        <f>'ALCHWTU LX_Monthly'!B30</f>
        <v>920.5</v>
      </c>
      <c r="C30">
        <f>China_All_Shares_Index_Monthly!B30</f>
        <v>2428.9438060000002</v>
      </c>
      <c r="D30">
        <f>('ALCHWTU LX_Monthly'!B30-'ALCHWTU LX_Monthly'!B29)/'ALCHWTU LX_Monthly'!B29</f>
        <v>-9.7177269071578531E-2</v>
      </c>
      <c r="E30">
        <f>(China_All_Shares_Index_Monthly!B30-China_All_Shares_Index_Monthly!B29)/China_All_Shares_Index_Monthly!B29</f>
        <v>-0.11540904866738103</v>
      </c>
      <c r="F30">
        <f>(1+'Risk-free rate'!B30/100)^(1/12)-1</f>
        <v>1.937551809032545E-3</v>
      </c>
      <c r="G30">
        <f t="shared" si="0"/>
        <v>-9.9114820880611076E-2</v>
      </c>
      <c r="H30">
        <f t="shared" si="0"/>
        <v>-0.11734660047641357</v>
      </c>
    </row>
    <row r="31" spans="1:8" x14ac:dyDescent="0.3">
      <c r="A31" t="str">
        <f>'ALCHWTU LX_Monthly'!A31</f>
        <v>2019-06-28</v>
      </c>
      <c r="B31">
        <f>'ALCHWTU LX_Monthly'!B31</f>
        <v>1004.67</v>
      </c>
      <c r="C31">
        <f>China_All_Shares_Index_Monthly!B31</f>
        <v>2602.3552079999999</v>
      </c>
      <c r="D31">
        <f>('ALCHWTU LX_Monthly'!B31-'ALCHWTU LX_Monthly'!B30)/'ALCHWTU LX_Monthly'!B30</f>
        <v>9.1439435089625154E-2</v>
      </c>
      <c r="E31">
        <f>(China_All_Shares_Index_Monthly!B31-China_All_Shares_Index_Monthly!B30)/China_All_Shares_Index_Monthly!B30</f>
        <v>7.1393748003406754E-2</v>
      </c>
      <c r="F31">
        <f>(1+'Risk-free rate'!B31/100)^(1/12)-1</f>
        <v>1.7905934192179451E-3</v>
      </c>
      <c r="G31">
        <f t="shared" si="0"/>
        <v>8.9648841670407209E-2</v>
      </c>
      <c r="H31">
        <f t="shared" si="0"/>
        <v>6.9603154584188809E-2</v>
      </c>
    </row>
    <row r="32" spans="1:8" x14ac:dyDescent="0.3">
      <c r="A32" t="str">
        <f>'ALCHWTU LX_Monthly'!A32</f>
        <v>2019-07-31</v>
      </c>
      <c r="B32">
        <f>'ALCHWTU LX_Monthly'!B32</f>
        <v>1021.32</v>
      </c>
      <c r="C32">
        <f>China_All_Shares_Index_Monthly!B32</f>
        <v>2597.8708379999998</v>
      </c>
      <c r="D32">
        <f>('ALCHWTU LX_Monthly'!B32-'ALCHWTU LX_Monthly'!B31)/'ALCHWTU LX_Monthly'!B31</f>
        <v>1.6572605930305566E-2</v>
      </c>
      <c r="E32">
        <f>(China_All_Shares_Index_Monthly!B32-China_All_Shares_Index_Monthly!B31)/China_All_Shares_Index_Monthly!B31</f>
        <v>-1.723196735870089E-3</v>
      </c>
      <c r="F32">
        <f>(1+'Risk-free rate'!B32/100)^(1/12)-1</f>
        <v>1.73337883251512E-3</v>
      </c>
      <c r="G32">
        <f t="shared" si="0"/>
        <v>1.4839227097790446E-2</v>
      </c>
      <c r="H32">
        <f t="shared" si="0"/>
        <v>-3.456575568385209E-3</v>
      </c>
    </row>
    <row r="33" spans="1:8" x14ac:dyDescent="0.3">
      <c r="A33" t="str">
        <f>'ALCHWTU LX_Monthly'!A33</f>
        <v>2019-08-30</v>
      </c>
      <c r="B33">
        <f>'ALCHWTU LX_Monthly'!B33</f>
        <v>987.64</v>
      </c>
      <c r="C33">
        <f>China_All_Shares_Index_Monthly!B33</f>
        <v>2494.9384369999998</v>
      </c>
      <c r="D33">
        <f>('ALCHWTU LX_Monthly'!B33-'ALCHWTU LX_Monthly'!B32)/'ALCHWTU LX_Monthly'!B32</f>
        <v>-3.2976931813731312E-2</v>
      </c>
      <c r="E33">
        <f>(China_All_Shares_Index_Monthly!B33-China_All_Shares_Index_Monthly!B32)/China_All_Shares_Index_Monthly!B32</f>
        <v>-3.9621831653202474E-2</v>
      </c>
      <c r="F33">
        <f>(1+'Risk-free rate'!B33/100)^(1/12)-1</f>
        <v>1.6106549662961989E-3</v>
      </c>
      <c r="G33">
        <f t="shared" si="0"/>
        <v>-3.4587586780027511E-2</v>
      </c>
      <c r="H33">
        <f t="shared" si="0"/>
        <v>-4.1232486619498673E-2</v>
      </c>
    </row>
    <row r="34" spans="1:8" x14ac:dyDescent="0.3">
      <c r="A34" t="str">
        <f>'ALCHWTU LX_Monthly'!A34</f>
        <v>2019-09-30</v>
      </c>
      <c r="B34">
        <f>'ALCHWTU LX_Monthly'!B34</f>
        <v>1006.27</v>
      </c>
      <c r="C34">
        <f>China_All_Shares_Index_Monthly!B34</f>
        <v>2498.284971</v>
      </c>
      <c r="D34">
        <f>('ALCHWTU LX_Monthly'!B34-'ALCHWTU LX_Monthly'!B33)/'ALCHWTU LX_Monthly'!B33</f>
        <v>1.8863148515653471E-2</v>
      </c>
      <c r="E34">
        <f>(China_All_Shares_Index_Monthly!B34-China_All_Shares_Index_Monthly!B33)/China_All_Shares_Index_Monthly!B33</f>
        <v>1.3413292890802689E-3</v>
      </c>
      <c r="F34">
        <f>(1+'Risk-free rate'!B34/100)^(1/12)-1</f>
        <v>1.5615190697231274E-3</v>
      </c>
      <c r="G34">
        <f t="shared" si="0"/>
        <v>1.7301629445930344E-2</v>
      </c>
      <c r="H34">
        <f t="shared" si="0"/>
        <v>-2.2018978064285849E-4</v>
      </c>
    </row>
    <row r="35" spans="1:8" x14ac:dyDescent="0.3">
      <c r="A35" t="str">
        <f>'ALCHWTU LX_Monthly'!A35</f>
        <v>2019-10-31</v>
      </c>
      <c r="B35">
        <f>'ALCHWTU LX_Monthly'!B35</f>
        <v>1054.23</v>
      </c>
      <c r="C35">
        <f>China_All_Shares_Index_Monthly!B35</f>
        <v>2590.525185</v>
      </c>
      <c r="D35">
        <f>('ALCHWTU LX_Monthly'!B35-'ALCHWTU LX_Monthly'!B34)/'ALCHWTU LX_Monthly'!B34</f>
        <v>4.7661164498593853E-2</v>
      </c>
      <c r="E35">
        <f>(China_All_Shares_Index_Monthly!B35-China_All_Shares_Index_Monthly!B34)/China_All_Shares_Index_Monthly!B34</f>
        <v>3.6921414118373574E-2</v>
      </c>
      <c r="F35">
        <f>(1+'Risk-free rate'!B35/100)^(1/12)-1</f>
        <v>1.364709877352599E-3</v>
      </c>
      <c r="G35">
        <f t="shared" si="0"/>
        <v>4.6296454621241254E-2</v>
      </c>
      <c r="H35">
        <f t="shared" si="0"/>
        <v>3.5556704241020975E-2</v>
      </c>
    </row>
    <row r="36" spans="1:8" x14ac:dyDescent="0.3">
      <c r="A36" t="str">
        <f>'ALCHWTU LX_Monthly'!A36</f>
        <v>2019-11-29</v>
      </c>
      <c r="B36">
        <f>'ALCHWTU LX_Monthly'!B36</f>
        <v>1075.29</v>
      </c>
      <c r="C36">
        <f>China_All_Shares_Index_Monthly!B36</f>
        <v>2609.714273</v>
      </c>
      <c r="D36">
        <f>('ALCHWTU LX_Monthly'!B36-'ALCHWTU LX_Monthly'!B35)/'ALCHWTU LX_Monthly'!B35</f>
        <v>1.9976665433539119E-2</v>
      </c>
      <c r="E36">
        <f>(China_All_Shares_Index_Monthly!B36-China_All_Shares_Index_Monthly!B35)/China_All_Shares_Index_Monthly!B35</f>
        <v>7.4074122541294973E-3</v>
      </c>
      <c r="F36">
        <f>(1+'Risk-free rate'!B36/100)^(1/12)-1</f>
        <v>1.2743632726075482E-3</v>
      </c>
      <c r="G36">
        <f t="shared" si="0"/>
        <v>1.8702302160931571E-2</v>
      </c>
      <c r="H36">
        <f t="shared" si="0"/>
        <v>6.1330489815219491E-3</v>
      </c>
    </row>
    <row r="37" spans="1:8" x14ac:dyDescent="0.3">
      <c r="A37" t="str">
        <f>'ALCHWTU LX_Monthly'!A37</f>
        <v>2019-12-31</v>
      </c>
      <c r="B37">
        <f>'ALCHWTU LX_Monthly'!B37</f>
        <v>1169.72</v>
      </c>
      <c r="C37">
        <f>China_All_Shares_Index_Monthly!B37</f>
        <v>2824.911889</v>
      </c>
      <c r="D37">
        <f>('ALCHWTU LX_Monthly'!B37-'ALCHWTU LX_Monthly'!B36)/'ALCHWTU LX_Monthly'!B36</f>
        <v>8.7818169982051414E-2</v>
      </c>
      <c r="E37">
        <f>(China_All_Shares_Index_Monthly!B37-China_All_Shares_Index_Monthly!B36)/China_All_Shares_Index_Monthly!B36</f>
        <v>8.2460221115555024E-2</v>
      </c>
      <c r="F37">
        <f>(1+'Risk-free rate'!B37/100)^(1/12)-1</f>
        <v>1.2743632726075482E-3</v>
      </c>
      <c r="G37">
        <f t="shared" si="0"/>
        <v>8.6543806709443866E-2</v>
      </c>
      <c r="H37">
        <f t="shared" si="0"/>
        <v>8.1185857842947476E-2</v>
      </c>
    </row>
    <row r="38" spans="1:8" x14ac:dyDescent="0.3">
      <c r="A38" t="str">
        <f>'ALCHWTU LX_Monthly'!A38</f>
        <v>2020-01-31</v>
      </c>
      <c r="B38">
        <f>'ALCHWTU LX_Monthly'!B38</f>
        <v>1185.94</v>
      </c>
      <c r="C38">
        <f>China_All_Shares_Index_Monthly!B38</f>
        <v>2730.3153130000001</v>
      </c>
      <c r="D38">
        <f>('ALCHWTU LX_Monthly'!B38-'ALCHWTU LX_Monthly'!B37)/'ALCHWTU LX_Monthly'!B37</f>
        <v>1.3866566357760854E-2</v>
      </c>
      <c r="E38">
        <f>(China_All_Shares_Index_Monthly!B38-China_All_Shares_Index_Monthly!B37)/China_All_Shares_Index_Monthly!B37</f>
        <v>-3.3486558065174372E-2</v>
      </c>
      <c r="F38">
        <f>(1+'Risk-free rate'!B38/100)^(1/12)-1</f>
        <v>1.2579269787644787E-3</v>
      </c>
      <c r="G38">
        <f t="shared" si="0"/>
        <v>1.2608639378996376E-2</v>
      </c>
      <c r="H38">
        <f t="shared" si="0"/>
        <v>-3.4744485043938851E-2</v>
      </c>
    </row>
    <row r="39" spans="1:8" x14ac:dyDescent="0.3">
      <c r="A39" t="str">
        <f>'ALCHWTU LX_Monthly'!A39</f>
        <v>2020-02-28</v>
      </c>
      <c r="B39">
        <f>'ALCHWTU LX_Monthly'!B39</f>
        <v>1164.06</v>
      </c>
      <c r="C39">
        <f>China_All_Shares_Index_Monthly!B39</f>
        <v>2732.7964059999999</v>
      </c>
      <c r="D39">
        <f>('ALCHWTU LX_Monthly'!B39-'ALCHWTU LX_Monthly'!B38)/'ALCHWTU LX_Monthly'!B38</f>
        <v>-1.8449499974703701E-2</v>
      </c>
      <c r="E39">
        <f>(China_All_Shares_Index_Monthly!B39-China_All_Shares_Index_Monthly!B38)/China_All_Shares_Index_Monthly!B38</f>
        <v>9.0872031819420613E-4</v>
      </c>
      <c r="F39">
        <f>(1+'Risk-free rate'!B39/100)^(1/12)-1</f>
        <v>1.2579269787644787E-3</v>
      </c>
      <c r="G39">
        <f t="shared" si="0"/>
        <v>-1.970742695346818E-2</v>
      </c>
      <c r="H39">
        <f t="shared" si="0"/>
        <v>-3.4920666057027254E-4</v>
      </c>
    </row>
    <row r="40" spans="1:8" x14ac:dyDescent="0.3">
      <c r="A40" t="str">
        <f>'ALCHWTU LX_Monthly'!A40</f>
        <v>2020-03-31</v>
      </c>
      <c r="B40">
        <f>'ALCHWTU LX_Monthly'!B40</f>
        <v>1075.29</v>
      </c>
      <c r="C40">
        <f>China_All_Shares_Index_Monthly!B40</f>
        <v>2545.8421119999998</v>
      </c>
      <c r="D40">
        <f>('ALCHWTU LX_Monthly'!B40-'ALCHWTU LX_Monthly'!B39)/'ALCHWTU LX_Monthly'!B39</f>
        <v>-7.6258955723931737E-2</v>
      </c>
      <c r="E40">
        <f>(China_All_Shares_Index_Monthly!B40-China_All_Shares_Index_Monthly!B39)/China_All_Shares_Index_Monthly!B39</f>
        <v>-6.8411350947890595E-2</v>
      </c>
      <c r="F40">
        <f>(1+'Risk-free rate'!B40/100)^(1/12)-1</f>
        <v>2.4134604527370485E-4</v>
      </c>
      <c r="G40">
        <f t="shared" si="0"/>
        <v>-7.6500301769205442E-2</v>
      </c>
      <c r="H40">
        <f t="shared" si="0"/>
        <v>-6.86526969931643E-2</v>
      </c>
    </row>
    <row r="41" spans="1:8" x14ac:dyDescent="0.3">
      <c r="A41" t="str">
        <f>'ALCHWTU LX_Monthly'!A41</f>
        <v>2020-04-30</v>
      </c>
      <c r="B41">
        <f>'ALCHWTU LX_Monthly'!B41</f>
        <v>1175.05</v>
      </c>
      <c r="C41">
        <f>China_All_Shares_Index_Monthly!B41</f>
        <v>2713.7094959999999</v>
      </c>
      <c r="D41">
        <f>('ALCHWTU LX_Monthly'!B41-'ALCHWTU LX_Monthly'!B40)/'ALCHWTU LX_Monthly'!B40</f>
        <v>9.2774972333045033E-2</v>
      </c>
      <c r="E41">
        <f>(China_All_Shares_Index_Monthly!B41-China_All_Shares_Index_Monthly!B40)/China_All_Shares_Index_Monthly!B40</f>
        <v>6.5937861271422066E-2</v>
      </c>
      <c r="F41">
        <f>(1+'Risk-free rate'!B41/100)^(1/12)-1</f>
        <v>1.1659187244639213E-4</v>
      </c>
      <c r="G41">
        <f t="shared" si="0"/>
        <v>9.2658380460598641E-2</v>
      </c>
      <c r="H41">
        <f t="shared" si="0"/>
        <v>6.5821269398975674E-2</v>
      </c>
    </row>
    <row r="42" spans="1:8" x14ac:dyDescent="0.3">
      <c r="A42" t="str">
        <f>'ALCHWTU LX_Monthly'!A42</f>
        <v>2020-05-29</v>
      </c>
      <c r="B42">
        <f>'ALCHWTU LX_Monthly'!B42</f>
        <v>1206.78</v>
      </c>
      <c r="C42">
        <f>China_All_Shares_Index_Monthly!B42</f>
        <v>2688.9434609999998</v>
      </c>
      <c r="D42">
        <f>('ALCHWTU LX_Monthly'!B42-'ALCHWTU LX_Monthly'!B41)/'ALCHWTU LX_Monthly'!B41</f>
        <v>2.7003106250797854E-2</v>
      </c>
      <c r="E42">
        <f>(China_All_Shares_Index_Monthly!B42-China_All_Shares_Index_Monthly!B41)/China_All_Shares_Index_Monthly!B41</f>
        <v>-9.1262661078885445E-3</v>
      </c>
      <c r="F42">
        <f>(1+'Risk-free rate'!B42/100)^(1/12)-1</f>
        <v>1.0826883828274347E-4</v>
      </c>
      <c r="G42">
        <f t="shared" si="0"/>
        <v>2.689483741251511E-2</v>
      </c>
      <c r="H42">
        <f t="shared" si="0"/>
        <v>-9.234534946171288E-3</v>
      </c>
    </row>
    <row r="43" spans="1:8" x14ac:dyDescent="0.3">
      <c r="A43" t="str">
        <f>'ALCHWTU LX_Monthly'!A43</f>
        <v>2020-06-30</v>
      </c>
      <c r="B43">
        <f>'ALCHWTU LX_Monthly'!B43</f>
        <v>1361.65</v>
      </c>
      <c r="C43">
        <f>China_All_Shares_Index_Monthly!B43</f>
        <v>2938.8521369999999</v>
      </c>
      <c r="D43">
        <f>('ALCHWTU LX_Monthly'!B43-'ALCHWTU LX_Monthly'!B42)/'ALCHWTU LX_Monthly'!B42</f>
        <v>0.12833325046818816</v>
      </c>
      <c r="E43">
        <f>(China_All_Shares_Index_Monthly!B43-China_All_Shares_Index_Monthly!B42)/China_All_Shares_Index_Monthly!B42</f>
        <v>9.293935689784294E-2</v>
      </c>
      <c r="F43">
        <f>(1+'Risk-free rate'!B43/100)^(1/12)-1</f>
        <v>1.3323565538980731E-4</v>
      </c>
      <c r="G43">
        <f t="shared" si="0"/>
        <v>0.12820001481279836</v>
      </c>
      <c r="H43">
        <f t="shared" si="0"/>
        <v>9.2806121242453132E-2</v>
      </c>
    </row>
    <row r="44" spans="1:8" x14ac:dyDescent="0.3">
      <c r="A44" t="str">
        <f>'ALCHWTU LX_Monthly'!A44</f>
        <v>2020-07-31</v>
      </c>
      <c r="B44">
        <f>'ALCHWTU LX_Monthly'!B44</f>
        <v>1549.78</v>
      </c>
      <c r="C44">
        <f>China_All_Shares_Index_Monthly!B44</f>
        <v>3270.1075129999999</v>
      </c>
      <c r="D44">
        <f>('ALCHWTU LX_Monthly'!B44-'ALCHWTU LX_Monthly'!B43)/'ALCHWTU LX_Monthly'!B43</f>
        <v>0.13816325781221303</v>
      </c>
      <c r="E44">
        <f>(China_All_Shares_Index_Monthly!B44-China_All_Shares_Index_Monthly!B43)/China_All_Shares_Index_Monthly!B43</f>
        <v>0.11271590422311882</v>
      </c>
      <c r="F44">
        <f>(1+'Risk-free rate'!B44/100)^(1/12)-1</f>
        <v>1.0826883828274347E-4</v>
      </c>
      <c r="G44">
        <f t="shared" si="0"/>
        <v>0.13805498897393029</v>
      </c>
      <c r="H44">
        <f t="shared" si="0"/>
        <v>0.11260763538483608</v>
      </c>
    </row>
    <row r="45" spans="1:8" x14ac:dyDescent="0.3">
      <c r="A45" t="str">
        <f>'ALCHWTU LX_Monthly'!A45</f>
        <v>2020-08-31</v>
      </c>
      <c r="B45">
        <f>'ALCHWTU LX_Monthly'!B45</f>
        <v>1616.83</v>
      </c>
      <c r="C45">
        <f>China_All_Shares_Index_Monthly!B45</f>
        <v>3442.462661</v>
      </c>
      <c r="D45">
        <f>('ALCHWTU LX_Monthly'!B45-'ALCHWTU LX_Monthly'!B44)/'ALCHWTU LX_Monthly'!B44</f>
        <v>4.3264205242034323E-2</v>
      </c>
      <c r="E45">
        <f>(China_All_Shares_Index_Monthly!B45-China_All_Shares_Index_Monthly!B44)/China_All_Shares_Index_Monthly!B44</f>
        <v>5.2706263422477299E-2</v>
      </c>
      <c r="F45">
        <f>(1+'Risk-free rate'!B45/100)^(1/12)-1</f>
        <v>8.3295163273211514E-5</v>
      </c>
      <c r="G45">
        <f t="shared" si="0"/>
        <v>4.3180910078761112E-2</v>
      </c>
      <c r="H45">
        <f t="shared" si="0"/>
        <v>5.2622968259204088E-2</v>
      </c>
    </row>
    <row r="46" spans="1:8" x14ac:dyDescent="0.3">
      <c r="A46" t="str">
        <f>'ALCHWTU LX_Monthly'!A46</f>
        <v>2020-09-30</v>
      </c>
      <c r="B46">
        <f>'ALCHWTU LX_Monthly'!B46</f>
        <v>1577.54</v>
      </c>
      <c r="C46">
        <f>China_All_Shares_Index_Monthly!B46</f>
        <v>3324.2090699999999</v>
      </c>
      <c r="D46">
        <f>('ALCHWTU LX_Monthly'!B46-'ALCHWTU LX_Monthly'!B45)/'ALCHWTU LX_Monthly'!B45</f>
        <v>-2.43006376675346E-2</v>
      </c>
      <c r="E46">
        <f>(China_All_Shares_Index_Monthly!B46-China_All_Shares_Index_Monthly!B45)/China_All_Shares_Index_Monthly!B45</f>
        <v>-3.435145204033925E-2</v>
      </c>
      <c r="F46">
        <f>(1+'Risk-free rate'!B46/100)^(1/12)-1</f>
        <v>9.1620483841925449E-5</v>
      </c>
      <c r="G46">
        <f t="shared" si="0"/>
        <v>-2.4392258151376526E-2</v>
      </c>
      <c r="H46">
        <f t="shared" si="0"/>
        <v>-3.4443072524181176E-2</v>
      </c>
    </row>
    <row r="47" spans="1:8" x14ac:dyDescent="0.3">
      <c r="A47" t="str">
        <f>'ALCHWTU LX_Monthly'!A47</f>
        <v>2020-10-30</v>
      </c>
      <c r="B47">
        <f>'ALCHWTU LX_Monthly'!B47</f>
        <v>1661.29</v>
      </c>
      <c r="C47">
        <f>China_All_Shares_Index_Monthly!B47</f>
        <v>3481.47723</v>
      </c>
      <c r="D47">
        <f>('ALCHWTU LX_Monthly'!B47-'ALCHWTU LX_Monthly'!B46)/'ALCHWTU LX_Monthly'!B46</f>
        <v>5.308898665010079E-2</v>
      </c>
      <c r="E47">
        <f>(China_All_Shares_Index_Monthly!B47-China_All_Shares_Index_Monthly!B46)/China_All_Shares_Index_Monthly!B46</f>
        <v>4.730994852859844E-2</v>
      </c>
      <c r="F47">
        <f>(1+'Risk-free rate'!B47/100)^(1/12)-1</f>
        <v>8.3295163273211514E-5</v>
      </c>
      <c r="G47">
        <f t="shared" si="0"/>
        <v>5.3005691486827579E-2</v>
      </c>
      <c r="H47">
        <f t="shared" si="0"/>
        <v>4.7226653365325229E-2</v>
      </c>
    </row>
    <row r="48" spans="1:8" x14ac:dyDescent="0.3">
      <c r="A48" t="str">
        <f>'ALCHWTU LX_Monthly'!A48</f>
        <v>2020-11-30</v>
      </c>
      <c r="B48">
        <f>'ALCHWTU LX_Monthly'!B48</f>
        <v>1739.37</v>
      </c>
      <c r="C48">
        <f>China_All_Shares_Index_Monthly!B48</f>
        <v>3618.2460040000001</v>
      </c>
      <c r="D48">
        <f>('ALCHWTU LX_Monthly'!B48-'ALCHWTU LX_Monthly'!B47)/'ALCHWTU LX_Monthly'!B47</f>
        <v>4.6999620776625353E-2</v>
      </c>
      <c r="E48">
        <f>(China_All_Shares_Index_Monthly!B48-China_All_Shares_Index_Monthly!B47)/China_All_Shares_Index_Monthly!B47</f>
        <v>3.9284695824364224E-2</v>
      </c>
      <c r="F48">
        <f>(1+'Risk-free rate'!B48/100)^(1/12)-1</f>
        <v>7.4969080277487166E-5</v>
      </c>
      <c r="G48">
        <f t="shared" si="0"/>
        <v>4.6924651696347866E-2</v>
      </c>
      <c r="H48">
        <f t="shared" si="0"/>
        <v>3.9209726744086737E-2</v>
      </c>
    </row>
    <row r="49" spans="1:8" x14ac:dyDescent="0.3">
      <c r="A49" t="str">
        <f>'ALCHWTU LX_Monthly'!A49</f>
        <v>2020-12-31</v>
      </c>
      <c r="B49">
        <f>'ALCHWTU LX_Monthly'!B49</f>
        <v>1898.18</v>
      </c>
      <c r="C49">
        <f>China_All_Shares_Index_Monthly!B49</f>
        <v>3768.8008570000002</v>
      </c>
      <c r="D49">
        <f>('ALCHWTU LX_Monthly'!B49-'ALCHWTU LX_Monthly'!B48)/'ALCHWTU LX_Monthly'!B48</f>
        <v>9.1303172987921025E-2</v>
      </c>
      <c r="E49">
        <f>(China_All_Shares_Index_Monthly!B49-China_All_Shares_Index_Monthly!B48)/China_All_Shares_Index_Monthly!B48</f>
        <v>4.160989961256379E-2</v>
      </c>
      <c r="F49">
        <f>(1+'Risk-free rate'!B49/100)^(1/12)-1</f>
        <v>7.4969080277487166E-5</v>
      </c>
      <c r="G49">
        <f t="shared" si="0"/>
        <v>9.1228203907643537E-2</v>
      </c>
      <c r="H49">
        <f t="shared" si="0"/>
        <v>4.1534930532286303E-2</v>
      </c>
    </row>
    <row r="50" spans="1:8" x14ac:dyDescent="0.3">
      <c r="A50" t="str">
        <f>'ALCHWTU LX_Monthly'!A50</f>
        <v>2021-01-29</v>
      </c>
      <c r="B50">
        <f>'ALCHWTU LX_Monthly'!B50</f>
        <v>2015.2</v>
      </c>
      <c r="C50">
        <f>China_All_Shares_Index_Monthly!B50</f>
        <v>4005.389999</v>
      </c>
      <c r="D50">
        <f>('ALCHWTU LX_Monthly'!B50-'ALCHWTU LX_Monthly'!B49)/'ALCHWTU LX_Monthly'!B49</f>
        <v>6.1648526483262904E-2</v>
      </c>
      <c r="E50">
        <f>(China_All_Shares_Index_Monthly!B50-China_All_Shares_Index_Monthly!B49)/China_All_Shares_Index_Monthly!B49</f>
        <v>6.2775707971030048E-2</v>
      </c>
      <c r="F50">
        <f>(1+'Risk-free rate'!B50/100)^(1/12)-1</f>
        <v>6.6642234708869097E-5</v>
      </c>
      <c r="G50">
        <f t="shared" si="0"/>
        <v>6.1581884248554035E-2</v>
      </c>
      <c r="H50">
        <f t="shared" si="0"/>
        <v>6.2709065736321179E-2</v>
      </c>
    </row>
    <row r="51" spans="1:8" x14ac:dyDescent="0.3">
      <c r="A51" t="str">
        <f>'ALCHWTU LX_Monthly'!A51</f>
        <v>2021-02-26</v>
      </c>
      <c r="B51">
        <f>'ALCHWTU LX_Monthly'!B51</f>
        <v>1952.14</v>
      </c>
      <c r="C51">
        <f>China_All_Shares_Index_Monthly!B51</f>
        <v>3964.0609129999998</v>
      </c>
      <c r="D51">
        <f>('ALCHWTU LX_Monthly'!B51-'ALCHWTU LX_Monthly'!B50)/'ALCHWTU LX_Monthly'!B50</f>
        <v>-3.1292179436284213E-2</v>
      </c>
      <c r="E51">
        <f>(China_All_Shares_Index_Monthly!B51-China_All_Shares_Index_Monthly!B50)/China_All_Shares_Index_Monthly!B50</f>
        <v>-1.0318367502370196E-2</v>
      </c>
      <c r="F51">
        <f>(1+'Risk-free rate'!B51/100)^(1/12)-1</f>
        <v>3.3327223783574667E-5</v>
      </c>
      <c r="G51">
        <f t="shared" si="0"/>
        <v>-3.1325506660067788E-2</v>
      </c>
      <c r="H51">
        <f t="shared" si="0"/>
        <v>-1.0351694726153771E-2</v>
      </c>
    </row>
    <row r="52" spans="1:8" x14ac:dyDescent="0.3">
      <c r="A52" t="str">
        <f>'ALCHWTU LX_Monthly'!A52</f>
        <v>2021-03-31</v>
      </c>
      <c r="B52">
        <f>'ALCHWTU LX_Monthly'!B52</f>
        <v>1821.97</v>
      </c>
      <c r="C52">
        <f>China_All_Shares_Index_Monthly!B52</f>
        <v>3712.4446130000001</v>
      </c>
      <c r="D52">
        <f>('ALCHWTU LX_Monthly'!B52-'ALCHWTU LX_Monthly'!B51)/'ALCHWTU LX_Monthly'!B51</f>
        <v>-6.6680668394684839E-2</v>
      </c>
      <c r="E52">
        <f>(China_All_Shares_Index_Monthly!B52-China_All_Shares_Index_Monthly!B51)/China_All_Shares_Index_Monthly!B51</f>
        <v>-6.347437779647451E-2</v>
      </c>
      <c r="F52">
        <f>(1+'Risk-free rate'!B52/100)^(1/12)-1</f>
        <v>2.4996563158685703E-5</v>
      </c>
      <c r="G52">
        <f t="shared" si="0"/>
        <v>-6.6705664957843525E-2</v>
      </c>
      <c r="H52">
        <f t="shared" si="0"/>
        <v>-6.3499374359633196E-2</v>
      </c>
    </row>
    <row r="53" spans="1:8" x14ac:dyDescent="0.3">
      <c r="A53" t="str">
        <f>'ALCHWTU LX_Monthly'!A53</f>
        <v>2021-04-30</v>
      </c>
      <c r="B53">
        <f>'ALCHWTU LX_Monthly'!B53</f>
        <v>1921.86</v>
      </c>
      <c r="C53">
        <f>China_All_Shares_Index_Monthly!B53</f>
        <v>3798.2791670000001</v>
      </c>
      <c r="D53">
        <f>('ALCHWTU LX_Monthly'!B53-'ALCHWTU LX_Monthly'!B52)/'ALCHWTU LX_Monthly'!B52</f>
        <v>5.4825271546732314E-2</v>
      </c>
      <c r="E53">
        <f>(China_All_Shares_Index_Monthly!B53-China_All_Shares_Index_Monthly!B52)/China_All_Shares_Index_Monthly!B52</f>
        <v>2.3120763525853044E-2</v>
      </c>
      <c r="F53">
        <f>(1+'Risk-free rate'!B53/100)^(1/12)-1</f>
        <v>1.6665139084048874E-5</v>
      </c>
      <c r="G53">
        <f t="shared" si="0"/>
        <v>5.4808606407648265E-2</v>
      </c>
      <c r="H53">
        <f t="shared" si="0"/>
        <v>2.3104098386768995E-2</v>
      </c>
    </row>
    <row r="54" spans="1:8" x14ac:dyDescent="0.3">
      <c r="A54" t="str">
        <f>'ALCHWTU LX_Monthly'!A54</f>
        <v>2021-05-31</v>
      </c>
      <c r="B54">
        <f>'ALCHWTU LX_Monthly'!B54</f>
        <v>1974.87</v>
      </c>
      <c r="C54">
        <f>China_All_Shares_Index_Monthly!B54</f>
        <v>3904.501722</v>
      </c>
      <c r="D54">
        <f>('ALCHWTU LX_Monthly'!B54-'ALCHWTU LX_Monthly'!B53)/'ALCHWTU LX_Monthly'!B53</f>
        <v>2.7582654303643341E-2</v>
      </c>
      <c r="E54">
        <f>(China_All_Shares_Index_Monthly!B54-China_All_Shares_Index_Monthly!B53)/China_All_Shares_Index_Monthly!B53</f>
        <v>2.796596835821779E-2</v>
      </c>
      <c r="F54">
        <f>(1+'Risk-free rate'!B54/100)^(1/12)-1</f>
        <v>1.6665139084048874E-5</v>
      </c>
      <c r="G54">
        <f t="shared" si="0"/>
        <v>2.7565989164559292E-2</v>
      </c>
      <c r="H54">
        <f t="shared" si="0"/>
        <v>2.7949303219133741E-2</v>
      </c>
    </row>
    <row r="55" spans="1:8" x14ac:dyDescent="0.3">
      <c r="A55" t="str">
        <f>'ALCHWTU LX_Monthly'!A55</f>
        <v>2021-06-30</v>
      </c>
      <c r="B55">
        <f>'ALCHWTU LX_Monthly'!B55</f>
        <v>2018.32</v>
      </c>
      <c r="C55">
        <f>China_All_Shares_Index_Monthly!B55</f>
        <v>3885.8226960000002</v>
      </c>
      <c r="D55">
        <f>('ALCHWTU LX_Monthly'!B55-'ALCHWTU LX_Monthly'!B54)/'ALCHWTU LX_Monthly'!B54</f>
        <v>2.2001448196590178E-2</v>
      </c>
      <c r="E55">
        <f>(China_All_Shares_Index_Monthly!B55-China_All_Shares_Index_Monthly!B54)/China_All_Shares_Index_Monthly!B54</f>
        <v>-4.7839717664234635E-3</v>
      </c>
      <c r="F55">
        <f>(1+'Risk-free rate'!B55/100)^(1/12)-1</f>
        <v>3.3327223783574667E-5</v>
      </c>
      <c r="G55">
        <f t="shared" si="0"/>
        <v>2.1968120972806603E-2</v>
      </c>
      <c r="H55">
        <f t="shared" si="0"/>
        <v>-4.8172989902070381E-3</v>
      </c>
    </row>
    <row r="56" spans="1:8" x14ac:dyDescent="0.3">
      <c r="A56" t="str">
        <f>'ALCHWTU LX_Monthly'!A56</f>
        <v>2021-07-30</v>
      </c>
      <c r="B56">
        <f>'ALCHWTU LX_Monthly'!B56</f>
        <v>1785.15</v>
      </c>
      <c r="C56">
        <f>China_All_Shares_Index_Monthly!B56</f>
        <v>3453.3807350000002</v>
      </c>
      <c r="D56">
        <f>('ALCHWTU LX_Monthly'!B56-'ALCHWTU LX_Monthly'!B55)/'ALCHWTU LX_Monthly'!B55</f>
        <v>-0.11552677474335084</v>
      </c>
      <c r="E56">
        <f>(China_All_Shares_Index_Monthly!B56-China_All_Shares_Index_Monthly!B55)/China_All_Shares_Index_Monthly!B55</f>
        <v>-0.11128710567395378</v>
      </c>
      <c r="F56">
        <f>(1+'Risk-free rate'!B56/100)^(1/12)-1</f>
        <v>4.1657121104599071E-5</v>
      </c>
      <c r="G56">
        <f t="shared" si="0"/>
        <v>-0.11556843186445544</v>
      </c>
      <c r="H56">
        <f t="shared" si="0"/>
        <v>-0.11132876279505838</v>
      </c>
    </row>
    <row r="57" spans="1:8" x14ac:dyDescent="0.3">
      <c r="A57" t="str">
        <f>'ALCHWTU LX_Monthly'!A57</f>
        <v>2021-08-31</v>
      </c>
      <c r="B57">
        <f>'ALCHWTU LX_Monthly'!B57</f>
        <v>1752.86</v>
      </c>
      <c r="C57">
        <f>China_All_Shares_Index_Monthly!B57</f>
        <v>3461.0799769999999</v>
      </c>
      <c r="D57">
        <f>('ALCHWTU LX_Monthly'!B57-'ALCHWTU LX_Monthly'!B56)/'ALCHWTU LX_Monthly'!B56</f>
        <v>-1.8088115844607001E-2</v>
      </c>
      <c r="E57">
        <f>(China_All_Shares_Index_Monthly!B57-China_All_Shares_Index_Monthly!B56)/China_All_Shares_Index_Monthly!B56</f>
        <v>2.2294796290394216E-3</v>
      </c>
      <c r="F57">
        <f>(1+'Risk-free rate'!B57/100)^(1/12)-1</f>
        <v>4.1657121104599071E-5</v>
      </c>
      <c r="G57">
        <f t="shared" si="0"/>
        <v>-1.81297729657116E-2</v>
      </c>
      <c r="H57">
        <f t="shared" si="0"/>
        <v>2.1878225079348225E-3</v>
      </c>
    </row>
    <row r="58" spans="1:8" x14ac:dyDescent="0.3">
      <c r="A58" t="str">
        <f>'ALCHWTU LX_Monthly'!A58</f>
        <v>2021-09-30</v>
      </c>
      <c r="B58">
        <f>'ALCHWTU LX_Monthly'!B58</f>
        <v>1701.36</v>
      </c>
      <c r="C58">
        <f>China_All_Shares_Index_Monthly!B58</f>
        <v>3367.2879349999998</v>
      </c>
      <c r="D58">
        <f>('ALCHWTU LX_Monthly'!B58-'ALCHWTU LX_Monthly'!B57)/'ALCHWTU LX_Monthly'!B57</f>
        <v>-2.9380555206918981E-2</v>
      </c>
      <c r="E58">
        <f>(China_All_Shares_Index_Monthly!B58-China_All_Shares_Index_Monthly!B57)/China_All_Shares_Index_Monthly!B57</f>
        <v>-2.7099068101077872E-2</v>
      </c>
      <c r="F58">
        <f>(1+'Risk-free rate'!B58/100)^(1/12)-1</f>
        <v>3.3327223783574667E-5</v>
      </c>
      <c r="G58">
        <f t="shared" si="0"/>
        <v>-2.9413882430702556E-2</v>
      </c>
      <c r="H58">
        <f t="shared" si="0"/>
        <v>-2.7132395324861447E-2</v>
      </c>
    </row>
    <row r="59" spans="1:8" x14ac:dyDescent="0.3">
      <c r="A59" t="str">
        <f>'ALCHWTU LX_Monthly'!A59</f>
        <v>2021-10-29</v>
      </c>
      <c r="B59">
        <f>'ALCHWTU LX_Monthly'!B59</f>
        <v>1765.49</v>
      </c>
      <c r="C59">
        <f>China_All_Shares_Index_Monthly!B59</f>
        <v>3460.9630109999998</v>
      </c>
      <c r="D59">
        <f>('ALCHWTU LX_Monthly'!B59-'ALCHWTU LX_Monthly'!B58)/'ALCHWTU LX_Monthly'!B58</f>
        <v>3.7693374711995173E-2</v>
      </c>
      <c r="E59">
        <f>(China_All_Shares_Index_Monthly!B59-China_All_Shares_Index_Monthly!B58)/China_All_Shares_Index_Monthly!B58</f>
        <v>2.7819146389689419E-2</v>
      </c>
      <c r="F59">
        <f>(1+'Risk-free rate'!B59/100)^(1/12)-1</f>
        <v>4.1657121104599071E-5</v>
      </c>
      <c r="G59">
        <f t="shared" si="0"/>
        <v>3.7651717590890574E-2</v>
      </c>
      <c r="H59">
        <f t="shared" si="0"/>
        <v>2.777748926858482E-2</v>
      </c>
    </row>
    <row r="60" spans="1:8" x14ac:dyDescent="0.3">
      <c r="A60" t="str">
        <f>'ALCHWTU LX_Monthly'!A60</f>
        <v>2021-11-30</v>
      </c>
      <c r="B60">
        <f>'ALCHWTU LX_Monthly'!B60</f>
        <v>1692.88</v>
      </c>
      <c r="C60">
        <f>China_All_Shares_Index_Monthly!B60</f>
        <v>3332.834773</v>
      </c>
      <c r="D60">
        <f>('ALCHWTU LX_Monthly'!B60-'ALCHWTU LX_Monthly'!B59)/'ALCHWTU LX_Monthly'!B59</f>
        <v>-4.1127392395312296E-2</v>
      </c>
      <c r="E60">
        <f>(China_All_Shares_Index_Monthly!B60-China_All_Shares_Index_Monthly!B59)/China_All_Shares_Index_Monthly!B59</f>
        <v>-3.7020978725507615E-2</v>
      </c>
      <c r="F60">
        <f>(1+'Risk-free rate'!B60/100)^(1/12)-1</f>
        <v>4.1657121104599071E-5</v>
      </c>
      <c r="G60">
        <f t="shared" si="0"/>
        <v>-4.1169049516416895E-2</v>
      </c>
      <c r="H60">
        <f t="shared" si="0"/>
        <v>-3.7062635846612214E-2</v>
      </c>
    </row>
    <row r="61" spans="1:8" x14ac:dyDescent="0.3">
      <c r="A61" t="str">
        <f>'ALCHWTU LX_Monthly'!A61</f>
        <v>2021-12-31</v>
      </c>
      <c r="B61">
        <f>'ALCHWTU LX_Monthly'!B61</f>
        <v>1665.76</v>
      </c>
      <c r="C61">
        <f>China_All_Shares_Index_Monthly!B61</f>
        <v>3282.2545730000002</v>
      </c>
      <c r="D61">
        <f>('ALCHWTU LX_Monthly'!B61-'ALCHWTU LX_Monthly'!B60)/'ALCHWTU LX_Monthly'!B60</f>
        <v>-1.602003686026187E-2</v>
      </c>
      <c r="E61">
        <f>(China_All_Shares_Index_Monthly!B61-China_All_Shares_Index_Monthly!B60)/China_All_Shares_Index_Monthly!B60</f>
        <v>-1.5176329894827305E-2</v>
      </c>
      <c r="F61">
        <f>(1+'Risk-free rate'!B61/100)^(1/12)-1</f>
        <v>4.99862552685304E-5</v>
      </c>
      <c r="G61">
        <f t="shared" si="0"/>
        <v>-1.60700231155304E-2</v>
      </c>
      <c r="H61">
        <f t="shared" si="0"/>
        <v>-1.5226316150095835E-2</v>
      </c>
    </row>
    <row r="62" spans="1:8" x14ac:dyDescent="0.3">
      <c r="A62" t="str">
        <f>'ALCHWTU LX_Monthly'!A62</f>
        <v>2022-01-31</v>
      </c>
      <c r="B62">
        <f>'ALCHWTU LX_Monthly'!B62</f>
        <v>1560.55</v>
      </c>
      <c r="C62">
        <f>China_All_Shares_Index_Monthly!B62</f>
        <v>3107.4786709999998</v>
      </c>
      <c r="D62">
        <f>('ALCHWTU LX_Monthly'!B62-'ALCHWTU LX_Monthly'!B61)/'ALCHWTU LX_Monthly'!B61</f>
        <v>-6.3160359235424096E-2</v>
      </c>
      <c r="E62">
        <f>(China_All_Shares_Index_Monthly!B62-China_All_Shares_Index_Monthly!B61)/China_All_Shares_Index_Monthly!B61</f>
        <v>-5.3248734402784027E-2</v>
      </c>
      <c r="F62">
        <f>(1+'Risk-free rate'!B62/100)^(1/12)-1</f>
        <v>1.2491414476678564E-4</v>
      </c>
      <c r="G62">
        <f t="shared" si="0"/>
        <v>-6.3285273380190882E-2</v>
      </c>
      <c r="H62">
        <f t="shared" si="0"/>
        <v>-5.3373648547550813E-2</v>
      </c>
    </row>
    <row r="63" spans="1:8" x14ac:dyDescent="0.3">
      <c r="A63" t="str">
        <f>'ALCHWTU LX_Monthly'!A63</f>
        <v>2022-02-28</v>
      </c>
      <c r="B63">
        <f>'ALCHWTU LX_Monthly'!B63</f>
        <v>1544.53</v>
      </c>
      <c r="C63">
        <f>China_All_Shares_Index_Monthly!B63</f>
        <v>3069.2820790000001</v>
      </c>
      <c r="D63">
        <f>('ALCHWTU LX_Monthly'!B63-'ALCHWTU LX_Monthly'!B62)/'ALCHWTU LX_Monthly'!B62</f>
        <v>-1.0265611483130935E-2</v>
      </c>
      <c r="E63">
        <f>(China_All_Shares_Index_Monthly!B63-China_All_Shares_Index_Monthly!B62)/China_All_Shares_Index_Monthly!B62</f>
        <v>-1.2291827569554308E-2</v>
      </c>
      <c r="F63">
        <f>(1+'Risk-free rate'!B63/100)^(1/12)-1</f>
        <v>2.7458493733023559E-4</v>
      </c>
      <c r="G63">
        <f t="shared" si="0"/>
        <v>-1.0540196420461171E-2</v>
      </c>
      <c r="H63">
        <f t="shared" si="0"/>
        <v>-1.2566412506884544E-2</v>
      </c>
    </row>
    <row r="64" spans="1:8" x14ac:dyDescent="0.3">
      <c r="A64" t="str">
        <f>'ALCHWTU LX_Monthly'!A64</f>
        <v>2022-03-31</v>
      </c>
      <c r="B64">
        <f>'ALCHWTU LX_Monthly'!B64</f>
        <v>1387.86</v>
      </c>
      <c r="C64">
        <f>China_All_Shares_Index_Monthly!B64</f>
        <v>2814.1342180000001</v>
      </c>
      <c r="D64">
        <f>('ALCHWTU LX_Monthly'!B64-'ALCHWTU LX_Monthly'!B63)/'ALCHWTU LX_Monthly'!B63</f>
        <v>-0.10143538811159386</v>
      </c>
      <c r="E64">
        <f>(China_All_Shares_Index_Monthly!B64-China_All_Shares_Index_Monthly!B63)/China_All_Shares_Index_Monthly!B63</f>
        <v>-8.3129492315391684E-2</v>
      </c>
      <c r="F64">
        <f>(1+'Risk-free rate'!B64/100)^(1/12)-1</f>
        <v>3.6592929423662213E-4</v>
      </c>
      <c r="G64">
        <f t="shared" si="0"/>
        <v>-0.10180131740583048</v>
      </c>
      <c r="H64">
        <f t="shared" si="0"/>
        <v>-8.3495421609628306E-2</v>
      </c>
    </row>
    <row r="65" spans="1:8" x14ac:dyDescent="0.3">
      <c r="A65" t="str">
        <f>'ALCHWTU LX_Monthly'!A65</f>
        <v>2022-04-29</v>
      </c>
      <c r="B65">
        <f>'ALCHWTU LX_Monthly'!B65</f>
        <v>1308.42</v>
      </c>
      <c r="C65">
        <f>China_All_Shares_Index_Monthly!B65</f>
        <v>2637.760053</v>
      </c>
      <c r="D65">
        <f>('ALCHWTU LX_Monthly'!B65-'ALCHWTU LX_Monthly'!B64)/'ALCHWTU LX_Monthly'!B64</f>
        <v>-5.7239202801435185E-2</v>
      </c>
      <c r="E65">
        <f>(China_All_Shares_Index_Monthly!B65-China_All_Shares_Index_Monthly!B64)/China_All_Shares_Index_Monthly!B64</f>
        <v>-6.2674396932406784E-2</v>
      </c>
      <c r="F65">
        <f>(1+'Risk-free rate'!B65/100)^(1/12)-1</f>
        <v>6.3113787510671315E-4</v>
      </c>
      <c r="G65">
        <f t="shared" si="0"/>
        <v>-5.7870340676541898E-2</v>
      </c>
      <c r="H65">
        <f t="shared" si="0"/>
        <v>-6.3305534807513497E-2</v>
      </c>
    </row>
    <row r="66" spans="1:8" x14ac:dyDescent="0.3">
      <c r="A66" t="str">
        <f>'ALCHWTU LX_Monthly'!A66</f>
        <v>2022-05-31</v>
      </c>
      <c r="B66">
        <f>'ALCHWTU LX_Monthly'!B66</f>
        <v>1317.75</v>
      </c>
      <c r="C66">
        <f>China_All_Shares_Index_Monthly!B66</f>
        <v>2685.6858350000002</v>
      </c>
      <c r="D66">
        <f>('ALCHWTU LX_Monthly'!B66-'ALCHWTU LX_Monthly'!B65)/'ALCHWTU LX_Monthly'!B65</f>
        <v>7.1307378364744703E-3</v>
      </c>
      <c r="E66">
        <f>(China_All_Shares_Index_Monthly!B66-China_All_Shares_Index_Monthly!B65)/China_All_Shares_Index_Monthly!B65</f>
        <v>1.8169121162288013E-2</v>
      </c>
      <c r="F66">
        <f>(1+'Risk-free rate'!B66/100)^(1/12)-1</f>
        <v>8.1302127632687515E-4</v>
      </c>
      <c r="G66">
        <f t="shared" si="0"/>
        <v>6.3177165601475951E-3</v>
      </c>
      <c r="H66">
        <f t="shared" si="0"/>
        <v>1.7356099885961138E-2</v>
      </c>
    </row>
    <row r="67" spans="1:8" x14ac:dyDescent="0.3">
      <c r="A67" t="str">
        <f>'ALCHWTU LX_Monthly'!A67</f>
        <v>2022-06-30</v>
      </c>
      <c r="B67">
        <f>'ALCHWTU LX_Monthly'!B67</f>
        <v>1397.64</v>
      </c>
      <c r="C67">
        <f>China_All_Shares_Index_Monthly!B67</f>
        <v>2895.8374050000002</v>
      </c>
      <c r="D67">
        <f>('ALCHWTU LX_Monthly'!B67-'ALCHWTU LX_Monthly'!B66)/'ALCHWTU LX_Monthly'!B66</f>
        <v>6.0626067159931775E-2</v>
      </c>
      <c r="E67">
        <f>(China_All_Shares_Index_Monthly!B67-China_All_Shares_Index_Monthly!B66)/China_All_Shares_Index_Monthly!B66</f>
        <v>7.824875391652053E-2</v>
      </c>
      <c r="F67">
        <f>(1+'Risk-free rate'!B67/100)^(1/12)-1</f>
        <v>1.2332669717645128E-3</v>
      </c>
      <c r="G67">
        <f t="shared" si="0"/>
        <v>5.9392800188167262E-2</v>
      </c>
      <c r="H67">
        <f t="shared" si="0"/>
        <v>7.7015486944756018E-2</v>
      </c>
    </row>
    <row r="68" spans="1:8" x14ac:dyDescent="0.3">
      <c r="A68" t="str">
        <f>'ALCHWTU LX_Monthly'!A68</f>
        <v>2022-07-29</v>
      </c>
      <c r="B68">
        <f>'ALCHWTU LX_Monthly'!B68</f>
        <v>1295.1099999999999</v>
      </c>
      <c r="C68">
        <f>China_All_Shares_Index_Monthly!B68</f>
        <v>2662.0596230000001</v>
      </c>
      <c r="D68">
        <f>('ALCHWTU LX_Monthly'!B68-'ALCHWTU LX_Monthly'!B67)/'ALCHWTU LX_Monthly'!B67</f>
        <v>-7.3359377235912099E-2</v>
      </c>
      <c r="E68">
        <f>(China_All_Shares_Index_Monthly!B68-China_All_Shares_Index_Monthly!B67)/China_All_Shares_Index_Monthly!B67</f>
        <v>-8.0728904736279597E-2</v>
      </c>
      <c r="F68">
        <f>(1+'Risk-free rate'!B68/100)^(1/12)-1</f>
        <v>1.8396059010297172E-3</v>
      </c>
      <c r="G68">
        <f t="shared" ref="G68:H97" si="1">D68-$F68</f>
        <v>-7.5198983136941816E-2</v>
      </c>
      <c r="H68">
        <f t="shared" si="1"/>
        <v>-8.2568510637309314E-2</v>
      </c>
    </row>
    <row r="69" spans="1:8" x14ac:dyDescent="0.3">
      <c r="A69" t="str">
        <f>'ALCHWTU LX_Monthly'!A69</f>
        <v>2022-08-31</v>
      </c>
      <c r="B69">
        <f>'ALCHWTU LX_Monthly'!B69</f>
        <v>1268.95</v>
      </c>
      <c r="C69">
        <f>China_All_Shares_Index_Monthly!B69</f>
        <v>2619.1207119999999</v>
      </c>
      <c r="D69">
        <f>('ALCHWTU LX_Monthly'!B69-'ALCHWTU LX_Monthly'!B68)/'ALCHWTU LX_Monthly'!B68</f>
        <v>-2.0199056450803297E-2</v>
      </c>
      <c r="E69">
        <f>(China_All_Shares_Index_Monthly!B69-China_All_Shares_Index_Monthly!B68)/China_All_Shares_Index_Monthly!B68</f>
        <v>-1.6129958408523666E-2</v>
      </c>
      <c r="F69">
        <f>(1+'Risk-free rate'!B69/100)^(1/12)-1</f>
        <v>2.1656835180154932E-3</v>
      </c>
      <c r="G69">
        <f t="shared" si="1"/>
        <v>-2.2364739968818791E-2</v>
      </c>
      <c r="H69">
        <f t="shared" si="1"/>
        <v>-1.8295641926539159E-2</v>
      </c>
    </row>
    <row r="70" spans="1:8" x14ac:dyDescent="0.3">
      <c r="A70" t="str">
        <f>'ALCHWTU LX_Monthly'!A70</f>
        <v>2022-09-30</v>
      </c>
      <c r="B70">
        <f>'ALCHWTU LX_Monthly'!B70</f>
        <v>1119.03</v>
      </c>
      <c r="C70">
        <f>China_All_Shares_Index_Monthly!B70</f>
        <v>2298.1362049999998</v>
      </c>
      <c r="D70">
        <f>('ALCHWTU LX_Monthly'!B70-'ALCHWTU LX_Monthly'!B69)/'ALCHWTU LX_Monthly'!B69</f>
        <v>-0.11814492296780808</v>
      </c>
      <c r="E70">
        <f>(China_All_Shares_Index_Monthly!B70-China_All_Shares_Index_Monthly!B69)/China_All_Shares_Index_Monthly!B69</f>
        <v>-0.12255430058238573</v>
      </c>
      <c r="F70">
        <f>(1+'Risk-free rate'!B70/100)^(1/12)-1</f>
        <v>2.5716462189622202E-3</v>
      </c>
      <c r="G70">
        <f t="shared" si="1"/>
        <v>-0.1207165691867703</v>
      </c>
      <c r="H70">
        <f t="shared" si="1"/>
        <v>-0.12512594680134795</v>
      </c>
    </row>
    <row r="71" spans="1:8" x14ac:dyDescent="0.3">
      <c r="A71" t="str">
        <f>'ALCHWTU LX_Monthly'!A71</f>
        <v>2022-10-31</v>
      </c>
      <c r="B71">
        <f>'ALCHWTU LX_Monthly'!B71</f>
        <v>952.34</v>
      </c>
      <c r="C71">
        <f>China_All_Shares_Index_Monthly!B71</f>
        <v>1987.3461500000001</v>
      </c>
      <c r="D71">
        <f>('ALCHWTU LX_Monthly'!B71-'ALCHWTU LX_Monthly'!B70)/'ALCHWTU LX_Monthly'!B70</f>
        <v>-0.14895936659428249</v>
      </c>
      <c r="E71">
        <f>(China_All_Shares_Index_Monthly!B71-China_All_Shares_Index_Monthly!B70)/China_All_Shares_Index_Monthly!B70</f>
        <v>-0.13523569852988751</v>
      </c>
      <c r="F71">
        <f>(1+'Risk-free rate'!B71/100)^(1/12)-1</f>
        <v>3.0483680766628662E-3</v>
      </c>
      <c r="G71">
        <f t="shared" si="1"/>
        <v>-0.15200773467094536</v>
      </c>
      <c r="H71">
        <f t="shared" si="1"/>
        <v>-0.13828406660655038</v>
      </c>
    </row>
    <row r="72" spans="1:8" x14ac:dyDescent="0.3">
      <c r="A72" t="str">
        <f>'ALCHWTU LX_Monthly'!A72</f>
        <v>2022-11-30</v>
      </c>
      <c r="B72">
        <f>'ALCHWTU LX_Monthly'!B72</f>
        <v>1127.3900000000001</v>
      </c>
      <c r="C72">
        <f>China_All_Shares_Index_Monthly!B72</f>
        <v>2410.539839</v>
      </c>
      <c r="D72">
        <f>('ALCHWTU LX_Monthly'!B72-'ALCHWTU LX_Monthly'!B71)/'ALCHWTU LX_Monthly'!B71</f>
        <v>0.18381040384736549</v>
      </c>
      <c r="E72">
        <f>(China_All_Shares_Index_Monthly!B72-China_All_Shares_Index_Monthly!B71)/China_All_Shares_Index_Monthly!B71</f>
        <v>0.21294412601448415</v>
      </c>
      <c r="F72">
        <f>(1+'Risk-free rate'!B72/100)^(1/12)-1</f>
        <v>3.3942459274463044E-3</v>
      </c>
      <c r="G72">
        <f t="shared" si="1"/>
        <v>0.18041615791991919</v>
      </c>
      <c r="H72">
        <f t="shared" si="1"/>
        <v>0.20954988008703784</v>
      </c>
    </row>
    <row r="73" spans="1:8" x14ac:dyDescent="0.3">
      <c r="A73" t="str">
        <f>'ALCHWTU LX_Monthly'!A73</f>
        <v>2022-12-30</v>
      </c>
      <c r="B73">
        <f>'ALCHWTU LX_Monthly'!B73</f>
        <v>1186.22</v>
      </c>
      <c r="C73">
        <f>China_All_Shares_Index_Monthly!B73</f>
        <v>2507.3919380000002</v>
      </c>
      <c r="D73">
        <f>('ALCHWTU LX_Monthly'!B73-'ALCHWTU LX_Monthly'!B72)/'ALCHWTU LX_Monthly'!B72</f>
        <v>5.2182474565145978E-2</v>
      </c>
      <c r="E73">
        <f>(China_All_Shares_Index_Monthly!B73-China_All_Shares_Index_Monthly!B72)/China_All_Shares_Index_Monthly!B72</f>
        <v>4.0178592957907211E-2</v>
      </c>
      <c r="F73">
        <f>(1+'Risk-free rate'!B73/100)^(1/12)-1</f>
        <v>3.474495003497502E-3</v>
      </c>
      <c r="G73">
        <f t="shared" si="1"/>
        <v>4.8707979561648476E-2</v>
      </c>
      <c r="H73">
        <f t="shared" si="1"/>
        <v>3.6704097954409709E-2</v>
      </c>
    </row>
    <row r="74" spans="1:8" x14ac:dyDescent="0.3">
      <c r="A74" t="str">
        <f>'ALCHWTU LX_Monthly'!A74</f>
        <v>2023-01-31</v>
      </c>
      <c r="B74">
        <f>'ALCHWTU LX_Monthly'!B74</f>
        <v>1303.73</v>
      </c>
      <c r="C74">
        <f>China_All_Shares_Index_Monthly!B74</f>
        <v>2784.5936929999998</v>
      </c>
      <c r="D74">
        <f>('ALCHWTU LX_Monthly'!B74-'ALCHWTU LX_Monthly'!B73)/'ALCHWTU LX_Monthly'!B73</f>
        <v>9.9062568494882902E-2</v>
      </c>
      <c r="E74">
        <f>(China_All_Shares_Index_Monthly!B74-China_All_Shares_Index_Monthly!B73)/China_All_Shares_Index_Monthly!B73</f>
        <v>0.11055381920909708</v>
      </c>
      <c r="F74">
        <f>(1+'Risk-free rate'!B74/100)^(1/12)-1</f>
        <v>3.7068189305531352E-3</v>
      </c>
      <c r="G74">
        <f t="shared" si="1"/>
        <v>9.5355749564329767E-2</v>
      </c>
      <c r="H74">
        <f t="shared" si="1"/>
        <v>0.10684700027854395</v>
      </c>
    </row>
    <row r="75" spans="1:8" x14ac:dyDescent="0.3">
      <c r="A75" t="str">
        <f>'ALCHWTU LX_Monthly'!A75</f>
        <v>2023-02-28</v>
      </c>
      <c r="B75">
        <f>'ALCHWTU LX_Monthly'!B75</f>
        <v>1176.22</v>
      </c>
      <c r="C75">
        <f>China_All_Shares_Index_Monthly!B75</f>
        <v>2566.704718</v>
      </c>
      <c r="D75">
        <f>('ALCHWTU LX_Monthly'!B75-'ALCHWTU LX_Monthly'!B74)/'ALCHWTU LX_Monthly'!B74</f>
        <v>-9.7803993158092545E-2</v>
      </c>
      <c r="E75">
        <f>(China_All_Shares_Index_Monthly!B75-China_All_Shares_Index_Monthly!B74)/China_All_Shares_Index_Monthly!B74</f>
        <v>-7.824803149836046E-2</v>
      </c>
      <c r="F75">
        <f>(1+'Risk-free rate'!B75/100)^(1/12)-1</f>
        <v>3.7947872834442897E-3</v>
      </c>
      <c r="G75">
        <f t="shared" si="1"/>
        <v>-0.10159878044153683</v>
      </c>
      <c r="H75">
        <f t="shared" si="1"/>
        <v>-8.2042818781804749E-2</v>
      </c>
    </row>
    <row r="76" spans="1:8" x14ac:dyDescent="0.3">
      <c r="A76" t="str">
        <f>'ALCHWTU LX_Monthly'!A76</f>
        <v>2023-03-31</v>
      </c>
      <c r="B76">
        <f>'ALCHWTU LX_Monthly'!B76</f>
        <v>1199.74</v>
      </c>
      <c r="C76">
        <f>China_All_Shares_Index_Monthly!B76</f>
        <v>2632.9079900000002</v>
      </c>
      <c r="D76">
        <f>('ALCHWTU LX_Monthly'!B76-'ALCHWTU LX_Monthly'!B75)/'ALCHWTU LX_Monthly'!B75</f>
        <v>1.9996259203210267E-2</v>
      </c>
      <c r="E76">
        <f>(China_All_Shares_Index_Monthly!B76-China_All_Shares_Index_Monthly!B75)/China_All_Shares_Index_Monthly!B75</f>
        <v>2.5793100209667436E-2</v>
      </c>
      <c r="F76">
        <f>(1+'Risk-free rate'!B76/100)^(1/12)-1</f>
        <v>3.8267547616503972E-3</v>
      </c>
      <c r="G76">
        <f t="shared" si="1"/>
        <v>1.616950444155987E-2</v>
      </c>
      <c r="H76">
        <f t="shared" si="1"/>
        <v>2.1966345448017038E-2</v>
      </c>
    </row>
    <row r="77" spans="1:8" x14ac:dyDescent="0.3">
      <c r="A77" t="str">
        <f>'ALCHWTU LX_Monthly'!A77</f>
        <v>2023-04-28</v>
      </c>
      <c r="B77">
        <f>'ALCHWTU LX_Monthly'!B77</f>
        <v>1132.26</v>
      </c>
      <c r="C77">
        <f>China_All_Shares_Index_Monthly!B77</f>
        <v>2530.9014710000001</v>
      </c>
      <c r="D77">
        <f>('ALCHWTU LX_Monthly'!B77-'ALCHWTU LX_Monthly'!B76)/'ALCHWTU LX_Monthly'!B76</f>
        <v>-5.6245519862636921E-2</v>
      </c>
      <c r="E77">
        <f>(China_All_Shares_Index_Monthly!B77-China_All_Shares_Index_Monthly!B76)/China_All_Shares_Index_Monthly!B76</f>
        <v>-3.8742910647629587E-2</v>
      </c>
      <c r="F77">
        <f>(1+'Risk-free rate'!B77/100)^(1/12)-1</f>
        <v>4.0103507726252374E-3</v>
      </c>
      <c r="G77">
        <f t="shared" si="1"/>
        <v>-6.0255870635262158E-2</v>
      </c>
      <c r="H77">
        <f t="shared" si="1"/>
        <v>-4.2753261420254825E-2</v>
      </c>
    </row>
    <row r="78" spans="1:8" x14ac:dyDescent="0.3">
      <c r="A78" t="str">
        <f>'ALCHWTU LX_Monthly'!A78</f>
        <v>2023-05-31</v>
      </c>
      <c r="B78">
        <f>'ALCHWTU LX_Monthly'!B78</f>
        <v>1034.03</v>
      </c>
      <c r="C78">
        <f>China_All_Shares_Index_Monthly!B78</f>
        <v>2329.8747410000001</v>
      </c>
      <c r="D78">
        <f>('ALCHWTU LX_Monthly'!B78-'ALCHWTU LX_Monthly'!B77)/'ALCHWTU LX_Monthly'!B77</f>
        <v>-8.6755692155512001E-2</v>
      </c>
      <c r="E78">
        <f>(China_All_Shares_Index_Monthly!B78-China_All_Shares_Index_Monthly!B77)/China_All_Shares_Index_Monthly!B77</f>
        <v>-7.9428904010463569E-2</v>
      </c>
      <c r="F78">
        <f>(1+'Risk-free rate'!B78/100)^(1/12)-1</f>
        <v>4.1856194553282489E-3</v>
      </c>
      <c r="G78">
        <f t="shared" si="1"/>
        <v>-9.094131161084025E-2</v>
      </c>
      <c r="H78">
        <f t="shared" si="1"/>
        <v>-8.3614523465791818E-2</v>
      </c>
    </row>
    <row r="79" spans="1:8" x14ac:dyDescent="0.3">
      <c r="A79" t="str">
        <f>'ALCHWTU LX_Monthly'!A79</f>
        <v>2023-06-30</v>
      </c>
      <c r="B79">
        <f>'ALCHWTU LX_Monthly'!B79</f>
        <v>1061.74</v>
      </c>
      <c r="C79">
        <f>China_All_Shares_Index_Monthly!B79</f>
        <v>2373.0468510000001</v>
      </c>
      <c r="D79">
        <f>('ALCHWTU LX_Monthly'!B79-'ALCHWTU LX_Monthly'!B78)/'ALCHWTU LX_Monthly'!B78</f>
        <v>2.6798061951780933E-2</v>
      </c>
      <c r="E79">
        <f>(China_All_Shares_Index_Monthly!B79-China_All_Shares_Index_Monthly!B78)/China_All_Shares_Index_Monthly!B78</f>
        <v>1.8529798722771756E-2</v>
      </c>
      <c r="F79">
        <f>(1+'Risk-free rate'!B79/100)^(1/12)-1</f>
        <v>4.2015362976310922E-3</v>
      </c>
      <c r="G79">
        <f t="shared" si="1"/>
        <v>2.2596525654149841E-2</v>
      </c>
      <c r="H79">
        <f t="shared" si="1"/>
        <v>1.4328262425140664E-2</v>
      </c>
    </row>
    <row r="80" spans="1:8" x14ac:dyDescent="0.3">
      <c r="A80" t="str">
        <f>'ALCHWTU LX_Monthly'!A80</f>
        <v>2023-07-31</v>
      </c>
      <c r="B80">
        <f>'ALCHWTU LX_Monthly'!B80</f>
        <v>1152.8</v>
      </c>
      <c r="C80">
        <f>China_All_Shares_Index_Monthly!B80</f>
        <v>2586.3922219999999</v>
      </c>
      <c r="D80">
        <f>('ALCHWTU LX_Monthly'!B80-'ALCHWTU LX_Monthly'!B79)/'ALCHWTU LX_Monthly'!B79</f>
        <v>8.5764876523442599E-2</v>
      </c>
      <c r="E80">
        <f>(China_All_Shares_Index_Monthly!B80-China_All_Shares_Index_Monthly!B79)/China_All_Shares_Index_Monthly!B79</f>
        <v>8.9903564655748919E-2</v>
      </c>
      <c r="F80">
        <f>(1+'Risk-free rate'!B80/100)^(1/12)-1</f>
        <v>4.2731277661580691E-3</v>
      </c>
      <c r="G80">
        <f t="shared" si="1"/>
        <v>8.1491748757284529E-2</v>
      </c>
      <c r="H80">
        <f t="shared" si="1"/>
        <v>8.563043688959085E-2</v>
      </c>
    </row>
    <row r="81" spans="1:8" x14ac:dyDescent="0.3">
      <c r="A81" t="str">
        <f>'ALCHWTU LX_Monthly'!A81</f>
        <v>2023-08-31</v>
      </c>
      <c r="B81">
        <f>'ALCHWTU LX_Monthly'!B81</f>
        <v>1060.42</v>
      </c>
      <c r="C81">
        <f>China_All_Shares_Index_Monthly!B81</f>
        <v>2363.7522819999999</v>
      </c>
      <c r="D81">
        <f>('ALCHWTU LX_Monthly'!B81-'ALCHWTU LX_Monthly'!B80)/'ALCHWTU LX_Monthly'!B80</f>
        <v>-8.0135322692574507E-2</v>
      </c>
      <c r="E81">
        <f>(China_All_Shares_Index_Monthly!B81-China_All_Shares_Index_Monthly!B80)/China_All_Shares_Index_Monthly!B80</f>
        <v>-8.6081274953664022E-2</v>
      </c>
      <c r="F81">
        <f>(1+'Risk-free rate'!B81/100)^(1/12)-1</f>
        <v>4.3128765598297036E-3</v>
      </c>
      <c r="G81">
        <f t="shared" si="1"/>
        <v>-8.444819925240421E-2</v>
      </c>
      <c r="H81">
        <f t="shared" si="1"/>
        <v>-9.0394151513493726E-2</v>
      </c>
    </row>
    <row r="82" spans="1:8" x14ac:dyDescent="0.3">
      <c r="A82" t="str">
        <f>'ALCHWTU LX_Monthly'!A82</f>
        <v>2023-09-29</v>
      </c>
      <c r="B82">
        <f>'ALCHWTU LX_Monthly'!B82</f>
        <v>1007.35</v>
      </c>
      <c r="C82">
        <f>China_All_Shares_Index_Monthly!B82</f>
        <v>2306.3368559999999</v>
      </c>
      <c r="D82">
        <f>('ALCHWTU LX_Monthly'!B82-'ALCHWTU LX_Monthly'!B81)/'ALCHWTU LX_Monthly'!B81</f>
        <v>-5.0046208106222109E-2</v>
      </c>
      <c r="E82">
        <f>(China_All_Shares_Index_Monthly!B82-China_All_Shares_Index_Monthly!B81)/China_All_Shares_Index_Monthly!B81</f>
        <v>-2.4289950532134494E-2</v>
      </c>
      <c r="F82">
        <f>(1+'Risk-free rate'!B82/100)^(1/12)-1</f>
        <v>4.3287712331259165E-3</v>
      </c>
      <c r="G82">
        <f t="shared" si="1"/>
        <v>-5.4374979339348026E-2</v>
      </c>
      <c r="H82">
        <f t="shared" si="1"/>
        <v>-2.861872176526041E-2</v>
      </c>
    </row>
    <row r="83" spans="1:8" x14ac:dyDescent="0.3">
      <c r="A83" t="str">
        <f>'ALCHWTU LX_Monthly'!A83</f>
        <v>2023-10-31</v>
      </c>
      <c r="B83">
        <f>'ALCHWTU LX_Monthly'!B83</f>
        <v>974.11</v>
      </c>
      <c r="C83">
        <f>China_All_Shares_Index_Monthly!B83</f>
        <v>2218.5506989999999</v>
      </c>
      <c r="D83">
        <f>('ALCHWTU LX_Monthly'!B83-'ALCHWTU LX_Monthly'!B82)/'ALCHWTU LX_Monthly'!B82</f>
        <v>-3.299746860574776E-2</v>
      </c>
      <c r="E83">
        <f>(China_All_Shares_Index_Monthly!B83-China_All_Shares_Index_Monthly!B82)/China_All_Shares_Index_Monthly!B82</f>
        <v>-3.8063024822944602E-2</v>
      </c>
      <c r="F83">
        <f>(1+'Risk-free rate'!B83/100)^(1/12)-1</f>
        <v>4.3446631398347257E-3</v>
      </c>
      <c r="G83">
        <f t="shared" si="1"/>
        <v>-3.7342131745582485E-2</v>
      </c>
      <c r="H83">
        <f t="shared" si="1"/>
        <v>-4.2407687962779328E-2</v>
      </c>
    </row>
    <row r="84" spans="1:8" x14ac:dyDescent="0.3">
      <c r="A84" t="str">
        <f>'ALCHWTU LX_Monthly'!A84</f>
        <v>2023-11-30</v>
      </c>
      <c r="B84">
        <f>'ALCHWTU LX_Monthly'!B84</f>
        <v>994.8</v>
      </c>
      <c r="C84">
        <f>China_All_Shares_Index_Monthly!B84</f>
        <v>2263.052036</v>
      </c>
      <c r="D84">
        <f>('ALCHWTU LX_Monthly'!B84-'ALCHWTU LX_Monthly'!B83)/'ALCHWTU LX_Monthly'!B83</f>
        <v>2.1239901037870407E-2</v>
      </c>
      <c r="E84">
        <f>(China_All_Shares_Index_Monthly!B84-China_All_Shares_Index_Monthly!B83)/China_All_Shares_Index_Monthly!B83</f>
        <v>2.0058742412359064E-2</v>
      </c>
      <c r="F84">
        <f>(1+'Risk-free rate'!B84/100)^(1/12)-1</f>
        <v>4.2890293603305985E-3</v>
      </c>
      <c r="G84">
        <f t="shared" si="1"/>
        <v>1.6950871677539808E-2</v>
      </c>
      <c r="H84">
        <f t="shared" si="1"/>
        <v>1.5769713052028466E-2</v>
      </c>
    </row>
    <row r="85" spans="1:8" x14ac:dyDescent="0.3">
      <c r="A85" t="str">
        <f>'ALCHWTU LX_Monthly'!A85</f>
        <v>2023-12-29</v>
      </c>
      <c r="B85">
        <f>'ALCHWTU LX_Monthly'!B85</f>
        <v>953.58</v>
      </c>
      <c r="C85">
        <f>China_All_Shares_Index_Monthly!B85</f>
        <v>2218.2742450000001</v>
      </c>
      <c r="D85">
        <f>('ALCHWTU LX_Monthly'!B85-'ALCHWTU LX_Monthly'!B84)/'ALCHWTU LX_Monthly'!B84</f>
        <v>-4.1435464414957698E-2</v>
      </c>
      <c r="E85">
        <f>(China_All_Shares_Index_Monthly!B85-China_All_Shares_Index_Monthly!B84)/China_All_Shares_Index_Monthly!B84</f>
        <v>-1.9786461065714522E-2</v>
      </c>
      <c r="F85">
        <f>(1+'Risk-free rate'!B85/100)^(1/12)-1</f>
        <v>4.2651759303415915E-3</v>
      </c>
      <c r="G85">
        <f t="shared" si="1"/>
        <v>-4.570064034529929E-2</v>
      </c>
      <c r="H85">
        <f t="shared" si="1"/>
        <v>-2.4051636996056114E-2</v>
      </c>
    </row>
    <row r="86" spans="1:8" x14ac:dyDescent="0.3">
      <c r="A86" t="str">
        <f>'ALCHWTU LX_Monthly'!A86</f>
        <v>2024-01-31</v>
      </c>
      <c r="B86">
        <f>'ALCHWTU LX_Monthly'!B86</f>
        <v>841.38</v>
      </c>
      <c r="C86">
        <f>China_All_Shares_Index_Monthly!B86</f>
        <v>1997.7321449999999</v>
      </c>
      <c r="D86">
        <f>('ALCHWTU LX_Monthly'!B86-'ALCHWTU LX_Monthly'!B85)/'ALCHWTU LX_Monthly'!B85</f>
        <v>-0.11766186371358464</v>
      </c>
      <c r="E86">
        <f>(China_All_Shares_Index_Monthly!B86-China_All_Shares_Index_Monthly!B85)/China_All_Shares_Index_Monthly!B85</f>
        <v>-9.9420574573726841E-2</v>
      </c>
      <c r="F86">
        <f>(1+'Risk-free rate'!B86/100)^(1/12)-1</f>
        <v>4.2492701806178257E-3</v>
      </c>
      <c r="G86">
        <f t="shared" si="1"/>
        <v>-0.12191113389420247</v>
      </c>
      <c r="H86">
        <f t="shared" si="1"/>
        <v>-0.10366984475434467</v>
      </c>
    </row>
    <row r="87" spans="1:8" x14ac:dyDescent="0.3">
      <c r="A87" t="str">
        <f>'ALCHWTU LX_Monthly'!A87</f>
        <v>2024-02-29</v>
      </c>
      <c r="B87">
        <f>'ALCHWTU LX_Monthly'!B87</f>
        <v>921.22</v>
      </c>
      <c r="C87">
        <f>China_All_Shares_Index_Monthly!B87</f>
        <v>2180.8717470000001</v>
      </c>
      <c r="D87">
        <f>('ALCHWTU LX_Monthly'!B87-'ALCHWTU LX_Monthly'!B86)/'ALCHWTU LX_Monthly'!B86</f>
        <v>9.4891725498585697E-2</v>
      </c>
      <c r="E87">
        <f>(China_All_Shares_Index_Monthly!B87-China_All_Shares_Index_Monthly!B86)/China_All_Shares_Index_Monthly!B86</f>
        <v>9.1673752388862023E-2</v>
      </c>
      <c r="F87">
        <f>(1+'Risk-free rate'!B87/100)^(1/12)-1</f>
        <v>4.2651759303415915E-3</v>
      </c>
      <c r="G87">
        <f t="shared" si="1"/>
        <v>9.0626549568244105E-2</v>
      </c>
      <c r="H87">
        <f t="shared" si="1"/>
        <v>8.7408576458520432E-2</v>
      </c>
    </row>
    <row r="88" spans="1:8" x14ac:dyDescent="0.3">
      <c r="A88" t="str">
        <f>'ALCHWTU LX_Monthly'!A88</f>
        <v>2024-03-29</v>
      </c>
      <c r="B88">
        <f>'ALCHWTU LX_Monthly'!B88</f>
        <v>927.21</v>
      </c>
      <c r="C88">
        <f>China_All_Shares_Index_Monthly!B88</f>
        <v>2195.0081879999998</v>
      </c>
      <c r="D88">
        <f>('ALCHWTU LX_Monthly'!B88-'ALCHWTU LX_Monthly'!B87)/'ALCHWTU LX_Monthly'!B87</f>
        <v>6.5022470202557572E-3</v>
      </c>
      <c r="E88">
        <f>(China_All_Shares_Index_Monthly!B88-China_All_Shares_Index_Monthly!B87)/China_All_Shares_Index_Monthly!B87</f>
        <v>6.4820139100090091E-3</v>
      </c>
      <c r="F88">
        <f>(1+'Risk-free rate'!B88/100)^(1/12)-1</f>
        <v>4.2651759303415915E-3</v>
      </c>
      <c r="G88">
        <f t="shared" si="1"/>
        <v>2.2370710899141657E-3</v>
      </c>
      <c r="H88">
        <f t="shared" si="1"/>
        <v>2.2168379796674176E-3</v>
      </c>
    </row>
    <row r="89" spans="1:8" x14ac:dyDescent="0.3">
      <c r="A89" t="str">
        <f>'ALCHWTU LX_Monthly'!A89</f>
        <v>2024-04-30</v>
      </c>
      <c r="B89">
        <f>'ALCHWTU LX_Monthly'!B89</f>
        <v>980.27</v>
      </c>
      <c r="C89">
        <f>China_All_Shares_Index_Monthly!B89</f>
        <v>2299.277337</v>
      </c>
      <c r="D89">
        <f>('ALCHWTU LX_Monthly'!B89-'ALCHWTU LX_Monthly'!B88)/'ALCHWTU LX_Monthly'!B88</f>
        <v>5.7225439760140578E-2</v>
      </c>
      <c r="E89">
        <f>(China_All_Shares_Index_Monthly!B89-China_All_Shares_Index_Monthly!B88)/China_All_Shares_Index_Monthly!B88</f>
        <v>4.7502851957470789E-2</v>
      </c>
      <c r="F89">
        <f>(1+'Risk-free rate'!B89/100)^(1/12)-1</f>
        <v>4.2651759303415915E-3</v>
      </c>
      <c r="G89">
        <f t="shared" si="1"/>
        <v>5.2960263829798987E-2</v>
      </c>
      <c r="H89">
        <f t="shared" si="1"/>
        <v>4.3237676027129197E-2</v>
      </c>
    </row>
    <row r="90" spans="1:8" x14ac:dyDescent="0.3">
      <c r="A90" t="str">
        <f>'ALCHWTU LX_Monthly'!A90</f>
        <v>2024-05-31</v>
      </c>
      <c r="B90">
        <f>'ALCHWTU LX_Monthly'!B90</f>
        <v>982.37</v>
      </c>
      <c r="C90">
        <f>China_All_Shares_Index_Monthly!B90</f>
        <v>2326.2687519999999</v>
      </c>
      <c r="D90">
        <f>('ALCHWTU LX_Monthly'!B90-'ALCHWTU LX_Monthly'!B89)/'ALCHWTU LX_Monthly'!B89</f>
        <v>2.14226692645906E-3</v>
      </c>
      <c r="E90">
        <f>(China_All_Shares_Index_Monthly!B90-China_All_Shares_Index_Monthly!B89)/China_All_Shares_Index_Monthly!B89</f>
        <v>1.1739086262302406E-2</v>
      </c>
      <c r="F90">
        <f>(1+'Risk-free rate'!B90/100)^(1/12)-1</f>
        <v>4.2731277661580691E-3</v>
      </c>
      <c r="G90">
        <f t="shared" si="1"/>
        <v>-2.1308608396990092E-3</v>
      </c>
      <c r="H90">
        <f t="shared" si="1"/>
        <v>7.4659584961443374E-3</v>
      </c>
    </row>
    <row r="91" spans="1:8" x14ac:dyDescent="0.3">
      <c r="A91" t="str">
        <f>'ALCHWTU LX_Monthly'!A91</f>
        <v>2024-06-28</v>
      </c>
      <c r="B91">
        <f>'ALCHWTU LX_Monthly'!B91</f>
        <v>969.49</v>
      </c>
      <c r="C91">
        <f>China_All_Shares_Index_Monthly!B91</f>
        <v>2268.8063520000001</v>
      </c>
      <c r="D91">
        <f>('ALCHWTU LX_Monthly'!B91-'ALCHWTU LX_Monthly'!B90)/'ALCHWTU LX_Monthly'!B90</f>
        <v>-1.3111149566863805E-2</v>
      </c>
      <c r="E91">
        <f>(China_All_Shares_Index_Monthly!B91-China_All_Shares_Index_Monthly!B90)/China_All_Shares_Index_Monthly!B90</f>
        <v>-2.4701531132461298E-2</v>
      </c>
      <c r="F91">
        <f>(1+'Risk-free rate'!B91/100)^(1/12)-1</f>
        <v>4.2651759303415915E-3</v>
      </c>
      <c r="G91">
        <f t="shared" si="1"/>
        <v>-1.7376325497205396E-2</v>
      </c>
      <c r="H91">
        <f t="shared" si="1"/>
        <v>-2.8966707062802889E-2</v>
      </c>
    </row>
    <row r="92" spans="1:8" x14ac:dyDescent="0.3">
      <c r="A92" t="str">
        <f>'ALCHWTU LX_Monthly'!A92</f>
        <v>2024-07-31</v>
      </c>
      <c r="B92">
        <f>'ALCHWTU LX_Monthly'!B92</f>
        <v>953.52</v>
      </c>
      <c r="C92">
        <f>China_All_Shares_Index_Monthly!B92</f>
        <v>2252.9079879999999</v>
      </c>
      <c r="D92">
        <f>('ALCHWTU LX_Monthly'!B92-'ALCHWTU LX_Monthly'!B91)/'ALCHWTU LX_Monthly'!B91</f>
        <v>-1.6472578365945009E-2</v>
      </c>
      <c r="E92">
        <f>(China_All_Shares_Index_Monthly!B92-China_All_Shares_Index_Monthly!B91)/China_All_Shares_Index_Monthly!B91</f>
        <v>-7.0073693094103821E-3</v>
      </c>
      <c r="F92">
        <f>(1+'Risk-free rate'!B92/100)^(1/12)-1</f>
        <v>4.2333616592649115E-3</v>
      </c>
      <c r="G92">
        <f t="shared" si="1"/>
        <v>-2.070594002520992E-2</v>
      </c>
      <c r="H92">
        <f t="shared" si="1"/>
        <v>-1.1240730968675294E-2</v>
      </c>
    </row>
    <row r="93" spans="1:8" x14ac:dyDescent="0.3">
      <c r="A93" t="str">
        <f>'ALCHWTU LX_Monthly'!A93</f>
        <v>2024-08-30</v>
      </c>
      <c r="B93">
        <f>'ALCHWTU LX_Monthly'!B93</f>
        <v>955.56</v>
      </c>
      <c r="C93">
        <f>China_All_Shares_Index_Monthly!B93</f>
        <v>2252.3989409999999</v>
      </c>
      <c r="D93">
        <f>('ALCHWTU LX_Monthly'!B93-'ALCHWTU LX_Monthly'!B92)/'ALCHWTU LX_Monthly'!B92</f>
        <v>2.1394412282909258E-3</v>
      </c>
      <c r="E93">
        <f>(China_All_Shares_Index_Monthly!B93-China_All_Shares_Index_Monthly!B92)/China_All_Shares_Index_Monthly!B92</f>
        <v>-2.2595108309412661E-4</v>
      </c>
      <c r="F93">
        <f>(1+'Risk-free rate'!B93/100)^(1/12)-1</f>
        <v>4.1139593013970188E-3</v>
      </c>
      <c r="G93">
        <f t="shared" si="1"/>
        <v>-1.974518073106093E-3</v>
      </c>
      <c r="H93">
        <f t="shared" si="1"/>
        <v>-4.3399103844911453E-3</v>
      </c>
    </row>
    <row r="94" spans="1:8" x14ac:dyDescent="0.3">
      <c r="A94" t="str">
        <f>'ALCHWTU LX_Monthly'!A94</f>
        <v>2024-09-30</v>
      </c>
      <c r="B94">
        <f>'ALCHWTU LX_Monthly'!B94</f>
        <v>1157.43</v>
      </c>
      <c r="C94">
        <f>China_All_Shares_Index_Monthly!B94</f>
        <v>2774.7734930000001</v>
      </c>
      <c r="D94">
        <f>('ALCHWTU LX_Monthly'!B94-'ALCHWTU LX_Monthly'!B93)/'ALCHWTU LX_Monthly'!B93</f>
        <v>0.21125831972874559</v>
      </c>
      <c r="E94">
        <f>(China_All_Shares_Index_Monthly!B94-China_All_Shares_Index_Monthly!B93)/China_All_Shares_Index_Monthly!B93</f>
        <v>0.23191919623620541</v>
      </c>
      <c r="F94">
        <f>(1+'Risk-free rate'!B94/100)^(1/12)-1</f>
        <v>3.8507230235700352E-3</v>
      </c>
      <c r="G94">
        <f t="shared" si="1"/>
        <v>0.20740759670517556</v>
      </c>
      <c r="H94">
        <f t="shared" si="1"/>
        <v>0.22806847321263538</v>
      </c>
    </row>
    <row r="95" spans="1:8" x14ac:dyDescent="0.3">
      <c r="A95" t="str">
        <f>'ALCHWTU LX_Monthly'!A95</f>
        <v>2024-10-31</v>
      </c>
      <c r="B95">
        <f>'ALCHWTU LX_Monthly'!B95</f>
        <v>1095.02</v>
      </c>
      <c r="C95">
        <f>China_All_Shares_Index_Monthly!B95</f>
        <v>2628.4114380000001</v>
      </c>
      <c r="D95">
        <f>('ALCHWTU LX_Monthly'!B95-'ALCHWTU LX_Monthly'!B94)/'ALCHWTU LX_Monthly'!B94</f>
        <v>-5.392118745842088E-2</v>
      </c>
      <c r="E95">
        <f>(China_All_Shares_Index_Monthly!B95-China_All_Shares_Index_Monthly!B94)/China_All_Shares_Index_Monthly!B94</f>
        <v>-5.274738834331226E-2</v>
      </c>
      <c r="F95">
        <f>(1+'Risk-free rate'!B95/100)^(1/12)-1</f>
        <v>3.6828128357737633E-3</v>
      </c>
      <c r="G95">
        <f t="shared" si="1"/>
        <v>-5.7604000294194643E-2</v>
      </c>
      <c r="H95">
        <f t="shared" si="1"/>
        <v>-5.6430201179086023E-2</v>
      </c>
    </row>
    <row r="96" spans="1:8" x14ac:dyDescent="0.3">
      <c r="A96" t="str">
        <f>'ALCHWTU LX_Monthly'!A96</f>
        <v>2024-11-29</v>
      </c>
      <c r="B96">
        <f>'ALCHWTU LX_Monthly'!B96</f>
        <v>1050.71</v>
      </c>
      <c r="C96">
        <f>China_All_Shares_Index_Monthly!B96</f>
        <v>2543.5494910000002</v>
      </c>
      <c r="D96">
        <f>('ALCHWTU LX_Monthly'!B96-'ALCHWTU LX_Monthly'!B95)/'ALCHWTU LX_Monthly'!B95</f>
        <v>-4.046501433763762E-2</v>
      </c>
      <c r="E96">
        <f>(China_All_Shares_Index_Monthly!B96-China_All_Shares_Index_Monthly!B95)/China_All_Shares_Index_Monthly!B95</f>
        <v>-3.2286401502107549E-2</v>
      </c>
      <c r="F96">
        <f>(1+'Risk-free rate'!B96/100)^(1/12)-1</f>
        <v>3.6107566318024364E-3</v>
      </c>
      <c r="G96">
        <f t="shared" si="1"/>
        <v>-4.4075770969440056E-2</v>
      </c>
      <c r="H96">
        <f t="shared" si="1"/>
        <v>-3.5897158133909986E-2</v>
      </c>
    </row>
    <row r="97" spans="1:8" x14ac:dyDescent="0.3">
      <c r="A97" t="str">
        <f>'ALCHWTU LX_Monthly'!A97</f>
        <v>2024-12-31</v>
      </c>
      <c r="B97">
        <f>'ALCHWTU LX_Monthly'!B97</f>
        <v>1068.75</v>
      </c>
      <c r="C97">
        <f>China_All_Shares_Index_Monthly!B97</f>
        <v>2581.7337379999999</v>
      </c>
      <c r="D97">
        <f>('ALCHWTU LX_Monthly'!B97-'ALCHWTU LX_Monthly'!B96)/'ALCHWTU LX_Monthly'!B96</f>
        <v>1.7169342634980121E-2</v>
      </c>
      <c r="E97">
        <f>(China_All_Shares_Index_Monthly!B97-China_All_Shares_Index_Monthly!B96)/China_All_Shares_Index_Monthly!B96</f>
        <v>1.5012189515128126E-2</v>
      </c>
      <c r="F97">
        <f>(1+'Risk-free rate'!B97/100)^(1/12)-1</f>
        <v>3.4905363507502507E-3</v>
      </c>
      <c r="G97">
        <f t="shared" si="1"/>
        <v>1.367880628422987E-2</v>
      </c>
      <c r="H97">
        <f t="shared" si="1"/>
        <v>1.1521653164377876E-2</v>
      </c>
    </row>
  </sheetData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Rolling Alpha</vt:lpstr>
      <vt:lpstr>Up-Down Scatter Plot</vt:lpstr>
      <vt:lpstr>Risk-free rate</vt:lpstr>
      <vt:lpstr>ALCHWTU LX_Monthly</vt:lpstr>
      <vt:lpstr>China_All_Shares_Index_Monthly</vt:lpstr>
      <vt:lpstr>Metrics_monthly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Galina Khegay</cp:lastModifiedBy>
  <dcterms:created xsi:type="dcterms:W3CDTF">2025-12-27T22:41:36Z</dcterms:created>
  <dcterms:modified xsi:type="dcterms:W3CDTF">2026-01-04T13:28:07Z</dcterms:modified>
</cp:coreProperties>
</file>