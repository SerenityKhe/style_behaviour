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dmitriy/devops/misc/thesis/4.2/"/>
    </mc:Choice>
  </mc:AlternateContent>
  <xr:revisionPtr revIDLastSave="0" documentId="13_ncr:1_{8DED59C4-9315-3042-B749-DC436E25AED5}" xr6:coauthVersionLast="47" xr6:coauthVersionMax="47" xr10:uidLastSave="{00000000-0000-0000-0000-000000000000}"/>
  <bookViews>
    <workbookView xWindow="-100" yWindow="760" windowWidth="23260" windowHeight="12460" activeTab="1" xr2:uid="{00000000-000D-0000-FFFF-FFFF00000000}"/>
  </bookViews>
  <sheets>
    <sheet name="Rolling Alpha" sheetId="8" r:id="rId1"/>
    <sheet name="Up-Down Scatter Plot" sheetId="9" r:id="rId2"/>
    <sheet name="Risk-free rate" sheetId="10" r:id="rId3"/>
    <sheet name="EMF_Fund_Monthly" sheetId="6" r:id="rId4"/>
    <sheet name="MSCI EM_Monthly" sheetId="7" r:id="rId5"/>
    <sheet name="Metrics_36m (2)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8" l="1"/>
  <c r="J16" i="8"/>
  <c r="J17" i="8"/>
  <c r="J18" i="8"/>
  <c r="J19" i="8"/>
  <c r="J20" i="8"/>
  <c r="J21" i="8"/>
  <c r="J22" i="8"/>
  <c r="J23" i="8"/>
  <c r="J24" i="8"/>
  <c r="J25" i="8"/>
  <c r="J14" i="8"/>
  <c r="I15" i="8"/>
  <c r="I16" i="8"/>
  <c r="I17" i="8"/>
  <c r="I18" i="8"/>
  <c r="I19" i="8"/>
  <c r="I20" i="8"/>
  <c r="I21" i="8"/>
  <c r="I22" i="8"/>
  <c r="I23" i="8"/>
  <c r="I24" i="8"/>
  <c r="I25" i="8"/>
  <c r="I14" i="8"/>
  <c r="H4" i="8"/>
  <c r="H5" i="8"/>
  <c r="H6" i="8"/>
  <c r="H7" i="8"/>
  <c r="H8" i="8"/>
  <c r="H9" i="8"/>
  <c r="H10" i="8"/>
  <c r="H11" i="8"/>
  <c r="H12" i="8"/>
  <c r="H13" i="8"/>
  <c r="H14" i="8"/>
  <c r="H3" i="8"/>
  <c r="G4" i="8"/>
  <c r="G5" i="8"/>
  <c r="G6" i="8"/>
  <c r="G7" i="8"/>
  <c r="G8" i="8"/>
  <c r="G9" i="8"/>
  <c r="G10" i="8"/>
  <c r="G11" i="8"/>
  <c r="G12" i="8"/>
  <c r="G13" i="8"/>
  <c r="G14" i="8"/>
  <c r="G3" i="8"/>
  <c r="F3" i="8"/>
  <c r="F4" i="8"/>
  <c r="F5" i="8"/>
  <c r="F6" i="8"/>
  <c r="F7" i="8"/>
  <c r="F8" i="8"/>
  <c r="F9" i="8"/>
  <c r="F10" i="8"/>
  <c r="F11" i="8"/>
  <c r="F12" i="8"/>
  <c r="F13" i="8"/>
  <c r="F2" i="8"/>
  <c r="E4" i="8"/>
  <c r="E5" i="8"/>
  <c r="E6" i="8"/>
  <c r="E7" i="8"/>
  <c r="E8" i="8"/>
  <c r="E9" i="8"/>
  <c r="E10" i="8"/>
  <c r="E11" i="8"/>
  <c r="E12" i="8"/>
  <c r="E13" i="8"/>
  <c r="E14" i="8"/>
  <c r="E3" i="8"/>
  <c r="D4" i="8"/>
  <c r="D5" i="8"/>
  <c r="D6" i="8"/>
  <c r="D7" i="8"/>
  <c r="D8" i="8"/>
  <c r="D9" i="8"/>
  <c r="D10" i="8"/>
  <c r="D11" i="8"/>
  <c r="D12" i="8"/>
  <c r="D13" i="8"/>
  <c r="D14" i="8"/>
  <c r="D3" i="8"/>
  <c r="C3" i="8"/>
  <c r="C4" i="8"/>
  <c r="C5" i="8"/>
  <c r="C6" i="8"/>
  <c r="C7" i="8"/>
  <c r="C8" i="8"/>
  <c r="C9" i="8"/>
  <c r="C10" i="8"/>
  <c r="C11" i="8"/>
  <c r="C12" i="8"/>
  <c r="C13" i="8"/>
  <c r="C14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2" i="8"/>
  <c r="A3" i="8"/>
  <c r="A4" i="8"/>
  <c r="A5" i="8"/>
  <c r="A6" i="8"/>
  <c r="A7" i="8"/>
  <c r="A8" i="8"/>
  <c r="A9" i="8"/>
  <c r="A10" i="8"/>
  <c r="A11" i="8"/>
  <c r="A12" i="8"/>
  <c r="A13" i="8"/>
  <c r="A2" i="8"/>
  <c r="P2" i="9" a="1"/>
  <c r="P2" i="9" s="1"/>
  <c r="O2" i="9" a="1"/>
  <c r="O2" i="9" s="1"/>
  <c r="M2" i="9" a="1"/>
  <c r="M2" i="9" s="1"/>
  <c r="L2" i="9" a="1"/>
  <c r="L2" i="9" s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3" i="9"/>
  <c r="F97" i="11"/>
  <c r="E97" i="11"/>
  <c r="H97" i="11" s="1"/>
  <c r="D97" i="11"/>
  <c r="G97" i="11" s="1"/>
  <c r="C97" i="11"/>
  <c r="B97" i="11"/>
  <c r="A97" i="11"/>
  <c r="G96" i="11"/>
  <c r="F96" i="11"/>
  <c r="E96" i="11"/>
  <c r="H96" i="11" s="1"/>
  <c r="D96" i="11"/>
  <c r="C96" i="11"/>
  <c r="B96" i="11"/>
  <c r="A96" i="11"/>
  <c r="F95" i="11"/>
  <c r="E95" i="11"/>
  <c r="H95" i="11" s="1"/>
  <c r="D95" i="11"/>
  <c r="G95" i="11" s="1"/>
  <c r="C95" i="11"/>
  <c r="B95" i="11"/>
  <c r="A95" i="11"/>
  <c r="G94" i="11"/>
  <c r="F94" i="11"/>
  <c r="E94" i="11"/>
  <c r="H94" i="11" s="1"/>
  <c r="D94" i="11"/>
  <c r="C94" i="11"/>
  <c r="B94" i="11"/>
  <c r="A94" i="11"/>
  <c r="G93" i="11"/>
  <c r="F93" i="11"/>
  <c r="E93" i="11"/>
  <c r="H93" i="11" s="1"/>
  <c r="D93" i="11"/>
  <c r="C93" i="11"/>
  <c r="B93" i="11"/>
  <c r="A93" i="11"/>
  <c r="G92" i="11"/>
  <c r="F92" i="11"/>
  <c r="E92" i="11"/>
  <c r="H92" i="11" s="1"/>
  <c r="D92" i="11"/>
  <c r="C92" i="11"/>
  <c r="B92" i="11"/>
  <c r="A92" i="11"/>
  <c r="F91" i="11"/>
  <c r="G91" i="11" s="1"/>
  <c r="E91" i="11"/>
  <c r="H91" i="11" s="1"/>
  <c r="D91" i="11"/>
  <c r="C91" i="11"/>
  <c r="B91" i="11"/>
  <c r="A91" i="11"/>
  <c r="G90" i="11"/>
  <c r="F90" i="11"/>
  <c r="E90" i="11"/>
  <c r="H90" i="11" s="1"/>
  <c r="D90" i="11"/>
  <c r="C90" i="11"/>
  <c r="B90" i="11"/>
  <c r="A90" i="11"/>
  <c r="G89" i="11"/>
  <c r="F89" i="11"/>
  <c r="E89" i="11"/>
  <c r="H89" i="11" s="1"/>
  <c r="D89" i="11"/>
  <c r="C89" i="11"/>
  <c r="B89" i="11"/>
  <c r="A89" i="11"/>
  <c r="G88" i="11"/>
  <c r="F88" i="11"/>
  <c r="E88" i="11"/>
  <c r="H88" i="11" s="1"/>
  <c r="D88" i="11"/>
  <c r="C88" i="11"/>
  <c r="B88" i="11"/>
  <c r="A88" i="11"/>
  <c r="F87" i="11"/>
  <c r="G87" i="11" s="1"/>
  <c r="E87" i="11"/>
  <c r="H87" i="11" s="1"/>
  <c r="D87" i="11"/>
  <c r="C87" i="11"/>
  <c r="B87" i="11"/>
  <c r="A87" i="11"/>
  <c r="G86" i="11"/>
  <c r="F86" i="11"/>
  <c r="E86" i="11"/>
  <c r="H86" i="11" s="1"/>
  <c r="D86" i="11"/>
  <c r="C86" i="11"/>
  <c r="B86" i="11"/>
  <c r="A86" i="11"/>
  <c r="G85" i="11"/>
  <c r="F85" i="11"/>
  <c r="E85" i="11"/>
  <c r="H85" i="11" s="1"/>
  <c r="D85" i="11"/>
  <c r="C85" i="11"/>
  <c r="B85" i="11"/>
  <c r="A85" i="11"/>
  <c r="G84" i="11"/>
  <c r="F84" i="11"/>
  <c r="E84" i="11"/>
  <c r="H84" i="11" s="1"/>
  <c r="D84" i="11"/>
  <c r="C84" i="11"/>
  <c r="B84" i="11"/>
  <c r="A84" i="11"/>
  <c r="G83" i="11"/>
  <c r="F83" i="11"/>
  <c r="E83" i="11"/>
  <c r="H83" i="11" s="1"/>
  <c r="D83" i="11"/>
  <c r="C83" i="11"/>
  <c r="B83" i="11"/>
  <c r="A83" i="11"/>
  <c r="G82" i="11"/>
  <c r="F82" i="11"/>
  <c r="E82" i="11"/>
  <c r="H82" i="11" s="1"/>
  <c r="D82" i="11"/>
  <c r="C82" i="11"/>
  <c r="B82" i="11"/>
  <c r="A82" i="11"/>
  <c r="G81" i="11"/>
  <c r="F81" i="11"/>
  <c r="E81" i="11"/>
  <c r="H81" i="11" s="1"/>
  <c r="D81" i="11"/>
  <c r="C81" i="11"/>
  <c r="B81" i="11"/>
  <c r="A81" i="11"/>
  <c r="G80" i="11"/>
  <c r="F80" i="11"/>
  <c r="E80" i="11"/>
  <c r="H80" i="11" s="1"/>
  <c r="D80" i="11"/>
  <c r="C80" i="11"/>
  <c r="B80" i="11"/>
  <c r="A80" i="11"/>
  <c r="G79" i="11"/>
  <c r="F79" i="11"/>
  <c r="E79" i="11"/>
  <c r="H79" i="11" s="1"/>
  <c r="D79" i="11"/>
  <c r="C79" i="11"/>
  <c r="B79" i="11"/>
  <c r="A79" i="11"/>
  <c r="G78" i="11"/>
  <c r="F78" i="11"/>
  <c r="E78" i="11"/>
  <c r="H78" i="11" s="1"/>
  <c r="D78" i="11"/>
  <c r="C78" i="11"/>
  <c r="B78" i="11"/>
  <c r="A78" i="11"/>
  <c r="G77" i="11"/>
  <c r="F77" i="11"/>
  <c r="E77" i="11"/>
  <c r="H77" i="11" s="1"/>
  <c r="D77" i="11"/>
  <c r="C77" i="11"/>
  <c r="B77" i="11"/>
  <c r="A77" i="11"/>
  <c r="G76" i="11"/>
  <c r="F76" i="11"/>
  <c r="E76" i="11"/>
  <c r="H76" i="11" s="1"/>
  <c r="D76" i="11"/>
  <c r="C76" i="11"/>
  <c r="B76" i="11"/>
  <c r="A76" i="11"/>
  <c r="G75" i="11"/>
  <c r="F75" i="11"/>
  <c r="E75" i="11"/>
  <c r="H75" i="11" s="1"/>
  <c r="D75" i="11"/>
  <c r="C75" i="11"/>
  <c r="B75" i="11"/>
  <c r="A75" i="11"/>
  <c r="G74" i="11"/>
  <c r="F74" i="11"/>
  <c r="E74" i="11"/>
  <c r="H74" i="11" s="1"/>
  <c r="D74" i="11"/>
  <c r="C74" i="11"/>
  <c r="B74" i="11"/>
  <c r="A74" i="11"/>
  <c r="G73" i="11"/>
  <c r="F73" i="11"/>
  <c r="E73" i="11"/>
  <c r="H73" i="11" s="1"/>
  <c r="D73" i="11"/>
  <c r="C73" i="11"/>
  <c r="B73" i="11"/>
  <c r="A73" i="11"/>
  <c r="G72" i="11"/>
  <c r="F72" i="11"/>
  <c r="E72" i="11"/>
  <c r="H72" i="11" s="1"/>
  <c r="D72" i="11"/>
  <c r="C72" i="11"/>
  <c r="B72" i="11"/>
  <c r="A72" i="11"/>
  <c r="G71" i="11"/>
  <c r="F71" i="11"/>
  <c r="E71" i="11"/>
  <c r="H71" i="11" s="1"/>
  <c r="D71" i="11"/>
  <c r="C71" i="11"/>
  <c r="B71" i="11"/>
  <c r="A71" i="11"/>
  <c r="G70" i="11"/>
  <c r="F70" i="11"/>
  <c r="E70" i="11"/>
  <c r="H70" i="11" s="1"/>
  <c r="D70" i="11"/>
  <c r="C70" i="11"/>
  <c r="B70" i="11"/>
  <c r="A70" i="11"/>
  <c r="G69" i="11"/>
  <c r="F69" i="11"/>
  <c r="E69" i="11"/>
  <c r="H69" i="11" s="1"/>
  <c r="D69" i="11"/>
  <c r="C69" i="11"/>
  <c r="B69" i="11"/>
  <c r="A69" i="11"/>
  <c r="G68" i="11"/>
  <c r="F68" i="11"/>
  <c r="E68" i="11"/>
  <c r="H68" i="11" s="1"/>
  <c r="D68" i="11"/>
  <c r="C68" i="11"/>
  <c r="B68" i="11"/>
  <c r="A68" i="11"/>
  <c r="G67" i="11"/>
  <c r="F67" i="11"/>
  <c r="E67" i="11"/>
  <c r="H67" i="11" s="1"/>
  <c r="D67" i="11"/>
  <c r="C67" i="11"/>
  <c r="B67" i="11"/>
  <c r="A67" i="11"/>
  <c r="G66" i="11"/>
  <c r="F66" i="11"/>
  <c r="E66" i="11"/>
  <c r="H66" i="11" s="1"/>
  <c r="D66" i="11"/>
  <c r="C66" i="11"/>
  <c r="B66" i="11"/>
  <c r="A66" i="11"/>
  <c r="G65" i="11"/>
  <c r="F65" i="11"/>
  <c r="E65" i="11"/>
  <c r="H65" i="11" s="1"/>
  <c r="D65" i="11"/>
  <c r="C65" i="11"/>
  <c r="B65" i="11"/>
  <c r="A65" i="11"/>
  <c r="G64" i="11"/>
  <c r="F64" i="11"/>
  <c r="E64" i="11"/>
  <c r="H64" i="11" s="1"/>
  <c r="D64" i="11"/>
  <c r="C64" i="11"/>
  <c r="B64" i="11"/>
  <c r="A64" i="11"/>
  <c r="G63" i="11"/>
  <c r="F63" i="11"/>
  <c r="E63" i="11"/>
  <c r="H63" i="11" s="1"/>
  <c r="D63" i="11"/>
  <c r="C63" i="11"/>
  <c r="B63" i="11"/>
  <c r="A63" i="11"/>
  <c r="G62" i="11"/>
  <c r="F62" i="11"/>
  <c r="E62" i="11"/>
  <c r="H62" i="11" s="1"/>
  <c r="D62" i="11"/>
  <c r="C62" i="11"/>
  <c r="B62" i="11"/>
  <c r="A62" i="11"/>
  <c r="G61" i="11"/>
  <c r="F61" i="11"/>
  <c r="E61" i="11"/>
  <c r="H61" i="11" s="1"/>
  <c r="D61" i="11"/>
  <c r="C61" i="11"/>
  <c r="B61" i="11"/>
  <c r="A61" i="11"/>
  <c r="G60" i="11"/>
  <c r="F60" i="11"/>
  <c r="E60" i="11"/>
  <c r="H60" i="11" s="1"/>
  <c r="D60" i="11"/>
  <c r="C60" i="11"/>
  <c r="B60" i="11"/>
  <c r="A60" i="11"/>
  <c r="G59" i="11"/>
  <c r="F59" i="11"/>
  <c r="E59" i="11"/>
  <c r="H59" i="11" s="1"/>
  <c r="D59" i="11"/>
  <c r="C59" i="11"/>
  <c r="B59" i="11"/>
  <c r="A59" i="11"/>
  <c r="G58" i="11"/>
  <c r="F58" i="11"/>
  <c r="E58" i="11"/>
  <c r="H58" i="11" s="1"/>
  <c r="D58" i="11"/>
  <c r="C58" i="11"/>
  <c r="B58" i="11"/>
  <c r="A58" i="11"/>
  <c r="G57" i="11"/>
  <c r="F57" i="11"/>
  <c r="E57" i="11"/>
  <c r="H57" i="11" s="1"/>
  <c r="D57" i="11"/>
  <c r="C57" i="11"/>
  <c r="B57" i="11"/>
  <c r="A57" i="11"/>
  <c r="G56" i="11"/>
  <c r="F56" i="11"/>
  <c r="E56" i="11"/>
  <c r="H56" i="11" s="1"/>
  <c r="D56" i="11"/>
  <c r="C56" i="11"/>
  <c r="B56" i="11"/>
  <c r="A56" i="11"/>
  <c r="F55" i="11"/>
  <c r="G55" i="11" s="1"/>
  <c r="E55" i="11"/>
  <c r="H55" i="11" s="1"/>
  <c r="D55" i="11"/>
  <c r="C55" i="11"/>
  <c r="B55" i="11"/>
  <c r="A55" i="11"/>
  <c r="G54" i="11"/>
  <c r="F54" i="11"/>
  <c r="E54" i="11"/>
  <c r="H54" i="11" s="1"/>
  <c r="D54" i="11"/>
  <c r="C54" i="11"/>
  <c r="B54" i="11"/>
  <c r="A54" i="11"/>
  <c r="G53" i="11"/>
  <c r="F53" i="11"/>
  <c r="E53" i="11"/>
  <c r="H53" i="11" s="1"/>
  <c r="D53" i="11"/>
  <c r="C53" i="11"/>
  <c r="B53" i="11"/>
  <c r="A53" i="11"/>
  <c r="G52" i="11"/>
  <c r="F52" i="11"/>
  <c r="E52" i="11"/>
  <c r="H52" i="11" s="1"/>
  <c r="D52" i="11"/>
  <c r="C52" i="11"/>
  <c r="B52" i="11"/>
  <c r="A52" i="11"/>
  <c r="F51" i="11"/>
  <c r="G51" i="11" s="1"/>
  <c r="E51" i="11"/>
  <c r="H51" i="11" s="1"/>
  <c r="D51" i="11"/>
  <c r="C51" i="11"/>
  <c r="B51" i="11"/>
  <c r="A51" i="11"/>
  <c r="H50" i="11"/>
  <c r="G50" i="11"/>
  <c r="F50" i="11"/>
  <c r="E50" i="11"/>
  <c r="D50" i="11"/>
  <c r="C50" i="11"/>
  <c r="B50" i="11"/>
  <c r="A50" i="11"/>
  <c r="F49" i="11"/>
  <c r="E49" i="11"/>
  <c r="H49" i="11" s="1"/>
  <c r="D49" i="11"/>
  <c r="G49" i="11" s="1"/>
  <c r="C49" i="11"/>
  <c r="B49" i="11"/>
  <c r="A49" i="11"/>
  <c r="G48" i="11"/>
  <c r="F48" i="11"/>
  <c r="E48" i="11"/>
  <c r="H48" i="11" s="1"/>
  <c r="D48" i="11"/>
  <c r="C48" i="11"/>
  <c r="B48" i="11"/>
  <c r="A48" i="11"/>
  <c r="F47" i="11"/>
  <c r="G47" i="11" s="1"/>
  <c r="E47" i="11"/>
  <c r="H47" i="11" s="1"/>
  <c r="D47" i="11"/>
  <c r="C47" i="11"/>
  <c r="B47" i="11"/>
  <c r="A47" i="11"/>
  <c r="H46" i="11"/>
  <c r="G46" i="11"/>
  <c r="F46" i="11"/>
  <c r="E46" i="11"/>
  <c r="D46" i="11"/>
  <c r="C46" i="11"/>
  <c r="B46" i="11"/>
  <c r="A46" i="11"/>
  <c r="F45" i="11"/>
  <c r="E45" i="11"/>
  <c r="H45" i="11" s="1"/>
  <c r="D45" i="11"/>
  <c r="G45" i="11" s="1"/>
  <c r="C45" i="11"/>
  <c r="B45" i="11"/>
  <c r="A45" i="11"/>
  <c r="G44" i="11"/>
  <c r="F44" i="11"/>
  <c r="E44" i="11"/>
  <c r="H44" i="11" s="1"/>
  <c r="D44" i="11"/>
  <c r="C44" i="11"/>
  <c r="B44" i="11"/>
  <c r="A44" i="11"/>
  <c r="F43" i="11"/>
  <c r="G43" i="11" s="1"/>
  <c r="E43" i="11"/>
  <c r="H43" i="11" s="1"/>
  <c r="D43" i="11"/>
  <c r="C43" i="11"/>
  <c r="B43" i="11"/>
  <c r="A43" i="11"/>
  <c r="H42" i="11"/>
  <c r="G42" i="11"/>
  <c r="F42" i="11"/>
  <c r="E42" i="11"/>
  <c r="D42" i="11"/>
  <c r="C42" i="11"/>
  <c r="B42" i="11"/>
  <c r="A42" i="11"/>
  <c r="F41" i="11"/>
  <c r="E41" i="11"/>
  <c r="H41" i="11" s="1"/>
  <c r="D41" i="11"/>
  <c r="G41" i="11" s="1"/>
  <c r="C41" i="11"/>
  <c r="B41" i="11"/>
  <c r="A41" i="11"/>
  <c r="G40" i="11"/>
  <c r="F40" i="11"/>
  <c r="E40" i="11"/>
  <c r="H40" i="11" s="1"/>
  <c r="D40" i="11"/>
  <c r="C40" i="11"/>
  <c r="B40" i="11"/>
  <c r="A40" i="11"/>
  <c r="F39" i="11"/>
  <c r="E39" i="11"/>
  <c r="H39" i="11" s="1"/>
  <c r="D39" i="11"/>
  <c r="G39" i="11" s="1"/>
  <c r="C39" i="11"/>
  <c r="B39" i="11"/>
  <c r="A39" i="11"/>
  <c r="H38" i="11"/>
  <c r="G38" i="11"/>
  <c r="F38" i="11"/>
  <c r="E38" i="11"/>
  <c r="D38" i="11"/>
  <c r="C38" i="11"/>
  <c r="B38" i="11"/>
  <c r="A38" i="11"/>
  <c r="H37" i="11"/>
  <c r="G37" i="11"/>
  <c r="F37" i="11"/>
  <c r="E37" i="11"/>
  <c r="D37" i="11"/>
  <c r="C37" i="11"/>
  <c r="B37" i="11"/>
  <c r="A37" i="11"/>
  <c r="H36" i="11"/>
  <c r="G36" i="11"/>
  <c r="F36" i="11"/>
  <c r="E36" i="11"/>
  <c r="D36" i="11"/>
  <c r="C36" i="11"/>
  <c r="B36" i="11"/>
  <c r="A36" i="11"/>
  <c r="F35" i="11"/>
  <c r="H35" i="11" s="1"/>
  <c r="E35" i="11"/>
  <c r="D35" i="11"/>
  <c r="G35" i="11" s="1"/>
  <c r="C35" i="11"/>
  <c r="B35" i="11"/>
  <c r="A35" i="11"/>
  <c r="F34" i="11"/>
  <c r="H34" i="11" s="1"/>
  <c r="E34" i="11"/>
  <c r="D34" i="11"/>
  <c r="G34" i="11" s="1"/>
  <c r="C34" i="11"/>
  <c r="B34" i="11"/>
  <c r="A34" i="11"/>
  <c r="F33" i="11"/>
  <c r="E33" i="11"/>
  <c r="H33" i="11" s="1"/>
  <c r="D33" i="11"/>
  <c r="G33" i="11" s="1"/>
  <c r="C33" i="11"/>
  <c r="B33" i="11"/>
  <c r="A33" i="11"/>
  <c r="F32" i="11"/>
  <c r="E32" i="11"/>
  <c r="H32" i="11" s="1"/>
  <c r="D32" i="11"/>
  <c r="G32" i="11" s="1"/>
  <c r="C32" i="11"/>
  <c r="B32" i="11"/>
  <c r="A32" i="11"/>
  <c r="F31" i="11"/>
  <c r="E31" i="11"/>
  <c r="H31" i="11" s="1"/>
  <c r="D31" i="11"/>
  <c r="G31" i="11" s="1"/>
  <c r="C31" i="11"/>
  <c r="B31" i="11"/>
  <c r="A31" i="11"/>
  <c r="F30" i="11"/>
  <c r="E30" i="11"/>
  <c r="H30" i="11" s="1"/>
  <c r="D30" i="11"/>
  <c r="G30" i="11" s="1"/>
  <c r="C30" i="11"/>
  <c r="B30" i="11"/>
  <c r="A30" i="11"/>
  <c r="F29" i="11"/>
  <c r="E29" i="11"/>
  <c r="H29" i="11" s="1"/>
  <c r="D29" i="11"/>
  <c r="G29" i="11" s="1"/>
  <c r="C29" i="11"/>
  <c r="B29" i="11"/>
  <c r="A29" i="11"/>
  <c r="F28" i="11"/>
  <c r="E28" i="11"/>
  <c r="H28" i="11" s="1"/>
  <c r="D28" i="11"/>
  <c r="G28" i="11" s="1"/>
  <c r="C28" i="11"/>
  <c r="B28" i="11"/>
  <c r="A28" i="11"/>
  <c r="F27" i="11"/>
  <c r="E27" i="11"/>
  <c r="H27" i="11" s="1"/>
  <c r="D27" i="11"/>
  <c r="G27" i="11" s="1"/>
  <c r="C27" i="11"/>
  <c r="B27" i="11"/>
  <c r="A27" i="11"/>
  <c r="F26" i="11"/>
  <c r="E26" i="11"/>
  <c r="H26" i="11" s="1"/>
  <c r="D26" i="11"/>
  <c r="G26" i="11" s="1"/>
  <c r="C26" i="11"/>
  <c r="B26" i="11"/>
  <c r="A26" i="11"/>
  <c r="F25" i="11"/>
  <c r="E25" i="11"/>
  <c r="H25" i="11" s="1"/>
  <c r="D25" i="11"/>
  <c r="G25" i="11" s="1"/>
  <c r="C25" i="11"/>
  <c r="B25" i="11"/>
  <c r="A25" i="11"/>
  <c r="F24" i="11"/>
  <c r="E24" i="11"/>
  <c r="H24" i="11" s="1"/>
  <c r="D24" i="11"/>
  <c r="G24" i="11" s="1"/>
  <c r="C24" i="11"/>
  <c r="B24" i="11"/>
  <c r="A24" i="11"/>
  <c r="F23" i="11"/>
  <c r="E23" i="11"/>
  <c r="H23" i="11" s="1"/>
  <c r="D23" i="11"/>
  <c r="G23" i="11" s="1"/>
  <c r="C23" i="11"/>
  <c r="B23" i="11"/>
  <c r="A23" i="11"/>
  <c r="F22" i="11"/>
  <c r="E22" i="11"/>
  <c r="H22" i="11" s="1"/>
  <c r="D22" i="11"/>
  <c r="G22" i="11" s="1"/>
  <c r="C22" i="11"/>
  <c r="B22" i="11"/>
  <c r="A22" i="11"/>
  <c r="F21" i="11"/>
  <c r="E21" i="11"/>
  <c r="H21" i="11" s="1"/>
  <c r="D21" i="11"/>
  <c r="G21" i="11" s="1"/>
  <c r="C21" i="11"/>
  <c r="B21" i="11"/>
  <c r="A21" i="11"/>
  <c r="F20" i="11"/>
  <c r="E20" i="11"/>
  <c r="H20" i="11" s="1"/>
  <c r="D20" i="11"/>
  <c r="G20" i="11" s="1"/>
  <c r="C20" i="11"/>
  <c r="B20" i="11"/>
  <c r="A20" i="11"/>
  <c r="F19" i="11"/>
  <c r="E19" i="11"/>
  <c r="H19" i="11" s="1"/>
  <c r="D19" i="11"/>
  <c r="G19" i="11" s="1"/>
  <c r="C19" i="11"/>
  <c r="B19" i="11"/>
  <c r="A19" i="11"/>
  <c r="F18" i="11"/>
  <c r="E18" i="11"/>
  <c r="H18" i="11" s="1"/>
  <c r="D18" i="11"/>
  <c r="G18" i="11" s="1"/>
  <c r="C18" i="11"/>
  <c r="B18" i="11"/>
  <c r="A18" i="11"/>
  <c r="F17" i="11"/>
  <c r="E17" i="11"/>
  <c r="H17" i="11" s="1"/>
  <c r="D17" i="11"/>
  <c r="G17" i="11" s="1"/>
  <c r="C17" i="11"/>
  <c r="B17" i="11"/>
  <c r="A17" i="11"/>
  <c r="F16" i="11"/>
  <c r="E16" i="11"/>
  <c r="H16" i="11" s="1"/>
  <c r="D16" i="11"/>
  <c r="G16" i="11" s="1"/>
  <c r="C16" i="11"/>
  <c r="B16" i="11"/>
  <c r="A16" i="11"/>
  <c r="F15" i="11"/>
  <c r="E15" i="11"/>
  <c r="H15" i="11" s="1"/>
  <c r="D15" i="11"/>
  <c r="G15" i="11" s="1"/>
  <c r="C15" i="11"/>
  <c r="B15" i="11"/>
  <c r="A15" i="11"/>
  <c r="F14" i="11"/>
  <c r="E14" i="11"/>
  <c r="H14" i="11" s="1"/>
  <c r="D14" i="11"/>
  <c r="G14" i="11" s="1"/>
  <c r="C14" i="11"/>
  <c r="B14" i="11"/>
  <c r="A14" i="11"/>
  <c r="F13" i="11"/>
  <c r="E13" i="11"/>
  <c r="H13" i="11" s="1"/>
  <c r="D13" i="11"/>
  <c r="G13" i="11" s="1"/>
  <c r="C13" i="11"/>
  <c r="B13" i="11"/>
  <c r="A13" i="11"/>
  <c r="F12" i="11"/>
  <c r="E12" i="11"/>
  <c r="H12" i="11" s="1"/>
  <c r="D12" i="11"/>
  <c r="G12" i="11" s="1"/>
  <c r="C12" i="11"/>
  <c r="B12" i="11"/>
  <c r="A12" i="11"/>
  <c r="F11" i="11"/>
  <c r="E11" i="11"/>
  <c r="H11" i="11" s="1"/>
  <c r="D11" i="11"/>
  <c r="G11" i="11" s="1"/>
  <c r="C11" i="11"/>
  <c r="B11" i="11"/>
  <c r="A11" i="11"/>
  <c r="F10" i="11"/>
  <c r="E10" i="11"/>
  <c r="H10" i="11" s="1"/>
  <c r="D10" i="11"/>
  <c r="G10" i="11" s="1"/>
  <c r="C10" i="11"/>
  <c r="B10" i="11"/>
  <c r="A10" i="11"/>
  <c r="F9" i="11"/>
  <c r="E9" i="11"/>
  <c r="H9" i="11" s="1"/>
  <c r="D9" i="11"/>
  <c r="G9" i="11" s="1"/>
  <c r="C9" i="11"/>
  <c r="B9" i="11"/>
  <c r="A9" i="11"/>
  <c r="F8" i="11"/>
  <c r="E8" i="11"/>
  <c r="H8" i="11" s="1"/>
  <c r="D8" i="11"/>
  <c r="G8" i="11" s="1"/>
  <c r="C8" i="11"/>
  <c r="B8" i="11"/>
  <c r="A8" i="11"/>
  <c r="F7" i="11"/>
  <c r="E7" i="11"/>
  <c r="H7" i="11" s="1"/>
  <c r="D7" i="11"/>
  <c r="G7" i="11" s="1"/>
  <c r="C7" i="11"/>
  <c r="B7" i="11"/>
  <c r="A7" i="11"/>
  <c r="F6" i="11"/>
  <c r="E6" i="11"/>
  <c r="H6" i="11" s="1"/>
  <c r="D6" i="11"/>
  <c r="G6" i="11" s="1"/>
  <c r="C6" i="11"/>
  <c r="B6" i="11"/>
  <c r="A6" i="11"/>
  <c r="F5" i="11"/>
  <c r="E5" i="11"/>
  <c r="H5" i="11" s="1"/>
  <c r="D5" i="11"/>
  <c r="G5" i="11" s="1"/>
  <c r="C5" i="11"/>
  <c r="B5" i="11"/>
  <c r="A5" i="11"/>
  <c r="F4" i="11"/>
  <c r="E4" i="11"/>
  <c r="H4" i="11" s="1"/>
  <c r="D4" i="11"/>
  <c r="G4" i="11" s="1"/>
  <c r="C4" i="11"/>
  <c r="B4" i="11"/>
  <c r="A4" i="11"/>
  <c r="F3" i="11"/>
  <c r="E3" i="11"/>
  <c r="H3" i="11" s="1"/>
  <c r="D3" i="11"/>
  <c r="G3" i="11" s="1"/>
  <c r="C3" i="11"/>
  <c r="B3" i="11"/>
  <c r="A3" i="11"/>
  <c r="F2" i="11"/>
  <c r="C2" i="11"/>
  <c r="B2" i="11"/>
  <c r="A2" i="11"/>
  <c r="I67" i="11" l="1"/>
  <c r="J67" i="11"/>
  <c r="J80" i="11"/>
  <c r="I80" i="11"/>
  <c r="J79" i="11"/>
  <c r="I79" i="11"/>
  <c r="J81" i="11"/>
  <c r="J86" i="11"/>
  <c r="I86" i="11"/>
  <c r="J92" i="11"/>
  <c r="I92" i="11"/>
  <c r="J43" i="11"/>
  <c r="I43" i="11"/>
  <c r="J59" i="11"/>
  <c r="I59" i="11"/>
  <c r="I71" i="11"/>
  <c r="J74" i="11"/>
  <c r="I74" i="11"/>
  <c r="J38" i="11"/>
  <c r="I38" i="11"/>
  <c r="J42" i="11"/>
  <c r="I42" i="11"/>
  <c r="J46" i="11"/>
  <c r="I46" i="11"/>
  <c r="J50" i="11"/>
  <c r="I50" i="11"/>
  <c r="J54" i="11"/>
  <c r="I54" i="11"/>
  <c r="J58" i="11"/>
  <c r="I58" i="11"/>
  <c r="J62" i="11"/>
  <c r="I62" i="11"/>
  <c r="J66" i="11"/>
  <c r="I66" i="11"/>
  <c r="I91" i="11"/>
  <c r="J91" i="11"/>
  <c r="I39" i="11"/>
  <c r="J39" i="11"/>
  <c r="I51" i="11"/>
  <c r="J51" i="11"/>
  <c r="J70" i="11"/>
  <c r="I70" i="11"/>
  <c r="J71" i="11"/>
  <c r="J72" i="11"/>
  <c r="J73" i="11"/>
  <c r="J78" i="11"/>
  <c r="I78" i="11"/>
  <c r="J84" i="11"/>
  <c r="I84" i="11"/>
  <c r="J45" i="11"/>
  <c r="I45" i="11"/>
  <c r="J49" i="11"/>
  <c r="I49" i="11"/>
  <c r="J53" i="11"/>
  <c r="I53" i="11"/>
  <c r="J57" i="11"/>
  <c r="I57" i="11"/>
  <c r="J61" i="11"/>
  <c r="I61" i="11"/>
  <c r="J65" i="11"/>
  <c r="I65" i="11"/>
  <c r="J83" i="11"/>
  <c r="I83" i="11"/>
  <c r="J85" i="11"/>
  <c r="J90" i="11"/>
  <c r="I90" i="11"/>
  <c r="J97" i="11"/>
  <c r="I97" i="11"/>
  <c r="I55" i="11"/>
  <c r="J55" i="11"/>
  <c r="J69" i="11"/>
  <c r="I69" i="11"/>
  <c r="J76" i="11"/>
  <c r="I76" i="11"/>
  <c r="J89" i="11"/>
  <c r="I89" i="11"/>
  <c r="J96" i="11"/>
  <c r="I96" i="11"/>
  <c r="I63" i="11"/>
  <c r="J63" i="11"/>
  <c r="J41" i="11"/>
  <c r="I41" i="11"/>
  <c r="J40" i="11"/>
  <c r="I40" i="11"/>
  <c r="J44" i="11"/>
  <c r="I44" i="11"/>
  <c r="J48" i="11"/>
  <c r="I48" i="11"/>
  <c r="J52" i="11"/>
  <c r="I52" i="11"/>
  <c r="J56" i="11"/>
  <c r="I56" i="11"/>
  <c r="J60" i="11"/>
  <c r="I60" i="11"/>
  <c r="J64" i="11"/>
  <c r="I64" i="11"/>
  <c r="J68" i="11"/>
  <c r="I68" i="11"/>
  <c r="J75" i="11"/>
  <c r="I75" i="11"/>
  <c r="J77" i="11"/>
  <c r="J82" i="11"/>
  <c r="I82" i="11"/>
  <c r="J88" i="11"/>
  <c r="I88" i="11"/>
  <c r="J95" i="11"/>
  <c r="I95" i="11"/>
  <c r="I47" i="11"/>
  <c r="J47" i="11"/>
  <c r="J93" i="11"/>
  <c r="I93" i="11"/>
  <c r="I87" i="11"/>
  <c r="J87" i="11"/>
  <c r="J94" i="11"/>
  <c r="I94" i="11"/>
  <c r="I72" i="11"/>
  <c r="I73" i="11"/>
  <c r="I77" i="11"/>
  <c r="I81" i="11"/>
  <c r="I85" i="11"/>
  <c r="H44" i="9" a="1"/>
  <c r="H44" i="9" s="1"/>
  <c r="H39" i="9" a="1"/>
  <c r="H39" i="9" s="1"/>
  <c r="H50" i="9" a="1"/>
  <c r="H50" i="9" s="1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E62" i="8"/>
  <c r="H62" i="8" s="1"/>
  <c r="E63" i="8"/>
  <c r="H63" i="8" s="1"/>
  <c r="E64" i="8"/>
  <c r="E65" i="8"/>
  <c r="H65" i="8" s="1"/>
  <c r="E66" i="8"/>
  <c r="H66" i="8" s="1"/>
  <c r="E67" i="8"/>
  <c r="H67" i="8" s="1"/>
  <c r="E68" i="8"/>
  <c r="H68" i="8" s="1"/>
  <c r="E69" i="8"/>
  <c r="H69" i="8" s="1"/>
  <c r="E70" i="8"/>
  <c r="H70" i="8" s="1"/>
  <c r="E71" i="8"/>
  <c r="H71" i="8" s="1"/>
  <c r="E72" i="8"/>
  <c r="H72" i="8" s="1"/>
  <c r="E73" i="8"/>
  <c r="H73" i="8" s="1"/>
  <c r="E74" i="8"/>
  <c r="H74" i="8" s="1"/>
  <c r="E75" i="8"/>
  <c r="H75" i="8" s="1"/>
  <c r="E76" i="8"/>
  <c r="H76" i="8" s="1"/>
  <c r="E77" i="8"/>
  <c r="H77" i="8" s="1"/>
  <c r="E78" i="8"/>
  <c r="E79" i="8"/>
  <c r="E80" i="8"/>
  <c r="H80" i="8" s="1"/>
  <c r="E81" i="8"/>
  <c r="E82" i="8"/>
  <c r="H82" i="8" s="1"/>
  <c r="E83" i="8"/>
  <c r="H83" i="8" s="1"/>
  <c r="E84" i="8"/>
  <c r="H84" i="8" s="1"/>
  <c r="E85" i="8"/>
  <c r="H85" i="8" s="1"/>
  <c r="D62" i="8"/>
  <c r="G62" i="8" s="1"/>
  <c r="D63" i="8"/>
  <c r="G63" i="8" s="1"/>
  <c r="D64" i="8"/>
  <c r="D65" i="8"/>
  <c r="G65" i="8" s="1"/>
  <c r="D66" i="8"/>
  <c r="G66" i="8" s="1"/>
  <c r="D67" i="8"/>
  <c r="G67" i="8" s="1"/>
  <c r="D68" i="8"/>
  <c r="G68" i="8" s="1"/>
  <c r="D69" i="8"/>
  <c r="G69" i="8" s="1"/>
  <c r="D70" i="8"/>
  <c r="G70" i="8" s="1"/>
  <c r="D71" i="8"/>
  <c r="G71" i="8" s="1"/>
  <c r="D72" i="8"/>
  <c r="G72" i="8" s="1"/>
  <c r="D73" i="8"/>
  <c r="G73" i="8" s="1"/>
  <c r="D74" i="8"/>
  <c r="G74" i="8" s="1"/>
  <c r="D75" i="8"/>
  <c r="G75" i="8" s="1"/>
  <c r="D76" i="8"/>
  <c r="G76" i="8" s="1"/>
  <c r="D77" i="8"/>
  <c r="G77" i="8" s="1"/>
  <c r="D78" i="8"/>
  <c r="D79" i="8"/>
  <c r="D80" i="8"/>
  <c r="G80" i="8" s="1"/>
  <c r="D81" i="8"/>
  <c r="D82" i="8"/>
  <c r="G82" i="8" s="1"/>
  <c r="D83" i="8"/>
  <c r="G83" i="8" s="1"/>
  <c r="D84" i="8"/>
  <c r="G84" i="8" s="1"/>
  <c r="D85" i="8"/>
  <c r="G85" i="8" s="1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E15" i="8"/>
  <c r="H55" i="9" s="1" a="1"/>
  <c r="H55" i="9" s="1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2" i="6"/>
  <c r="H60" i="9" a="1"/>
  <c r="H60" i="9" s="1"/>
  <c r="E40" i="9" a="1"/>
  <c r="E40" i="9" s="1"/>
  <c r="E51" i="9" a="1"/>
  <c r="E51" i="9" s="1"/>
  <c r="E58" i="9" a="1"/>
  <c r="E58" i="9" s="1"/>
  <c r="D51" i="9" a="1"/>
  <c r="D51" i="9" s="1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G78" i="8" l="1"/>
  <c r="H64" i="8"/>
  <c r="I74" i="8" s="1"/>
  <c r="G64" i="8"/>
  <c r="J74" i="8" s="1"/>
  <c r="H81" i="8"/>
  <c r="G81" i="8"/>
  <c r="J77" i="8"/>
  <c r="I77" i="8"/>
  <c r="J75" i="8"/>
  <c r="H78" i="8"/>
  <c r="I78" i="8" s="1"/>
  <c r="J73" i="8"/>
  <c r="I73" i="8"/>
  <c r="J76" i="8"/>
  <c r="I76" i="8"/>
  <c r="F51" i="9"/>
  <c r="E72" i="9" a="1"/>
  <c r="E72" i="9" s="1"/>
  <c r="G64" i="9" a="1"/>
  <c r="G64" i="9" s="1"/>
  <c r="E64" i="9" a="1"/>
  <c r="E64" i="9" s="1"/>
  <c r="M3" i="9" a="1"/>
  <c r="M3" i="9" s="1"/>
  <c r="L3" i="9" a="1"/>
  <c r="L3" i="9" s="1"/>
  <c r="N3" i="9" s="1"/>
  <c r="P3" i="9" a="1"/>
  <c r="P3" i="9" s="1"/>
  <c r="O3" i="9" a="1"/>
  <c r="O3" i="9" s="1"/>
  <c r="H67" i="9" a="1"/>
  <c r="H67" i="9" s="1"/>
  <c r="D73" i="9" a="1"/>
  <c r="D73" i="9" s="1"/>
  <c r="H73" i="9" a="1"/>
  <c r="H73" i="9" s="1"/>
  <c r="E73" i="9" a="1"/>
  <c r="E73" i="9" s="1"/>
  <c r="H66" i="9" a="1"/>
  <c r="H66" i="9" s="1"/>
  <c r="H79" i="8"/>
  <c r="G79" i="8"/>
  <c r="H93" i="9" a="1"/>
  <c r="H93" i="9" s="1"/>
  <c r="E78" i="9" a="1"/>
  <c r="E78" i="9" s="1"/>
  <c r="G86" i="9" a="1"/>
  <c r="G86" i="9" s="1"/>
  <c r="H87" i="9" a="1"/>
  <c r="H87" i="9" s="1"/>
  <c r="D69" i="9" a="1"/>
  <c r="D69" i="9" s="1"/>
  <c r="E45" i="9" a="1"/>
  <c r="E45" i="9" s="1"/>
  <c r="E39" i="9" a="1"/>
  <c r="E39" i="9" s="1"/>
  <c r="G62" i="9" a="1"/>
  <c r="G62" i="9" s="1"/>
  <c r="H72" i="9" a="1"/>
  <c r="H72" i="9" s="1"/>
  <c r="H59" i="9" a="1"/>
  <c r="H59" i="9" s="1"/>
  <c r="H54" i="9" a="1"/>
  <c r="H54" i="9" s="1"/>
  <c r="H49" i="9" a="1"/>
  <c r="H49" i="9" s="1"/>
  <c r="H43" i="9" a="1"/>
  <c r="H43" i="9" s="1"/>
  <c r="E94" i="9" a="1"/>
  <c r="E94" i="9" s="1"/>
  <c r="D80" i="9" a="1"/>
  <c r="D80" i="9" s="1"/>
  <c r="G72" i="9" a="1"/>
  <c r="G72" i="9" s="1"/>
  <c r="D63" i="9" a="1"/>
  <c r="D63" i="9" s="1"/>
  <c r="G56" i="9" a="1"/>
  <c r="G56" i="9" s="1"/>
  <c r="G51" i="9" a="1"/>
  <c r="G51" i="9" s="1"/>
  <c r="G41" i="9" a="1"/>
  <c r="G41" i="9" s="1"/>
  <c r="H38" i="9" a="1"/>
  <c r="H38" i="9" s="1"/>
  <c r="E63" i="9" a="1"/>
  <c r="E63" i="9" s="1"/>
  <c r="D47" i="9" a="1"/>
  <c r="D47" i="9" s="1"/>
  <c r="E50" i="9" a="1"/>
  <c r="E50" i="9" s="1"/>
  <c r="E44" i="9" a="1"/>
  <c r="E44" i="9" s="1"/>
  <c r="G61" i="9" a="1"/>
  <c r="G61" i="9" s="1"/>
  <c r="H71" i="9" a="1"/>
  <c r="H71" i="9" s="1"/>
  <c r="H65" i="9" a="1"/>
  <c r="H65" i="9" s="1"/>
  <c r="H48" i="9" a="1"/>
  <c r="H48" i="9" s="1"/>
  <c r="D85" i="9" a="1"/>
  <c r="D85" i="9" s="1"/>
  <c r="F73" i="9"/>
  <c r="E57" i="9" a="1"/>
  <c r="E57" i="9" s="1"/>
  <c r="E70" i="9" a="1"/>
  <c r="E70" i="9" s="1"/>
  <c r="D64" i="9" a="1"/>
  <c r="D64" i="9" s="1"/>
  <c r="F64" i="9" s="1"/>
  <c r="E69" i="9" a="1"/>
  <c r="E69" i="9" s="1"/>
  <c r="E62" i="9" a="1"/>
  <c r="E62" i="9" s="1"/>
  <c r="E55" i="9" a="1"/>
  <c r="E55" i="9" s="1"/>
  <c r="E49" i="9" a="1"/>
  <c r="E49" i="9" s="1"/>
  <c r="E43" i="9" a="1"/>
  <c r="E43" i="9" s="1"/>
  <c r="G55" i="9" a="1"/>
  <c r="G55" i="9" s="1"/>
  <c r="I55" i="9" s="1"/>
  <c r="H70" i="9" a="1"/>
  <c r="H70" i="9" s="1"/>
  <c r="H64" i="9" a="1"/>
  <c r="H64" i="9" s="1"/>
  <c r="H58" i="9" a="1"/>
  <c r="H58" i="9" s="1"/>
  <c r="H53" i="9" a="1"/>
  <c r="H53" i="9" s="1"/>
  <c r="H47" i="9" a="1"/>
  <c r="H47" i="9" s="1"/>
  <c r="H42" i="9" a="1"/>
  <c r="H42" i="9" s="1"/>
  <c r="E93" i="9" a="1"/>
  <c r="E93" i="9" s="1"/>
  <c r="E71" i="9" a="1"/>
  <c r="E71" i="9" s="1"/>
  <c r="D67" i="9" a="1"/>
  <c r="D67" i="9" s="1"/>
  <c r="E56" i="9" a="1"/>
  <c r="E56" i="9" s="1"/>
  <c r="D45" i="9" a="1"/>
  <c r="D45" i="9" s="1"/>
  <c r="F45" i="9" s="1"/>
  <c r="D60" i="9" a="1"/>
  <c r="D60" i="9" s="1"/>
  <c r="D43" i="9" a="1"/>
  <c r="D43" i="9" s="1"/>
  <c r="E68" i="9" a="1"/>
  <c r="E68" i="9" s="1"/>
  <c r="E61" i="9" a="1"/>
  <c r="E61" i="9" s="1"/>
  <c r="E48" i="9" a="1"/>
  <c r="E48" i="9" s="1"/>
  <c r="G73" i="9" a="1"/>
  <c r="G73" i="9" s="1"/>
  <c r="G50" i="9" a="1"/>
  <c r="G50" i="9" s="1"/>
  <c r="I50" i="9" s="1"/>
  <c r="H63" i="9" a="1"/>
  <c r="H63" i="9" s="1"/>
  <c r="H52" i="9" a="1"/>
  <c r="H52" i="9" s="1"/>
  <c r="E76" i="9" a="1"/>
  <c r="E76" i="9" s="1"/>
  <c r="H76" i="9" a="1"/>
  <c r="H76" i="9" s="1"/>
  <c r="D97" i="9" a="1"/>
  <c r="D97" i="9" s="1"/>
  <c r="G74" i="9" a="1"/>
  <c r="G74" i="9" s="1"/>
  <c r="D50" i="9" a="1"/>
  <c r="D50" i="9" s="1"/>
  <c r="F50" i="9" s="1"/>
  <c r="D58" i="9" a="1"/>
  <c r="D58" i="9" s="1"/>
  <c r="F58" i="9" s="1"/>
  <c r="D41" i="9" a="1"/>
  <c r="D41" i="9" s="1"/>
  <c r="E67" i="9" a="1"/>
  <c r="E67" i="9" s="1"/>
  <c r="E60" i="9" a="1"/>
  <c r="E60" i="9" s="1"/>
  <c r="E54" i="9" a="1"/>
  <c r="E54" i="9" s="1"/>
  <c r="E47" i="9" a="1"/>
  <c r="E47" i="9" s="1"/>
  <c r="E42" i="9" a="1"/>
  <c r="E42" i="9" s="1"/>
  <c r="G71" i="9" a="1"/>
  <c r="G71" i="9" s="1"/>
  <c r="G48" i="9" a="1"/>
  <c r="G48" i="9" s="1"/>
  <c r="H69" i="9" a="1"/>
  <c r="H69" i="9" s="1"/>
  <c r="H62" i="9" a="1"/>
  <c r="H62" i="9" s="1"/>
  <c r="H57" i="9" a="1"/>
  <c r="H57" i="9" s="1"/>
  <c r="H51" i="9" a="1"/>
  <c r="H51" i="9" s="1"/>
  <c r="H46" i="9" a="1"/>
  <c r="H46" i="9" s="1"/>
  <c r="H41" i="9" a="1"/>
  <c r="H41" i="9" s="1"/>
  <c r="E75" i="9" a="1"/>
  <c r="E75" i="9" s="1"/>
  <c r="H75" i="9" a="1"/>
  <c r="H75" i="9" s="1"/>
  <c r="E37" i="9" a="1"/>
  <c r="E37" i="9" s="1"/>
  <c r="E38" i="9" a="1"/>
  <c r="E38" i="9" s="1"/>
  <c r="E66" i="9" a="1"/>
  <c r="E66" i="9" s="1"/>
  <c r="E59" i="9" a="1"/>
  <c r="E59" i="9" s="1"/>
  <c r="E53" i="9" a="1"/>
  <c r="E53" i="9" s="1"/>
  <c r="G67" i="9" a="1"/>
  <c r="G67" i="9" s="1"/>
  <c r="I67" i="9" s="1"/>
  <c r="G45" i="9" a="1"/>
  <c r="G45" i="9" s="1"/>
  <c r="H68" i="9" a="1"/>
  <c r="H68" i="9" s="1"/>
  <c r="H56" i="9" a="1"/>
  <c r="H56" i="9" s="1"/>
  <c r="H40" i="9" a="1"/>
  <c r="H40" i="9" s="1"/>
  <c r="H80" i="9" a="1"/>
  <c r="H80" i="9" s="1"/>
  <c r="H74" i="9" a="1"/>
  <c r="H74" i="9" s="1"/>
  <c r="D56" i="9" a="1"/>
  <c r="D56" i="9" s="1"/>
  <c r="F56" i="9" s="1"/>
  <c r="H37" i="9" a="1"/>
  <c r="H37" i="9" s="1"/>
  <c r="D54" i="9" a="1"/>
  <c r="D54" i="9" s="1"/>
  <c r="E65" i="9" a="1"/>
  <c r="E65" i="9" s="1"/>
  <c r="E52" i="9" a="1"/>
  <c r="E52" i="9" s="1"/>
  <c r="E46" i="9" a="1"/>
  <c r="E46" i="9" s="1"/>
  <c r="E41" i="9" a="1"/>
  <c r="E41" i="9" s="1"/>
  <c r="G66" i="9" a="1"/>
  <c r="G66" i="9" s="1"/>
  <c r="I66" i="9" s="1"/>
  <c r="G40" i="9" a="1"/>
  <c r="G40" i="9" s="1"/>
  <c r="H61" i="9" a="1"/>
  <c r="H61" i="9" s="1"/>
  <c r="H45" i="9" a="1"/>
  <c r="H45" i="9" s="1"/>
  <c r="D79" i="9" a="1"/>
  <c r="D79" i="9" s="1"/>
  <c r="D37" i="9" a="1"/>
  <c r="D37" i="9" s="1"/>
  <c r="F37" i="9" s="1"/>
  <c r="G37" i="9" a="1"/>
  <c r="G37" i="9" s="1"/>
  <c r="D68" i="9" a="1"/>
  <c r="D68" i="9" s="1"/>
  <c r="F68" i="9" s="1"/>
  <c r="D62" i="9" a="1"/>
  <c r="D62" i="9" s="1"/>
  <c r="F62" i="9" s="1"/>
  <c r="D55" i="9" a="1"/>
  <c r="D55" i="9" s="1"/>
  <c r="D49" i="9" a="1"/>
  <c r="D49" i="9" s="1"/>
  <c r="F49" i="9" s="1"/>
  <c r="G60" i="9" a="1"/>
  <c r="G60" i="9" s="1"/>
  <c r="I60" i="9" s="1"/>
  <c r="G44" i="9" a="1"/>
  <c r="G44" i="9" s="1"/>
  <c r="I44" i="9" s="1"/>
  <c r="D61" i="9" a="1"/>
  <c r="D61" i="9" s="1"/>
  <c r="F61" i="9" s="1"/>
  <c r="D48" i="9" a="1"/>
  <c r="D48" i="9" s="1"/>
  <c r="F48" i="9" s="1"/>
  <c r="D42" i="9" a="1"/>
  <c r="D42" i="9" s="1"/>
  <c r="F42" i="9" s="1"/>
  <c r="G70" i="9" a="1"/>
  <c r="G70" i="9" s="1"/>
  <c r="I70" i="9" s="1"/>
  <c r="G65" i="9" a="1"/>
  <c r="G65" i="9" s="1"/>
  <c r="I65" i="9" s="1"/>
  <c r="G59" i="9" a="1"/>
  <c r="G59" i="9" s="1"/>
  <c r="I59" i="9" s="1"/>
  <c r="G54" i="9" a="1"/>
  <c r="G54" i="9" s="1"/>
  <c r="I54" i="9" s="1"/>
  <c r="G49" i="9" a="1"/>
  <c r="G49" i="9" s="1"/>
  <c r="G39" i="9" a="1"/>
  <c r="G39" i="9" s="1"/>
  <c r="I39" i="9" s="1"/>
  <c r="D77" i="9" a="1"/>
  <c r="D77" i="9" s="1"/>
  <c r="G43" i="9" a="1"/>
  <c r="G43" i="9" s="1"/>
  <c r="I43" i="9" s="1"/>
  <c r="D76" i="9" a="1"/>
  <c r="D76" i="9" s="1"/>
  <c r="D66" i="9" a="1"/>
  <c r="D66" i="9" s="1"/>
  <c r="F66" i="9" s="1"/>
  <c r="D59" i="9" a="1"/>
  <c r="D59" i="9" s="1"/>
  <c r="D53" i="9" a="1"/>
  <c r="D53" i="9" s="1"/>
  <c r="D40" i="9" a="1"/>
  <c r="D40" i="9" s="1"/>
  <c r="F40" i="9" s="1"/>
  <c r="G69" i="9" a="1"/>
  <c r="G69" i="9" s="1"/>
  <c r="I69" i="9" s="1"/>
  <c r="G63" i="9" a="1"/>
  <c r="G63" i="9" s="1"/>
  <c r="G58" i="9" a="1"/>
  <c r="G58" i="9" s="1"/>
  <c r="I58" i="9" s="1"/>
  <c r="G53" i="9" a="1"/>
  <c r="G53" i="9" s="1"/>
  <c r="I53" i="9" s="1"/>
  <c r="G47" i="9" a="1"/>
  <c r="G47" i="9" s="1"/>
  <c r="D75" i="9" a="1"/>
  <c r="D75" i="9" s="1"/>
  <c r="F75" i="9" s="1"/>
  <c r="G83" i="9" a="1"/>
  <c r="G83" i="9" s="1"/>
  <c r="D38" i="9" a="1"/>
  <c r="D38" i="9" s="1"/>
  <c r="D72" i="9" a="1"/>
  <c r="D72" i="9" s="1"/>
  <c r="F72" i="9" s="1"/>
  <c r="D71" i="9" a="1"/>
  <c r="D71" i="9" s="1"/>
  <c r="F71" i="9" s="1"/>
  <c r="D65" i="9" a="1"/>
  <c r="D65" i="9" s="1"/>
  <c r="F65" i="9" s="1"/>
  <c r="D52" i="9" a="1"/>
  <c r="D52" i="9" s="1"/>
  <c r="D46" i="9" a="1"/>
  <c r="D46" i="9" s="1"/>
  <c r="F46" i="9" s="1"/>
  <c r="D39" i="9" a="1"/>
  <c r="D39" i="9" s="1"/>
  <c r="F39" i="9" s="1"/>
  <c r="G38" i="9" a="1"/>
  <c r="G38" i="9" s="1"/>
  <c r="G68" i="9" a="1"/>
  <c r="G68" i="9" s="1"/>
  <c r="G52" i="9" a="1"/>
  <c r="G52" i="9" s="1"/>
  <c r="G42" i="9" a="1"/>
  <c r="G42" i="9" s="1"/>
  <c r="I42" i="9" s="1"/>
  <c r="D74" i="9" a="1"/>
  <c r="D74" i="9" s="1"/>
  <c r="G82" i="9" a="1"/>
  <c r="G82" i="9" s="1"/>
  <c r="G76" i="9" a="1"/>
  <c r="G76" i="9" s="1"/>
  <c r="I76" i="9" s="1"/>
  <c r="G57" i="9" a="1"/>
  <c r="G57" i="9" s="1"/>
  <c r="G46" i="9" a="1"/>
  <c r="G46" i="9" s="1"/>
  <c r="G75" i="9" a="1"/>
  <c r="G75" i="9" s="1"/>
  <c r="I75" i="9" s="1"/>
  <c r="D70" i="9" a="1"/>
  <c r="D70" i="9" s="1"/>
  <c r="F70" i="9" s="1"/>
  <c r="D57" i="9" a="1"/>
  <c r="D57" i="9" s="1"/>
  <c r="F57" i="9" s="1"/>
  <c r="D44" i="9" a="1"/>
  <c r="D44" i="9" s="1"/>
  <c r="F44" i="9" s="1"/>
  <c r="G28" i="8"/>
  <c r="G44" i="8"/>
  <c r="G60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1" i="8"/>
  <c r="I75" i="8" l="1"/>
  <c r="J80" i="8"/>
  <c r="I83" i="8"/>
  <c r="J78" i="8"/>
  <c r="I85" i="8"/>
  <c r="J83" i="8"/>
  <c r="I84" i="8"/>
  <c r="J85" i="8"/>
  <c r="J81" i="8"/>
  <c r="J79" i="8"/>
  <c r="I82" i="8"/>
  <c r="I79" i="8"/>
  <c r="J82" i="8"/>
  <c r="I80" i="8"/>
  <c r="J84" i="8"/>
  <c r="I81" i="8"/>
  <c r="I63" i="9"/>
  <c r="I37" i="9"/>
  <c r="I46" i="9"/>
  <c r="F53" i="9"/>
  <c r="I71" i="9"/>
  <c r="N2" i="9"/>
  <c r="F76" i="9"/>
  <c r="F38" i="9"/>
  <c r="I64" i="9"/>
  <c r="F60" i="9"/>
  <c r="Q3" i="9"/>
  <c r="I48" i="9"/>
  <c r="I38" i="9"/>
  <c r="F54" i="9"/>
  <c r="I57" i="9"/>
  <c r="F59" i="9"/>
  <c r="F55" i="9"/>
  <c r="I40" i="9"/>
  <c r="F52" i="9"/>
  <c r="G84" i="9" a="1"/>
  <c r="G84" i="9" s="1"/>
  <c r="G85" i="9" a="1"/>
  <c r="G85" i="9" s="1"/>
  <c r="D84" i="9" a="1"/>
  <c r="D84" i="9" s="1"/>
  <c r="G81" i="9" a="1"/>
  <c r="G81" i="9" s="1"/>
  <c r="E82" i="9" a="1"/>
  <c r="E82" i="9" s="1"/>
  <c r="G80" i="9" a="1"/>
  <c r="G80" i="9" s="1"/>
  <c r="E83" i="9" a="1"/>
  <c r="E83" i="9" s="1"/>
  <c r="E90" i="9" a="1"/>
  <c r="E90" i="9" s="1"/>
  <c r="I68" i="9"/>
  <c r="G77" i="9" a="1"/>
  <c r="G77" i="9" s="1"/>
  <c r="G90" i="9" a="1"/>
  <c r="G90" i="9" s="1"/>
  <c r="G91" i="9" a="1"/>
  <c r="G91" i="9" s="1"/>
  <c r="D90" i="9" a="1"/>
  <c r="D90" i="9" s="1"/>
  <c r="F90" i="9" s="1"/>
  <c r="G89" i="9" a="1"/>
  <c r="G89" i="9" s="1"/>
  <c r="E92" i="9" a="1"/>
  <c r="E92" i="9" s="1"/>
  <c r="E87" i="9" a="1"/>
  <c r="E87" i="9" s="1"/>
  <c r="E88" i="9" a="1"/>
  <c r="E88" i="9" s="1"/>
  <c r="I72" i="9"/>
  <c r="E89" i="9" a="1"/>
  <c r="E89" i="9" s="1"/>
  <c r="Q2" i="9"/>
  <c r="E85" i="9" a="1"/>
  <c r="E85" i="9" s="1"/>
  <c r="F85" i="9" s="1"/>
  <c r="H89" i="9" a="1"/>
  <c r="H89" i="9" s="1"/>
  <c r="H95" i="9" a="1"/>
  <c r="H95" i="9" s="1"/>
  <c r="G88" i="9" a="1"/>
  <c r="G88" i="9" s="1"/>
  <c r="G96" i="9" a="1"/>
  <c r="G96" i="9" s="1"/>
  <c r="D82" i="9" a="1"/>
  <c r="D82" i="9" s="1"/>
  <c r="D83" i="9" a="1"/>
  <c r="D83" i="9" s="1"/>
  <c r="F83" i="9" s="1"/>
  <c r="G87" i="9" a="1"/>
  <c r="G87" i="9" s="1"/>
  <c r="I87" i="9" s="1"/>
  <c r="H85" i="9" a="1"/>
  <c r="H85" i="9" s="1"/>
  <c r="I85" i="9" s="1"/>
  <c r="I45" i="9"/>
  <c r="D78" i="9" a="1"/>
  <c r="D78" i="9" s="1"/>
  <c r="F78" i="9" s="1"/>
  <c r="D92" i="9" a="1"/>
  <c r="D92" i="9" s="1"/>
  <c r="F92" i="9" s="1"/>
  <c r="D91" i="9" a="1"/>
  <c r="D91" i="9" s="1"/>
  <c r="H91" i="9" a="1"/>
  <c r="H91" i="9" s="1"/>
  <c r="F97" i="9"/>
  <c r="D81" i="9" a="1"/>
  <c r="D81" i="9" s="1"/>
  <c r="D89" i="9" a="1"/>
  <c r="D89" i="9" s="1"/>
  <c r="D96" i="9" a="1"/>
  <c r="D96" i="9" s="1"/>
  <c r="G95" i="9" a="1"/>
  <c r="G95" i="9" s="1"/>
  <c r="I95" i="9" s="1"/>
  <c r="H90" i="9" a="1"/>
  <c r="H90" i="9" s="1"/>
  <c r="E86" i="9" a="1"/>
  <c r="E86" i="9" s="1"/>
  <c r="H81" i="9" a="1"/>
  <c r="H81" i="9" s="1"/>
  <c r="H77" i="9" a="1"/>
  <c r="H77" i="9" s="1"/>
  <c r="G97" i="9" a="1"/>
  <c r="G97" i="9" s="1"/>
  <c r="E81" i="9" a="1"/>
  <c r="E81" i="9" s="1"/>
  <c r="E97" i="9" a="1"/>
  <c r="E97" i="9" s="1"/>
  <c r="L4" i="9" a="1"/>
  <c r="L4" i="9" s="1"/>
  <c r="E95" i="9" a="1"/>
  <c r="E95" i="9" s="1"/>
  <c r="D86" i="9" a="1"/>
  <c r="D86" i="9" s="1"/>
  <c r="F86" i="9" s="1"/>
  <c r="D87" i="9" a="1"/>
  <c r="D87" i="9" s="1"/>
  <c r="D88" i="9" a="1"/>
  <c r="D88" i="9" s="1"/>
  <c r="F88" i="9" s="1"/>
  <c r="D95" i="9" a="1"/>
  <c r="D95" i="9" s="1"/>
  <c r="E79" i="9" a="1"/>
  <c r="E79" i="9" s="1"/>
  <c r="F79" i="9" s="1"/>
  <c r="H96" i="9" a="1"/>
  <c r="H96" i="9" s="1"/>
  <c r="E91" i="9" a="1"/>
  <c r="E91" i="9" s="1"/>
  <c r="H86" i="9" a="1"/>
  <c r="H86" i="9" s="1"/>
  <c r="I86" i="9" s="1"/>
  <c r="I73" i="9"/>
  <c r="F67" i="9"/>
  <c r="H82" i="9" a="1"/>
  <c r="H82" i="9" s="1"/>
  <c r="I82" i="9" s="1"/>
  <c r="I41" i="9"/>
  <c r="H83" i="9" a="1"/>
  <c r="H83" i="9" s="1"/>
  <c r="I83" i="9" s="1"/>
  <c r="E74" i="9" a="1"/>
  <c r="E74" i="9" s="1"/>
  <c r="F74" i="9" s="1"/>
  <c r="E84" i="9" a="1"/>
  <c r="E84" i="9" s="1"/>
  <c r="M4" i="9" a="1"/>
  <c r="M4" i="9" s="1"/>
  <c r="D93" i="9" a="1"/>
  <c r="D93" i="9" s="1"/>
  <c r="F93" i="9" s="1"/>
  <c r="G79" i="9" a="1"/>
  <c r="G79" i="9" s="1"/>
  <c r="E80" i="9" a="1"/>
  <c r="E80" i="9" s="1"/>
  <c r="H92" i="9" a="1"/>
  <c r="H92" i="9" s="1"/>
  <c r="H88" i="9" a="1"/>
  <c r="H88" i="9" s="1"/>
  <c r="H84" i="9" a="1"/>
  <c r="H84" i="9" s="1"/>
  <c r="O4" i="9" a="1"/>
  <c r="O4" i="9" s="1"/>
  <c r="G93" i="9" a="1"/>
  <c r="G93" i="9" s="1"/>
  <c r="I93" i="9" s="1"/>
  <c r="H79" i="9" a="1"/>
  <c r="H79" i="9" s="1"/>
  <c r="G94" i="9" a="1"/>
  <c r="G94" i="9" s="1"/>
  <c r="D94" i="9" a="1"/>
  <c r="D94" i="9" s="1"/>
  <c r="F94" i="9" s="1"/>
  <c r="I52" i="9"/>
  <c r="G78" i="9" a="1"/>
  <c r="G78" i="9" s="1"/>
  <c r="G92" i="9" a="1"/>
  <c r="G92" i="9" s="1"/>
  <c r="E96" i="9" a="1"/>
  <c r="E96" i="9" s="1"/>
  <c r="H97" i="9" a="1"/>
  <c r="H97" i="9" s="1"/>
  <c r="E77" i="9" a="1"/>
  <c r="E77" i="9" s="1"/>
  <c r="F77" i="9" s="1"/>
  <c r="H78" i="9" a="1"/>
  <c r="H78" i="9" s="1"/>
  <c r="P4" i="9" a="1"/>
  <c r="P4" i="9" s="1"/>
  <c r="H94" i="9" a="1"/>
  <c r="H94" i="9" s="1"/>
  <c r="I49" i="9"/>
  <c r="I61" i="9"/>
  <c r="I51" i="9"/>
  <c r="I47" i="9"/>
  <c r="I74" i="9"/>
  <c r="I56" i="9"/>
  <c r="I80" i="9"/>
  <c r="F63" i="9"/>
  <c r="F43" i="9"/>
  <c r="F47" i="9"/>
  <c r="I62" i="9"/>
  <c r="F80" i="9"/>
  <c r="I96" i="9"/>
  <c r="F41" i="9"/>
  <c r="F91" i="9"/>
  <c r="F69" i="9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I55" i="8" l="1"/>
  <c r="J55" i="8"/>
  <c r="I31" i="8"/>
  <c r="J31" i="8"/>
  <c r="I62" i="8"/>
  <c r="J62" i="8"/>
  <c r="I30" i="8"/>
  <c r="J30" i="8"/>
  <c r="J53" i="8"/>
  <c r="I53" i="8"/>
  <c r="I29" i="8"/>
  <c r="J29" i="8"/>
  <c r="J52" i="8"/>
  <c r="I52" i="8"/>
  <c r="J28" i="8"/>
  <c r="I28" i="8"/>
  <c r="J59" i="8"/>
  <c r="I59" i="8"/>
  <c r="I27" i="8"/>
  <c r="J27" i="8"/>
  <c r="I63" i="8"/>
  <c r="J63" i="8"/>
  <c r="I39" i="8"/>
  <c r="J39" i="8"/>
  <c r="I54" i="8"/>
  <c r="J54" i="8"/>
  <c r="I38" i="8"/>
  <c r="J38" i="8"/>
  <c r="I61" i="8"/>
  <c r="J61" i="8"/>
  <c r="I37" i="8"/>
  <c r="J37" i="8"/>
  <c r="I60" i="8"/>
  <c r="J60" i="8"/>
  <c r="I36" i="8"/>
  <c r="J36" i="8"/>
  <c r="I51" i="8"/>
  <c r="J51" i="8"/>
  <c r="J35" i="8"/>
  <c r="I35" i="8"/>
  <c r="J58" i="8"/>
  <c r="I58" i="8"/>
  <c r="I42" i="8"/>
  <c r="J42" i="8"/>
  <c r="J26" i="8"/>
  <c r="I26" i="8"/>
  <c r="J65" i="8"/>
  <c r="I65" i="8"/>
  <c r="J57" i="8"/>
  <c r="I57" i="8"/>
  <c r="J49" i="8"/>
  <c r="I49" i="8"/>
  <c r="J41" i="8"/>
  <c r="I41" i="8"/>
  <c r="J33" i="8"/>
  <c r="I33" i="8"/>
  <c r="J71" i="8"/>
  <c r="I71" i="8"/>
  <c r="J47" i="8"/>
  <c r="I47" i="8"/>
  <c r="I70" i="8"/>
  <c r="J70" i="8"/>
  <c r="I46" i="8"/>
  <c r="J46" i="8"/>
  <c r="J69" i="8"/>
  <c r="I69" i="8"/>
  <c r="J45" i="8"/>
  <c r="I45" i="8"/>
  <c r="J68" i="8"/>
  <c r="I68" i="8"/>
  <c r="J44" i="8"/>
  <c r="I44" i="8"/>
  <c r="I67" i="8"/>
  <c r="J67" i="8"/>
  <c r="I43" i="8"/>
  <c r="J43" i="8"/>
  <c r="I66" i="8"/>
  <c r="J66" i="8"/>
  <c r="J50" i="8"/>
  <c r="I50" i="8"/>
  <c r="I34" i="8"/>
  <c r="J34" i="8"/>
  <c r="J72" i="8"/>
  <c r="I72" i="8"/>
  <c r="J64" i="8"/>
  <c r="I64" i="8"/>
  <c r="I56" i="8"/>
  <c r="J56" i="8"/>
  <c r="J48" i="8"/>
  <c r="I48" i="8"/>
  <c r="J40" i="8"/>
  <c r="I40" i="8"/>
  <c r="I32" i="8"/>
  <c r="J32" i="8"/>
  <c r="I91" i="9"/>
  <c r="I94" i="9"/>
  <c r="F87" i="9"/>
  <c r="I90" i="9"/>
  <c r="I92" i="9"/>
  <c r="I97" i="9"/>
  <c r="F81" i="9"/>
  <c r="I89" i="9"/>
  <c r="I79" i="9"/>
  <c r="I81" i="9"/>
  <c r="Q4" i="9"/>
  <c r="I77" i="9"/>
  <c r="F84" i="9"/>
  <c r="N4" i="9"/>
  <c r="F82" i="9"/>
  <c r="I78" i="9"/>
  <c r="F96" i="9"/>
  <c r="I88" i="9"/>
  <c r="I84" i="9"/>
  <c r="F95" i="9"/>
  <c r="F8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tc={39891EC4-4317-480E-99BB-067061C00C07}</author>
  </authors>
  <commentList>
    <comment ref="F1" authorId="0" shapeId="0" xr:uid="{39891EC4-4317-480E-99BB-067061C00C0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tc={ADF07156-7FD7-4064-99E4-86045329206F}</author>
  </authors>
  <commentList>
    <comment ref="F1" authorId="0" shapeId="0" xr:uid="{ADF07156-7FD7-4064-99E4-86045329206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<sst xmlns="http://schemas.openxmlformats.org/spreadsheetml/2006/main" count="237" uniqueCount="120">
  <si>
    <t>Date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</si>
  <si>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</si>
  <si>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</si>
  <si>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</si>
  <si>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</si>
  <si>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</si>
  <si>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</si>
  <si>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</si>
  <si>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</si>
  <si>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</si>
  <si>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</si>
  <si>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</si>
  <si>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</si>
  <si>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</si>
  <si>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</si>
  <si>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</si>
  <si>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</si>
  <si>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</si>
  <si>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</si>
  <si>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</si>
  <si>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</si>
  <si>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</si>
  <si>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</si>
  <si>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</si>
  <si>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</si>
  <si>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</si>
  <si>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</si>
  <si>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</si>
  <si>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</si>
  <si>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</si>
  <si>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</si>
  <si>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</si>
  <si>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</si>
  <si>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</si>
  <si>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</si>
  <si>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</si>
  <si>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</si>
  <si>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</si>
  <si>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</si>
  <si>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</si>
  <si>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</si>
  <si>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</si>
  <si>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</si>
  <si>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</si>
  <si>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</si>
  <si>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</si>
  <si>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</si>
  <si>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</si>
  <si>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</si>
  <si>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</si>
  <si>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</si>
  <si>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</si>
  <si>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</si>
  <si>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</si>
  <si>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</si>
  <si>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</si>
  <si>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</si>
  <si>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</si>
  <si>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</si>
  <si>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</si>
  <si>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</si>
  <si>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</si>
  <si>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</si>
  <si>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</si>
  <si>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</si>
  <si>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</si>
  <si>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</si>
  <si>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</si>
  <si>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</si>
  <si>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</si>
  <si>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</si>
  <si>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Beta</t>
  </si>
  <si>
    <t>Alpha</t>
  </si>
  <si>
    <t>MSCI EM (Emerging Markets) Index</t>
  </si>
  <si>
    <t>2021-05-31</t>
  </si>
  <si>
    <t>2024-03-29</t>
  </si>
  <si>
    <t>2024-12-31</t>
  </si>
  <si>
    <t>MSCI EM  Index</t>
  </si>
  <si>
    <t>EMF US</t>
  </si>
  <si>
    <t>Return EMF US, Rp</t>
  </si>
  <si>
    <t>Return MSCI EM, Rm</t>
  </si>
  <si>
    <t>Risk-free</t>
  </si>
  <si>
    <t>Benchmark Excess</t>
  </si>
  <si>
    <t>Fund Excess</t>
  </si>
  <si>
    <t>Benchmark Geo-Mittel (Up)</t>
  </si>
  <si>
    <t>Fund Geo-Mittel (Up)</t>
  </si>
  <si>
    <t>UC Ratio</t>
  </si>
  <si>
    <t>Benchmark Geo-Mittel (Down)</t>
  </si>
  <si>
    <t>Fund Geo-Mittel (Down)</t>
  </si>
  <si>
    <t>DC Ratio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</si>
  <si>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</si>
  <si>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</si>
  <si>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</si>
  <si>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</si>
  <si>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</si>
  <si>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</si>
  <si>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</si>
  <si>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</si>
  <si>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</si>
  <si>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</si>
  <si>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</si>
  <si>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</si>
  <si>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</si>
  <si>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</si>
  <si>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</si>
  <si>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</si>
  <si>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</si>
  <si>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</si>
  <si>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</si>
  <si>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</si>
  <si>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</si>
  <si>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</si>
  <si>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</si>
  <si>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EMF NAV</t>
  </si>
  <si>
    <t>observation_date</t>
  </si>
  <si>
    <t>TB3MS</t>
  </si>
  <si>
    <t>pre-covid</t>
  </si>
  <si>
    <t>during-covid</t>
  </si>
  <si>
    <t>post-covid</t>
  </si>
  <si>
    <t>EMF und MSCI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</si>
</sst>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lina Khegay" id="{7E519816-2294-4EC7-AE72-8A79DFEF9347}" userId="S::g.khegay@hm.edu::380e464f-d0ab-4c27-bc53-0f64b3b6ca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02T16:08:19.87" personId="{7E519816-2294-4EC7-AE72-8A79DFEF9347}" id="{39891EC4-4317-480E-99BB-067061C00C07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02T16:08:19.87" personId="{7E519816-2294-4EC7-AE72-8A79DFEF9347}" id="{ADF07156-7FD7-4064-99E4-86045329206F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62FF-97F1-4658-B776-EDA131BF9029}">
  <dimension ref="A1:J85"/>
  <sheetViews>
    <sheetView workbookViewId="0">
      <pane ySplit="1" topLeftCell="A14" activePane="bottomLeft" state="frozen"/>
      <selection pane="bottomLeft" activeCell="I25" sqref="I25"/>
    </sheetView>
  </sheetViews>
  <sheetFormatPr baseColWidth="10" defaultRowHeight="15" x14ac:dyDescent="0.2"/>
  <cols>
    <col min="3" max="3" width="14.33203125" bestFit="1" customWidth="1"/>
  </cols>
  <sheetData>
    <row r="1" spans="1:10" ht="32" x14ac:dyDescent="0.2">
      <c r="A1" s="1" t="s">
        <v>0</v>
      </c>
      <c r="B1" s="1" t="s">
        <v>78</v>
      </c>
      <c r="C1" s="1" t="s">
        <v>77</v>
      </c>
      <c r="D1" s="2" t="s">
        <v>79</v>
      </c>
      <c r="E1" s="2" t="s">
        <v>80</v>
      </c>
      <c r="F1" s="2" t="s">
        <v>81</v>
      </c>
      <c r="G1" s="2" t="s">
        <v>83</v>
      </c>
      <c r="H1" s="2" t="s">
        <v>82</v>
      </c>
      <c r="I1" s="2" t="s">
        <v>72</v>
      </c>
      <c r="J1" s="2" t="s">
        <v>71</v>
      </c>
    </row>
    <row r="2" spans="1:10" x14ac:dyDescent="0.2">
      <c r="A2" t="str">
        <f>'MSCI EM_Monthly'!A14</f>
        <v>2018-01-31</v>
      </c>
      <c r="B2">
        <f>EMF_Fund_Monthly!B14</f>
        <v>19.670000000000002</v>
      </c>
      <c r="C2">
        <f>'MSCI EM_Monthly'!B14</f>
        <v>564.91753100000005</v>
      </c>
      <c r="D2" s="2"/>
      <c r="E2" s="2"/>
      <c r="F2">
        <f>(1+'Risk-free rate'!B14/100)^(1/12)-1</f>
        <v>1.1674742711142994E-3</v>
      </c>
      <c r="G2" s="2"/>
      <c r="H2" s="2"/>
      <c r="I2" s="2"/>
      <c r="J2" s="2"/>
    </row>
    <row r="3" spans="1:10" x14ac:dyDescent="0.2">
      <c r="A3" t="str">
        <f>'MSCI EM_Monthly'!A15</f>
        <v>2018-02-28</v>
      </c>
      <c r="B3">
        <f>EMF_Fund_Monthly!B15</f>
        <v>18.84</v>
      </c>
      <c r="C3">
        <f>'MSCI EM_Monthly'!B15</f>
        <v>538.863922</v>
      </c>
      <c r="D3">
        <f>(EMF_Fund_Monthly!B15-EMF_Fund_Monthly!B14)/EMF_Fund_Monthly!B14</f>
        <v>-4.2196237925775384E-2</v>
      </c>
      <c r="E3">
        <f>('MSCI EM_Monthly'!B15-'MSCI EM_Monthly'!B14)/'MSCI EM_Monthly'!B14</f>
        <v>-4.6119314006560809E-2</v>
      </c>
      <c r="F3">
        <f>(1+'Risk-free rate'!B15/100)^(1/12)-1</f>
        <v>1.2990121499387719E-3</v>
      </c>
      <c r="G3">
        <f t="shared" ref="G3:G14" si="0">D3-$F3</f>
        <v>-4.3495250075714156E-2</v>
      </c>
      <c r="H3">
        <f>E3-$F3</f>
        <v>-4.7418326156499581E-2</v>
      </c>
      <c r="I3" s="2"/>
      <c r="J3" s="2"/>
    </row>
    <row r="4" spans="1:10" x14ac:dyDescent="0.2">
      <c r="A4" t="str">
        <f>'MSCI EM_Monthly'!A16</f>
        <v>2018-03-30</v>
      </c>
      <c r="B4">
        <f>EMF_Fund_Monthly!B16</f>
        <v>18.350000000000001</v>
      </c>
      <c r="C4">
        <f>'MSCI EM_Monthly'!B16</f>
        <v>528.84461999999996</v>
      </c>
      <c r="D4">
        <f>(EMF_Fund_Monthly!B16-EMF_Fund_Monthly!B15)/EMF_Fund_Monthly!B15</f>
        <v>-2.6008492569002041E-2</v>
      </c>
      <c r="E4">
        <f>('MSCI EM_Monthly'!B16-'MSCI EM_Monthly'!B15)/'MSCI EM_Monthly'!B15</f>
        <v>-1.8593380612332105E-2</v>
      </c>
      <c r="F4">
        <f>(1+'Risk-free rate'!B16/100)^(1/12)-1</f>
        <v>1.4057468926966799E-3</v>
      </c>
      <c r="G4">
        <f t="shared" si="0"/>
        <v>-2.7414239461698721E-2</v>
      </c>
      <c r="H4">
        <f t="shared" ref="H4:H14" si="1">E4-$F4</f>
        <v>-1.9999127505028785E-2</v>
      </c>
      <c r="I4" s="2"/>
      <c r="J4" s="2"/>
    </row>
    <row r="5" spans="1:10" x14ac:dyDescent="0.2">
      <c r="A5" t="str">
        <f>'MSCI EM_Monthly'!A17</f>
        <v>2018-04-30</v>
      </c>
      <c r="B5">
        <f>EMF_Fund_Monthly!B17</f>
        <v>17.91</v>
      </c>
      <c r="C5">
        <f>'MSCI EM_Monthly'!B17</f>
        <v>526.50486100000001</v>
      </c>
      <c r="D5">
        <f>(EMF_Fund_Monthly!B17-EMF_Fund_Monthly!B16)/EMF_Fund_Monthly!B16</f>
        <v>-2.3978201634877454E-2</v>
      </c>
      <c r="E5">
        <f>('MSCI EM_Monthly'!B17-'MSCI EM_Monthly'!B16)/'MSCI EM_Monthly'!B16</f>
        <v>-4.4242843956698629E-3</v>
      </c>
      <c r="F5">
        <f>(1+'Risk-free rate'!B17/100)^(1/12)-1</f>
        <v>1.4549669057570824E-3</v>
      </c>
      <c r="G5">
        <f t="shared" si="0"/>
        <v>-2.5433168540634536E-2</v>
      </c>
      <c r="H5">
        <f t="shared" si="1"/>
        <v>-5.8792513014269453E-3</v>
      </c>
      <c r="I5" s="2"/>
      <c r="J5" s="2"/>
    </row>
    <row r="6" spans="1:10" x14ac:dyDescent="0.2">
      <c r="A6" t="str">
        <f>'MSCI EM_Monthly'!A18</f>
        <v>2018-05-31</v>
      </c>
      <c r="B6">
        <f>EMF_Fund_Monthly!B18</f>
        <v>17.41</v>
      </c>
      <c r="C6">
        <f>'MSCI EM_Monthly'!B18</f>
        <v>507.84866599999998</v>
      </c>
      <c r="D6">
        <f>(EMF_Fund_Monthly!B18-EMF_Fund_Monthly!B17)/EMF_Fund_Monthly!B17</f>
        <v>-2.7917364600781685E-2</v>
      </c>
      <c r="E6">
        <f>('MSCI EM_Monthly'!B18-'MSCI EM_Monthly'!B17)/'MSCI EM_Monthly'!B17</f>
        <v>-3.5434041320275722E-2</v>
      </c>
      <c r="F6">
        <f>(1+'Risk-free rate'!B18/100)^(1/12)-1</f>
        <v>1.5369411743291206E-3</v>
      </c>
      <c r="G6">
        <f t="shared" si="0"/>
        <v>-2.9454305775110805E-2</v>
      </c>
      <c r="H6">
        <f t="shared" si="1"/>
        <v>-3.6970982494604843E-2</v>
      </c>
      <c r="I6" s="2"/>
      <c r="J6" s="2"/>
    </row>
    <row r="7" spans="1:10" x14ac:dyDescent="0.2">
      <c r="A7" t="str">
        <f>'MSCI EM_Monthly'!A19</f>
        <v>2018-06-29</v>
      </c>
      <c r="B7">
        <f>EMF_Fund_Monthly!B19</f>
        <v>16.899999999999999</v>
      </c>
      <c r="C7">
        <f>'MSCI EM_Monthly'!B19</f>
        <v>486.74909000000002</v>
      </c>
      <c r="D7">
        <f>(EMF_Fund_Monthly!B19-EMF_Fund_Monthly!B18)/EMF_Fund_Monthly!B18</f>
        <v>-2.929350947731198E-2</v>
      </c>
      <c r="E7">
        <f>('MSCI EM_Monthly'!B19-'MSCI EM_Monthly'!B18)/'MSCI EM_Monthly'!B18</f>
        <v>-4.1546975334577248E-2</v>
      </c>
      <c r="F7">
        <f>(1+'Risk-free rate'!B19/100)^(1/12)-1</f>
        <v>1.5697102274137009E-3</v>
      </c>
      <c r="G7">
        <f t="shared" si="0"/>
        <v>-3.0863219704725681E-2</v>
      </c>
      <c r="H7">
        <f t="shared" si="1"/>
        <v>-4.3116685561990949E-2</v>
      </c>
      <c r="I7" s="2"/>
      <c r="J7" s="2"/>
    </row>
    <row r="8" spans="1:10" x14ac:dyDescent="0.2">
      <c r="A8" t="str">
        <f>'MSCI EM_Monthly'!A20</f>
        <v>2018-07-31</v>
      </c>
      <c r="B8">
        <f>EMF_Fund_Monthly!B20</f>
        <v>17.149999999999999</v>
      </c>
      <c r="C8">
        <f>'MSCI EM_Monthly'!B20</f>
        <v>497.44163500000002</v>
      </c>
      <c r="D8">
        <f>(EMF_Fund_Monthly!B20-EMF_Fund_Monthly!B19)/EMF_Fund_Monthly!B19</f>
        <v>1.4792899408284025E-2</v>
      </c>
      <c r="E8">
        <f>('MSCI EM_Monthly'!B20-'MSCI EM_Monthly'!B19)/'MSCI EM_Monthly'!B19</f>
        <v>2.1967262434943628E-2</v>
      </c>
      <c r="F8">
        <f>(1+'Risk-free rate'!B20/100)^(1/12)-1</f>
        <v>1.6188417051281601E-3</v>
      </c>
      <c r="G8">
        <f t="shared" si="0"/>
        <v>1.3174057703155865E-2</v>
      </c>
      <c r="H8">
        <f t="shared" si="1"/>
        <v>2.0348420729815467E-2</v>
      </c>
      <c r="I8" s="2"/>
      <c r="J8" s="2"/>
    </row>
    <row r="9" spans="1:10" x14ac:dyDescent="0.2">
      <c r="A9" t="str">
        <f>'MSCI EM_Monthly'!A21</f>
        <v>2018-08-31</v>
      </c>
      <c r="B9">
        <f>EMF_Fund_Monthly!B21</f>
        <v>16.899999999999999</v>
      </c>
      <c r="C9">
        <f>'MSCI EM_Monthly'!B21</f>
        <v>483.99122899999998</v>
      </c>
      <c r="D9">
        <f>(EMF_Fund_Monthly!B21-EMF_Fund_Monthly!B20)/EMF_Fund_Monthly!B20</f>
        <v>-1.457725947521866E-2</v>
      </c>
      <c r="E9">
        <f>('MSCI EM_Monthly'!B21-'MSCI EM_Monthly'!B20)/'MSCI EM_Monthly'!B20</f>
        <v>-2.7039164102136411E-2</v>
      </c>
      <c r="F9">
        <f>(1+'Risk-free rate'!B21/100)^(1/12)-1</f>
        <v>1.6761282769228725E-3</v>
      </c>
      <c r="G9">
        <f t="shared" si="0"/>
        <v>-1.6253387752141531E-2</v>
      </c>
      <c r="H9">
        <f t="shared" si="1"/>
        <v>-2.8715292379059284E-2</v>
      </c>
      <c r="I9" s="2"/>
      <c r="J9" s="2"/>
    </row>
    <row r="10" spans="1:10" x14ac:dyDescent="0.2">
      <c r="A10" t="str">
        <f>'MSCI EM_Monthly'!A22</f>
        <v>2018-09-28</v>
      </c>
      <c r="B10">
        <f>EMF_Fund_Monthly!B22</f>
        <v>16.96</v>
      </c>
      <c r="C10">
        <f>'MSCI EM_Monthly'!B22</f>
        <v>481.42252400000001</v>
      </c>
      <c r="D10">
        <f>(EMF_Fund_Monthly!B22-EMF_Fund_Monthly!B21)/EMF_Fund_Monthly!B21</f>
        <v>3.5502958579883004E-3</v>
      </c>
      <c r="E10">
        <f>('MSCI EM_Monthly'!B22-'MSCI EM_Monthly'!B21)/'MSCI EM_Monthly'!B21</f>
        <v>-5.3073379145884602E-3</v>
      </c>
      <c r="F10">
        <f>(1+'Risk-free rate'!B22/100)^(1/12)-1</f>
        <v>1.7579037712718293E-3</v>
      </c>
      <c r="G10">
        <f t="shared" si="0"/>
        <v>1.7923920867164711E-3</v>
      </c>
      <c r="H10">
        <f t="shared" si="1"/>
        <v>-7.0652416858602895E-3</v>
      </c>
      <c r="I10" s="2"/>
      <c r="J10" s="2"/>
    </row>
    <row r="11" spans="1:10" x14ac:dyDescent="0.2">
      <c r="A11" t="str">
        <f>'MSCI EM_Monthly'!A23</f>
        <v>2018-10-31</v>
      </c>
      <c r="B11">
        <f>EMF_Fund_Monthly!B23</f>
        <v>15.49</v>
      </c>
      <c r="C11">
        <f>'MSCI EM_Monthly'!B23</f>
        <v>439.49900500000001</v>
      </c>
      <c r="D11">
        <f>(EMF_Fund_Monthly!B23-EMF_Fund_Monthly!B22)/EMF_Fund_Monthly!B22</f>
        <v>-8.6674528301886822E-2</v>
      </c>
      <c r="E11">
        <f>('MSCI EM_Monthly'!B23-'MSCI EM_Monthly'!B22)/'MSCI EM_Monthly'!B22</f>
        <v>-8.7082587353141783E-2</v>
      </c>
      <c r="F11">
        <f>(1+'Risk-free rate'!B23/100)^(1/12)-1</f>
        <v>1.855937535336194E-3</v>
      </c>
      <c r="G11">
        <f t="shared" si="0"/>
        <v>-8.8530465837223016E-2</v>
      </c>
      <c r="H11">
        <f t="shared" si="1"/>
        <v>-8.8938524888477977E-2</v>
      </c>
      <c r="I11" s="2"/>
      <c r="J11" s="2"/>
    </row>
    <row r="12" spans="1:10" x14ac:dyDescent="0.2">
      <c r="A12" t="str">
        <f>'MSCI EM_Monthly'!A24</f>
        <v>2018-11-30</v>
      </c>
      <c r="B12">
        <f>EMF_Fund_Monthly!B24</f>
        <v>16.059999999999999</v>
      </c>
      <c r="C12">
        <f>'MSCI EM_Monthly'!B24</f>
        <v>457.61063899999999</v>
      </c>
      <c r="D12">
        <f>(EMF_Fund_Monthly!B24-EMF_Fund_Monthly!B23)/EMF_Fund_Monthly!B23</f>
        <v>3.6797934151065109E-2</v>
      </c>
      <c r="E12">
        <f>('MSCI EM_Monthly'!B24-'MSCI EM_Monthly'!B23)/'MSCI EM_Monthly'!B23</f>
        <v>4.1209726970826657E-2</v>
      </c>
      <c r="F12">
        <f>(1+'Risk-free rate'!B24/100)^(1/12)-1</f>
        <v>1.921234803683225E-3</v>
      </c>
      <c r="G12">
        <f t="shared" si="0"/>
        <v>3.4876699347381884E-2</v>
      </c>
      <c r="H12">
        <f t="shared" si="1"/>
        <v>3.9288492167143432E-2</v>
      </c>
      <c r="I12" s="2"/>
      <c r="J12" s="2"/>
    </row>
    <row r="13" spans="1:10" x14ac:dyDescent="0.2">
      <c r="A13" t="str">
        <f>'MSCI EM_Monthly'!A25</f>
        <v>2018-12-31</v>
      </c>
      <c r="B13">
        <f>EMF_Fund_Monthly!B25</f>
        <v>14.82</v>
      </c>
      <c r="C13">
        <f>'MSCI EM_Monthly'!B25</f>
        <v>445.48794900000001</v>
      </c>
      <c r="D13">
        <f>(EMF_Fund_Monthly!B25-EMF_Fund_Monthly!B24)/EMF_Fund_Monthly!B24</f>
        <v>-7.7210460772104514E-2</v>
      </c>
      <c r="E13">
        <f>('MSCI EM_Monthly'!B25-'MSCI EM_Monthly'!B24)/'MSCI EM_Monthly'!B24</f>
        <v>-2.6491276571915492E-2</v>
      </c>
      <c r="F13">
        <f>(1+'Risk-free rate'!B25/100)^(1/12)-1</f>
        <v>1.9538658918776264E-3</v>
      </c>
      <c r="G13">
        <f t="shared" si="0"/>
        <v>-7.916432666398214E-2</v>
      </c>
      <c r="H13">
        <f t="shared" si="1"/>
        <v>-2.8445142463793118E-2</v>
      </c>
      <c r="I13" s="2"/>
      <c r="J13" s="2"/>
    </row>
    <row r="14" spans="1:10" x14ac:dyDescent="0.2">
      <c r="A14" t="str">
        <f>'MSCI EM_Monthly'!A26</f>
        <v>2019-01-31</v>
      </c>
      <c r="B14">
        <f>EMF_Fund_Monthly!B26</f>
        <v>16.46</v>
      </c>
      <c r="C14">
        <f>'MSCI EM_Monthly'!B26</f>
        <v>484.49378200000001</v>
      </c>
      <c r="D14">
        <f>(EMF_Fund_Monthly!B26-EMF_Fund_Monthly!B25)/EMF_Fund_Monthly!B25</f>
        <v>0.11066126855600543</v>
      </c>
      <c r="E14">
        <f>('MSCI EM_Monthly'!B26-'MSCI EM_Monthly'!B25)/'MSCI EM_Monthly'!B25</f>
        <v>8.7557549171773427E-2</v>
      </c>
      <c r="F14">
        <f>(1+'Risk-free rate'!B26/100)^(1/12)-1</f>
        <v>1.9538658918776264E-3</v>
      </c>
      <c r="G14">
        <f t="shared" si="0"/>
        <v>0.1087074026641278</v>
      </c>
      <c r="H14">
        <f t="shared" si="1"/>
        <v>8.5603683279895801E-2</v>
      </c>
      <c r="I14">
        <f>((1+INDEX(LINEST(G3:G14,H3:H14,TRUE,TRUE),1,2))^12)-1</f>
        <v>-9.0417446469451823E-3</v>
      </c>
      <c r="J14">
        <f>INDEX(LINEST(G3:G14, H3:H14, TRUE, TRUE), 1, 1)</f>
        <v>1.0723485666777934</v>
      </c>
    </row>
    <row r="15" spans="1:10" x14ac:dyDescent="0.2">
      <c r="A15" t="str">
        <f>'MSCI EM_Monthly'!A27</f>
        <v>2019-02-28</v>
      </c>
      <c r="B15">
        <f>EMF_Fund_Monthly!B27</f>
        <v>16.399999999999999</v>
      </c>
      <c r="C15">
        <f>'MSCI EM_Monthly'!B27</f>
        <v>485.58305899999999</v>
      </c>
      <c r="D15">
        <f>(EMF_Fund_Monthly!B27-EMF_Fund_Monthly!B26)/EMF_Fund_Monthly!B26</f>
        <v>-3.6452004860268693E-3</v>
      </c>
      <c r="E15">
        <f>('MSCI EM_Monthly'!B27-'MSCI EM_Monthly'!B26)/'MSCI EM_Monthly'!B26</f>
        <v>2.2482785960707776E-3</v>
      </c>
      <c r="F15">
        <f>(1+'Risk-free rate'!B27/100)^(1/12)-1</f>
        <v>1.970177053312705E-3</v>
      </c>
      <c r="G15">
        <f t="shared" ref="G15:G55" si="2">D15-$F15</f>
        <v>-5.6153775393395743E-3</v>
      </c>
      <c r="H15">
        <f t="shared" ref="H15:H55" si="3">E15-$F15</f>
        <v>2.7810154275807264E-4</v>
      </c>
      <c r="I15">
        <f t="shared" ref="I15:I25" si="4">((1+INDEX(LINEST(G4:G15,H4:H15,TRUE,TRUE),1,2))^12)-1</f>
        <v>-2.0782967945376707E-2</v>
      </c>
      <c r="J15">
        <f t="shared" ref="J15:J25" si="5">INDEX(LINEST(G4:G15, H4:H15, TRUE, TRUE), 1, 1)</f>
        <v>1.0843469090387301</v>
      </c>
    </row>
    <row r="16" spans="1:10" x14ac:dyDescent="0.2">
      <c r="A16" t="str">
        <f>'MSCI EM_Monthly'!A28</f>
        <v>2019-03-29</v>
      </c>
      <c r="B16">
        <f>EMF_Fund_Monthly!B28</f>
        <v>16.68</v>
      </c>
      <c r="C16">
        <f>'MSCI EM_Monthly'!B28</f>
        <v>489.65846399999998</v>
      </c>
      <c r="D16">
        <f>(EMF_Fund_Monthly!B28-EMF_Fund_Monthly!B27)/EMF_Fund_Monthly!B27</f>
        <v>1.7073170731707388E-2</v>
      </c>
      <c r="E16">
        <f>('MSCI EM_Monthly'!B28-'MSCI EM_Monthly'!B27)/'MSCI EM_Monthly'!B27</f>
        <v>8.3928072128232733E-3</v>
      </c>
      <c r="F16">
        <f>(1+'Risk-free rate'!B28/100)^(1/12)-1</f>
        <v>1.9783315388433032E-3</v>
      </c>
      <c r="G16">
        <f t="shared" si="2"/>
        <v>1.5094839192864085E-2</v>
      </c>
      <c r="H16">
        <f t="shared" si="3"/>
        <v>6.4144756739799701E-3</v>
      </c>
      <c r="I16">
        <f t="shared" si="4"/>
        <v>-6.7526629572286501E-3</v>
      </c>
      <c r="J16">
        <f t="shared" si="5"/>
        <v>1.0882734147801598</v>
      </c>
    </row>
    <row r="17" spans="1:10" x14ac:dyDescent="0.2">
      <c r="A17" t="str">
        <f>'MSCI EM_Monthly'!A29</f>
        <v>2019-04-30</v>
      </c>
      <c r="B17">
        <f>EMF_Fund_Monthly!B29</f>
        <v>17.16</v>
      </c>
      <c r="C17">
        <f>'MSCI EM_Monthly'!B29</f>
        <v>499.96667600000001</v>
      </c>
      <c r="D17">
        <f>(EMF_Fund_Monthly!B29-EMF_Fund_Monthly!B28)/EMF_Fund_Monthly!B28</f>
        <v>2.8776978417266213E-2</v>
      </c>
      <c r="E17">
        <f>('MSCI EM_Monthly'!B29-'MSCI EM_Monthly'!B28)/'MSCI EM_Monthly'!B28</f>
        <v>2.1051840737710655E-2</v>
      </c>
      <c r="F17">
        <f>(1+'Risk-free rate'!B29/100)^(1/12)-1</f>
        <v>1.9620218377029985E-3</v>
      </c>
      <c r="G17">
        <f t="shared" si="2"/>
        <v>2.6814956579563214E-2</v>
      </c>
      <c r="H17">
        <f t="shared" si="3"/>
        <v>1.9089818900007657E-2</v>
      </c>
      <c r="I17">
        <f t="shared" si="4"/>
        <v>1.8876395871205709E-2</v>
      </c>
      <c r="J17">
        <f t="shared" si="5"/>
        <v>1.0949219223601261</v>
      </c>
    </row>
    <row r="18" spans="1:10" x14ac:dyDescent="0.2">
      <c r="A18" t="str">
        <f>'MSCI EM_Monthly'!A30</f>
        <v>2019-05-31</v>
      </c>
      <c r="B18">
        <f>EMF_Fund_Monthly!B30</f>
        <v>15.93</v>
      </c>
      <c r="C18">
        <f>'MSCI EM_Monthly'!B30</f>
        <v>463.68839600000001</v>
      </c>
      <c r="D18">
        <f>(EMF_Fund_Monthly!B30-EMF_Fund_Monthly!B29)/EMF_Fund_Monthly!B29</f>
        <v>-7.1678321678321708E-2</v>
      </c>
      <c r="E18">
        <f>('MSCI EM_Monthly'!B30-'MSCI EM_Monthly'!B29)/'MSCI EM_Monthly'!B29</f>
        <v>-7.2561396071925396E-2</v>
      </c>
      <c r="F18">
        <f>(1+'Risk-free rate'!B30/100)^(1/12)-1</f>
        <v>1.937551809032545E-3</v>
      </c>
      <c r="G18">
        <f t="shared" si="2"/>
        <v>-7.3615873487354253E-2</v>
      </c>
      <c r="H18">
        <f t="shared" si="3"/>
        <v>-7.4498947880957941E-2</v>
      </c>
      <c r="I18">
        <f t="shared" si="4"/>
        <v>1.5161858439817433E-2</v>
      </c>
      <c r="J18">
        <f t="shared" si="5"/>
        <v>1.089046184337622</v>
      </c>
    </row>
    <row r="19" spans="1:10" x14ac:dyDescent="0.2">
      <c r="A19" t="str">
        <f>'MSCI EM_Monthly'!A31</f>
        <v>2019-06-28</v>
      </c>
      <c r="B19">
        <f>EMF_Fund_Monthly!B31</f>
        <v>16.940000000000001</v>
      </c>
      <c r="C19">
        <f>'MSCI EM_Monthly'!B31</f>
        <v>492.62772000000001</v>
      </c>
      <c r="D19">
        <f>(EMF_Fund_Monthly!B31-EMF_Fund_Monthly!B30)/EMF_Fund_Monthly!B30</f>
        <v>6.3402385436283834E-2</v>
      </c>
      <c r="E19">
        <f>('MSCI EM_Monthly'!B31-'MSCI EM_Monthly'!B30)/'MSCI EM_Monthly'!B30</f>
        <v>6.2411145609087011E-2</v>
      </c>
      <c r="F19">
        <f>(1+'Risk-free rate'!B31/100)^(1/12)-1</f>
        <v>1.7905934192179451E-3</v>
      </c>
      <c r="G19">
        <f t="shared" si="2"/>
        <v>6.1611792017065889E-2</v>
      </c>
      <c r="H19">
        <f t="shared" si="3"/>
        <v>6.0620552189869066E-2</v>
      </c>
      <c r="I19">
        <f t="shared" si="4"/>
        <v>-5.4707156980356997E-3</v>
      </c>
      <c r="J19">
        <f t="shared" si="5"/>
        <v>1.0996871607959886</v>
      </c>
    </row>
    <row r="20" spans="1:10" x14ac:dyDescent="0.2">
      <c r="A20" t="str">
        <f>'MSCI EM_Monthly'!A32</f>
        <v>2019-07-31</v>
      </c>
      <c r="B20">
        <f>EMF_Fund_Monthly!B32</f>
        <v>16.850000000000001</v>
      </c>
      <c r="C20">
        <f>'MSCI EM_Monthly'!B32</f>
        <v>486.60388499999999</v>
      </c>
      <c r="D20">
        <f>(EMF_Fund_Monthly!B32-EMF_Fund_Monthly!B31)/EMF_Fund_Monthly!B31</f>
        <v>-5.3128689492325772E-3</v>
      </c>
      <c r="E20">
        <f>('MSCI EM_Monthly'!B32-'MSCI EM_Monthly'!B31)/'MSCI EM_Monthly'!B31</f>
        <v>-1.2227965978041226E-2</v>
      </c>
      <c r="F20">
        <f>(1+'Risk-free rate'!B32/100)^(1/12)-1</f>
        <v>1.73337883251512E-3</v>
      </c>
      <c r="G20">
        <f t="shared" si="2"/>
        <v>-7.0462477817476972E-3</v>
      </c>
      <c r="H20">
        <f t="shared" si="3"/>
        <v>-1.3961344810556347E-2</v>
      </c>
      <c r="I20">
        <f t="shared" si="4"/>
        <v>1.2200265273555333E-2</v>
      </c>
      <c r="J20">
        <f t="shared" si="5"/>
        <v>1.1032266027560709</v>
      </c>
    </row>
    <row r="21" spans="1:10" x14ac:dyDescent="0.2">
      <c r="A21" t="str">
        <f>'MSCI EM_Monthly'!A33</f>
        <v>2019-08-30</v>
      </c>
      <c r="B21">
        <f>EMF_Fund_Monthly!B33</f>
        <v>16.100000000000001</v>
      </c>
      <c r="C21">
        <f>'MSCI EM_Monthly'!B33</f>
        <v>462.87866200000002</v>
      </c>
      <c r="D21">
        <f>(EMF_Fund_Monthly!B33-EMF_Fund_Monthly!B32)/EMF_Fund_Monthly!B32</f>
        <v>-4.4510385756676554E-2</v>
      </c>
      <c r="E21">
        <f>('MSCI EM_Monthly'!B33-'MSCI EM_Monthly'!B32)/'MSCI EM_Monthly'!B32</f>
        <v>-4.8756748006646047E-2</v>
      </c>
      <c r="F21">
        <f>(1+'Risk-free rate'!B33/100)^(1/12)-1</f>
        <v>1.6106549662961989E-3</v>
      </c>
      <c r="G21">
        <f t="shared" si="2"/>
        <v>-4.6121040722972753E-2</v>
      </c>
      <c r="H21">
        <f t="shared" si="3"/>
        <v>-5.0367402972942246E-2</v>
      </c>
      <c r="I21">
        <f t="shared" si="4"/>
        <v>6.1048758683164284E-3</v>
      </c>
      <c r="J21">
        <f t="shared" si="5"/>
        <v>1.1019907366793709</v>
      </c>
    </row>
    <row r="22" spans="1:10" x14ac:dyDescent="0.2">
      <c r="A22" t="str">
        <f>'MSCI EM_Monthly'!A34</f>
        <v>2019-09-30</v>
      </c>
      <c r="B22">
        <f>EMF_Fund_Monthly!B34</f>
        <v>16.53</v>
      </c>
      <c r="C22">
        <f>'MSCI EM_Monthly'!B34</f>
        <v>471.71491600000002</v>
      </c>
      <c r="D22">
        <f>(EMF_Fund_Monthly!B34-EMF_Fund_Monthly!B33)/EMF_Fund_Monthly!B33</f>
        <v>2.670807453416147E-2</v>
      </c>
      <c r="E22">
        <f>('MSCI EM_Monthly'!B34-'MSCI EM_Monthly'!B33)/'MSCI EM_Monthly'!B33</f>
        <v>1.9089784700423273E-2</v>
      </c>
      <c r="F22">
        <f>(1+'Risk-free rate'!B34/100)^(1/12)-1</f>
        <v>1.5615190697231274E-3</v>
      </c>
      <c r="G22">
        <f t="shared" si="2"/>
        <v>2.5146555464438343E-2</v>
      </c>
      <c r="H22">
        <f t="shared" si="3"/>
        <v>1.7528265630700146E-2</v>
      </c>
      <c r="I22">
        <f t="shared" si="4"/>
        <v>2.4780087397133777E-3</v>
      </c>
      <c r="J22">
        <f t="shared" si="5"/>
        <v>1.1069196265897414</v>
      </c>
    </row>
    <row r="23" spans="1:10" x14ac:dyDescent="0.2">
      <c r="A23" t="str">
        <f>'MSCI EM_Monthly'!A35</f>
        <v>2019-10-31</v>
      </c>
      <c r="B23">
        <f>EMF_Fund_Monthly!B35</f>
        <v>17.16</v>
      </c>
      <c r="C23">
        <f>'MSCI EM_Monthly'!B35</f>
        <v>491.60564299999999</v>
      </c>
      <c r="D23">
        <f>(EMF_Fund_Monthly!B35-EMF_Fund_Monthly!B34)/EMF_Fund_Monthly!B34</f>
        <v>3.8112522686025344E-2</v>
      </c>
      <c r="E23">
        <f>('MSCI EM_Monthly'!B35-'MSCI EM_Monthly'!B34)/'MSCI EM_Monthly'!B34</f>
        <v>4.2166839176228148E-2</v>
      </c>
      <c r="F23">
        <f>(1+'Risk-free rate'!B35/100)^(1/12)-1</f>
        <v>1.364709877352599E-3</v>
      </c>
      <c r="G23">
        <f t="shared" si="2"/>
        <v>3.6747812808672745E-2</v>
      </c>
      <c r="H23">
        <f t="shared" si="3"/>
        <v>4.0802129298875549E-2</v>
      </c>
      <c r="I23">
        <f t="shared" si="4"/>
        <v>-1.8653019045684172E-2</v>
      </c>
      <c r="J23">
        <f t="shared" si="5"/>
        <v>1.1357944631149981</v>
      </c>
    </row>
    <row r="24" spans="1:10" x14ac:dyDescent="0.2">
      <c r="A24" t="str">
        <f>'MSCI EM_Monthly'!A36</f>
        <v>2019-11-29</v>
      </c>
      <c r="B24">
        <f>EMF_Fund_Monthly!B36</f>
        <v>17.350000000000001</v>
      </c>
      <c r="C24">
        <f>'MSCI EM_Monthly'!B36</f>
        <v>490.929216</v>
      </c>
      <c r="D24">
        <f>(EMF_Fund_Monthly!B36-EMF_Fund_Monthly!B35)/EMF_Fund_Monthly!B35</f>
        <v>1.1072261072261147E-2</v>
      </c>
      <c r="E24">
        <f>('MSCI EM_Monthly'!B36-'MSCI EM_Monthly'!B35)/'MSCI EM_Monthly'!B35</f>
        <v>-1.3759545066898055E-3</v>
      </c>
      <c r="F24">
        <f>(1+'Risk-free rate'!B36/100)^(1/12)-1</f>
        <v>1.2743632726075482E-3</v>
      </c>
      <c r="G24">
        <f t="shared" si="2"/>
        <v>9.7978977996535984E-3</v>
      </c>
      <c r="H24">
        <f t="shared" si="3"/>
        <v>-2.6503177792973538E-3</v>
      </c>
      <c r="I24">
        <f t="shared" si="4"/>
        <v>3.2832639973590094E-3</v>
      </c>
      <c r="J24">
        <f t="shared" si="5"/>
        <v>1.1434469609477318</v>
      </c>
    </row>
    <row r="25" spans="1:10" x14ac:dyDescent="0.2">
      <c r="A25" t="str">
        <f>'MSCI EM_Monthly'!A37</f>
        <v>2019-12-31</v>
      </c>
      <c r="B25">
        <f>EMF_Fund_Monthly!B37</f>
        <v>17.54</v>
      </c>
      <c r="C25">
        <f>'MSCI EM_Monthly'!B37</f>
        <v>527.55514600000004</v>
      </c>
      <c r="D25">
        <f>(EMF_Fund_Monthly!B37-EMF_Fund_Monthly!B36)/EMF_Fund_Monthly!B36</f>
        <v>1.0951008645533009E-2</v>
      </c>
      <c r="E25">
        <f>('MSCI EM_Monthly'!B37-'MSCI EM_Monthly'!B36)/'MSCI EM_Monthly'!B36</f>
        <v>7.4605317439490171E-2</v>
      </c>
      <c r="F25">
        <f>(1+'Risk-free rate'!B37/100)^(1/12)-1</f>
        <v>1.2743632726075482E-3</v>
      </c>
      <c r="G25">
        <f t="shared" si="2"/>
        <v>9.6766453729254607E-3</v>
      </c>
      <c r="H25">
        <f t="shared" si="3"/>
        <v>7.3330954166882623E-2</v>
      </c>
      <c r="I25">
        <f t="shared" si="4"/>
        <v>1.7790797468075326E-2</v>
      </c>
      <c r="J25">
        <f t="shared" si="5"/>
        <v>0.88508560524529023</v>
      </c>
    </row>
    <row r="26" spans="1:10" x14ac:dyDescent="0.2">
      <c r="A26" t="str">
        <f>'MSCI EM_Monthly'!A38</f>
        <v>2020-01-31</v>
      </c>
      <c r="B26">
        <f>EMF_Fund_Monthly!B38</f>
        <v>16.690000000000001</v>
      </c>
      <c r="C26">
        <f>'MSCI EM_Monthly'!B38</f>
        <v>502.96333900000002</v>
      </c>
      <c r="D26">
        <f>(EMF_Fund_Monthly!B38-EMF_Fund_Monthly!B37)/EMF_Fund_Monthly!B37</f>
        <v>-4.8460661345495891E-2</v>
      </c>
      <c r="E26">
        <f>('MSCI EM_Monthly'!B38-'MSCI EM_Monthly'!B37)/'MSCI EM_Monthly'!B37</f>
        <v>-4.6614666137670499E-2</v>
      </c>
      <c r="F26">
        <f>(1+'Risk-free rate'!B38/100)^(1/12)-1</f>
        <v>1.2579269787644787E-3</v>
      </c>
      <c r="G26">
        <f t="shared" si="2"/>
        <v>-4.971858832426037E-2</v>
      </c>
      <c r="H26">
        <f t="shared" si="3"/>
        <v>-4.7872593116434978E-2</v>
      </c>
      <c r="I26">
        <f>((1+INDEX(LINEST(G15:G26,H15:H26,TRUE,TRUE),1,2))^12)-1</f>
        <v>-1.9615302381061461E-2</v>
      </c>
      <c r="J26">
        <f>INDEX(LINEST(G15:G26, H15:H26, TRUE, TRUE), 1, 1)</f>
        <v>0.78594090735038091</v>
      </c>
    </row>
    <row r="27" spans="1:10" x14ac:dyDescent="0.2">
      <c r="A27" t="str">
        <f>'MSCI EM_Monthly'!A39</f>
        <v>2020-02-28</v>
      </c>
      <c r="B27">
        <f>EMF_Fund_Monthly!B39</f>
        <v>15.93</v>
      </c>
      <c r="C27">
        <f>'MSCI EM_Monthly'!B39</f>
        <v>476.44049799999999</v>
      </c>
      <c r="D27">
        <f>(EMF_Fund_Monthly!B39-EMF_Fund_Monthly!B38)/EMF_Fund_Monthly!B38</f>
        <v>-4.553624925104862E-2</v>
      </c>
      <c r="E27">
        <f>('MSCI EM_Monthly'!B39-'MSCI EM_Monthly'!B38)/'MSCI EM_Monthly'!B38</f>
        <v>-5.2733149602380916E-2</v>
      </c>
      <c r="F27">
        <f>(1+'Risk-free rate'!B39/100)^(1/12)-1</f>
        <v>1.2579269787644787E-3</v>
      </c>
      <c r="G27">
        <f t="shared" si="2"/>
        <v>-4.6794176229813099E-2</v>
      </c>
      <c r="H27">
        <f t="shared" si="3"/>
        <v>-5.3991076581145395E-2</v>
      </c>
      <c r="I27">
        <f t="shared" ref="I27:I85" si="6">((1+INDEX(LINEST(G16:G27,H16:H27,TRUE,TRUE),1,2))^12)-1</f>
        <v>-1.801503057267162E-2</v>
      </c>
      <c r="J27">
        <f t="shared" ref="J27:J85" si="7">INDEX(LINEST(G16:G27, H16:H27, TRUE, TRUE), 1, 1)</f>
        <v>0.79199874237506274</v>
      </c>
    </row>
    <row r="28" spans="1:10" x14ac:dyDescent="0.2">
      <c r="A28" t="str">
        <f>'MSCI EM_Monthly'!A40</f>
        <v>2020-03-31</v>
      </c>
      <c r="B28">
        <f>EMF_Fund_Monthly!B40</f>
        <v>13.01</v>
      </c>
      <c r="C28">
        <f>'MSCI EM_Monthly'!B40</f>
        <v>403.057794</v>
      </c>
      <c r="D28">
        <f>(EMF_Fund_Monthly!B40-EMF_Fund_Monthly!B39)/EMF_Fund_Monthly!B39</f>
        <v>-0.18330194601381042</v>
      </c>
      <c r="E28">
        <f>('MSCI EM_Monthly'!B40-'MSCI EM_Monthly'!B39)/'MSCI EM_Monthly'!B39</f>
        <v>-0.15402280937083562</v>
      </c>
      <c r="F28">
        <f>(1+'Risk-free rate'!B40/100)^(1/12)-1</f>
        <v>2.4134604527370485E-4</v>
      </c>
      <c r="G28">
        <f t="shared" si="2"/>
        <v>-0.18354329205908412</v>
      </c>
      <c r="H28">
        <f t="shared" si="3"/>
        <v>-0.15426415541610933</v>
      </c>
      <c r="I28">
        <f t="shared" si="6"/>
        <v>-5.5345941441582891E-2</v>
      </c>
      <c r="J28">
        <f t="shared" si="7"/>
        <v>0.96782440387139723</v>
      </c>
    </row>
    <row r="29" spans="1:10" x14ac:dyDescent="0.2">
      <c r="A29" t="str">
        <f>'MSCI EM_Monthly'!A41</f>
        <v>2020-04-30</v>
      </c>
      <c r="B29">
        <f>EMF_Fund_Monthly!B41</f>
        <v>14.17</v>
      </c>
      <c r="C29">
        <f>'MSCI EM_Monthly'!B41</f>
        <v>439.96734199999997</v>
      </c>
      <c r="D29">
        <f>(EMF_Fund_Monthly!B41-EMF_Fund_Monthly!B40)/EMF_Fund_Monthly!B40</f>
        <v>8.9162182936202927E-2</v>
      </c>
      <c r="E29">
        <f>('MSCI EM_Monthly'!B41-'MSCI EM_Monthly'!B40)/'MSCI EM_Monthly'!B40</f>
        <v>9.1573835190493724E-2</v>
      </c>
      <c r="F29">
        <f>(1+'Risk-free rate'!B41/100)^(1/12)-1</f>
        <v>1.1659187244639213E-4</v>
      </c>
      <c r="G29">
        <f t="shared" si="2"/>
        <v>8.9045591063756535E-2</v>
      </c>
      <c r="H29">
        <f t="shared" si="3"/>
        <v>9.1457243318047332E-2</v>
      </c>
      <c r="I29">
        <f t="shared" si="6"/>
        <v>-6.2425971348868292E-2</v>
      </c>
      <c r="J29">
        <f t="shared" si="7"/>
        <v>0.97066294595552505</v>
      </c>
    </row>
    <row r="30" spans="1:10" x14ac:dyDescent="0.2">
      <c r="A30" t="str">
        <f>'MSCI EM_Monthly'!A42</f>
        <v>2020-05-29</v>
      </c>
      <c r="B30">
        <f>EMF_Fund_Monthly!B42</f>
        <v>14.4</v>
      </c>
      <c r="C30">
        <f>'MSCI EM_Monthly'!B42</f>
        <v>443.34662200000002</v>
      </c>
      <c r="D30">
        <f>(EMF_Fund_Monthly!B42-EMF_Fund_Monthly!B41)/EMF_Fund_Monthly!B41</f>
        <v>1.6231474947071306E-2</v>
      </c>
      <c r="E30">
        <f>('MSCI EM_Monthly'!B42-'MSCI EM_Monthly'!B41)/'MSCI EM_Monthly'!B41</f>
        <v>7.6807519045357948E-3</v>
      </c>
      <c r="F30">
        <f>(1+'Risk-free rate'!B42/100)^(1/12)-1</f>
        <v>1.0826883828274347E-4</v>
      </c>
      <c r="G30">
        <f t="shared" si="2"/>
        <v>1.6123206108788563E-2</v>
      </c>
      <c r="H30">
        <f t="shared" si="3"/>
        <v>7.5724830662530513E-3</v>
      </c>
      <c r="I30">
        <f t="shared" si="6"/>
        <v>-5.262648132332659E-2</v>
      </c>
      <c r="J30">
        <f t="shared" si="7"/>
        <v>0.97918988082631964</v>
      </c>
    </row>
    <row r="31" spans="1:10" x14ac:dyDescent="0.2">
      <c r="A31" t="str">
        <f>'MSCI EM_Monthly'!A43</f>
        <v>2020-06-30</v>
      </c>
      <c r="B31">
        <f>EMF_Fund_Monthly!B43</f>
        <v>15.67</v>
      </c>
      <c r="C31">
        <f>'MSCI EM_Monthly'!B43</f>
        <v>475.93660199999999</v>
      </c>
      <c r="D31">
        <f>(EMF_Fund_Monthly!B43-EMF_Fund_Monthly!B42)/EMF_Fund_Monthly!B42</f>
        <v>8.8194444444444409E-2</v>
      </c>
      <c r="E31">
        <f>('MSCI EM_Monthly'!B43-'MSCI EM_Monthly'!B42)/'MSCI EM_Monthly'!B42</f>
        <v>7.3509029690994168E-2</v>
      </c>
      <c r="F31">
        <f>(1+'Risk-free rate'!B43/100)^(1/12)-1</f>
        <v>1.3323565538980731E-4</v>
      </c>
      <c r="G31">
        <f t="shared" si="2"/>
        <v>8.8061208789054601E-2</v>
      </c>
      <c r="H31">
        <f t="shared" si="3"/>
        <v>7.3375794035604361E-2</v>
      </c>
      <c r="I31">
        <f t="shared" si="6"/>
        <v>-3.8862844971640387E-2</v>
      </c>
      <c r="J31">
        <f t="shared" si="7"/>
        <v>1.000611421131741</v>
      </c>
    </row>
    <row r="32" spans="1:10" x14ac:dyDescent="0.2">
      <c r="A32" t="str">
        <f>'MSCI EM_Monthly'!A44</f>
        <v>2020-07-31</v>
      </c>
      <c r="B32">
        <f>EMF_Fund_Monthly!B44</f>
        <v>17.21</v>
      </c>
      <c r="C32">
        <f>'MSCI EM_Monthly'!B44</f>
        <v>518.46717200000001</v>
      </c>
      <c r="D32">
        <f>(EMF_Fund_Monthly!B44-EMF_Fund_Monthly!B43)/EMF_Fund_Monthly!B43</f>
        <v>9.8276962348436567E-2</v>
      </c>
      <c r="E32">
        <f>('MSCI EM_Monthly'!B44-'MSCI EM_Monthly'!B43)/'MSCI EM_Monthly'!B43</f>
        <v>8.9361838995522372E-2</v>
      </c>
      <c r="F32">
        <f>(1+'Risk-free rate'!B44/100)^(1/12)-1</f>
        <v>1.0826883828274347E-4</v>
      </c>
      <c r="G32">
        <f t="shared" si="2"/>
        <v>9.8168693510153823E-2</v>
      </c>
      <c r="H32">
        <f t="shared" si="3"/>
        <v>8.9253570157239628E-2</v>
      </c>
      <c r="I32">
        <f t="shared" si="6"/>
        <v>-3.8635606789963806E-2</v>
      </c>
      <c r="J32">
        <f t="shared" si="7"/>
        <v>1.0208228795042924</v>
      </c>
    </row>
    <row r="33" spans="1:10" x14ac:dyDescent="0.2">
      <c r="A33" t="str">
        <f>'MSCI EM_Monthly'!A45</f>
        <v>2020-08-31</v>
      </c>
      <c r="B33">
        <f>EMF_Fund_Monthly!B45</f>
        <v>17.579999999999998</v>
      </c>
      <c r="C33">
        <f>'MSCI EM_Monthly'!B45</f>
        <v>529.92767200000003</v>
      </c>
      <c r="D33">
        <f>(EMF_Fund_Monthly!B45-EMF_Fund_Monthly!B44)/EMF_Fund_Monthly!B44</f>
        <v>2.1499128413712806E-2</v>
      </c>
      <c r="E33">
        <f>('MSCI EM_Monthly'!B45-'MSCI EM_Monthly'!B44)/'MSCI EM_Monthly'!B44</f>
        <v>2.210458177282635E-2</v>
      </c>
      <c r="F33">
        <f>(1+'Risk-free rate'!B45/100)^(1/12)-1</f>
        <v>8.3295163273211514E-5</v>
      </c>
      <c r="G33">
        <f t="shared" si="2"/>
        <v>2.1415833250439595E-2</v>
      </c>
      <c r="H33">
        <f t="shared" si="3"/>
        <v>2.2021286609553138E-2</v>
      </c>
      <c r="I33">
        <f t="shared" si="6"/>
        <v>-4.6245620635090967E-2</v>
      </c>
      <c r="J33">
        <f t="shared" si="7"/>
        <v>1.0307837709916479</v>
      </c>
    </row>
    <row r="34" spans="1:10" x14ac:dyDescent="0.2">
      <c r="A34" t="str">
        <f>'MSCI EM_Monthly'!A46</f>
        <v>2020-09-30</v>
      </c>
      <c r="B34">
        <f>EMF_Fund_Monthly!B46</f>
        <v>17.43</v>
      </c>
      <c r="C34">
        <f>'MSCI EM_Monthly'!B46</f>
        <v>521.42799600000001</v>
      </c>
      <c r="D34">
        <f>(EMF_Fund_Monthly!B46-EMF_Fund_Monthly!B45)/EMF_Fund_Monthly!B45</f>
        <v>-8.5324232081910468E-3</v>
      </c>
      <c r="E34">
        <f>('MSCI EM_Monthly'!B46-'MSCI EM_Monthly'!B45)/'MSCI EM_Monthly'!B45</f>
        <v>-1.603931338010977E-2</v>
      </c>
      <c r="F34">
        <f>(1+'Risk-free rate'!B46/100)^(1/12)-1</f>
        <v>9.1620483841925449E-5</v>
      </c>
      <c r="G34">
        <f t="shared" si="2"/>
        <v>-8.6240436920329722E-3</v>
      </c>
      <c r="H34">
        <f t="shared" si="3"/>
        <v>-1.6130933863951695E-2</v>
      </c>
      <c r="I34">
        <f t="shared" si="6"/>
        <v>-4.4547251661599785E-2</v>
      </c>
      <c r="J34">
        <f t="shared" si="7"/>
        <v>1.0238881374860398</v>
      </c>
    </row>
    <row r="35" spans="1:10" x14ac:dyDescent="0.2">
      <c r="A35" t="str">
        <f>'MSCI EM_Monthly'!A47</f>
        <v>2020-10-30</v>
      </c>
      <c r="B35">
        <f>EMF_Fund_Monthly!B47</f>
        <v>17.71</v>
      </c>
      <c r="C35">
        <f>'MSCI EM_Monthly'!B47</f>
        <v>532.17096300000003</v>
      </c>
      <c r="D35">
        <f>(EMF_Fund_Monthly!B47-EMF_Fund_Monthly!B46)/EMF_Fund_Monthly!B46</f>
        <v>1.6064257028112514E-2</v>
      </c>
      <c r="E35">
        <f>('MSCI EM_Monthly'!B47-'MSCI EM_Monthly'!B46)/'MSCI EM_Monthly'!B46</f>
        <v>2.0602973147609858E-2</v>
      </c>
      <c r="F35">
        <f>(1+'Risk-free rate'!B47/100)^(1/12)-1</f>
        <v>8.3295163273211514E-5</v>
      </c>
      <c r="G35">
        <f t="shared" si="2"/>
        <v>1.5980961864839303E-2</v>
      </c>
      <c r="H35">
        <f t="shared" si="3"/>
        <v>2.0519677984336647E-2</v>
      </c>
      <c r="I35">
        <f t="shared" si="6"/>
        <v>-4.4590952783605919E-2</v>
      </c>
      <c r="J35">
        <f t="shared" si="7"/>
        <v>1.0243332333892201</v>
      </c>
    </row>
    <row r="36" spans="1:10" x14ac:dyDescent="0.2">
      <c r="A36" t="str">
        <f>'MSCI EM_Monthly'!A48</f>
        <v>2020-11-30</v>
      </c>
      <c r="B36">
        <f>EMF_Fund_Monthly!B48</f>
        <v>19.18</v>
      </c>
      <c r="C36">
        <f>'MSCI EM_Monthly'!B48</f>
        <v>581.39010900000005</v>
      </c>
      <c r="D36">
        <f>(EMF_Fund_Monthly!B48-EMF_Fund_Monthly!B47)/EMF_Fund_Monthly!B47</f>
        <v>8.3003952569169898E-2</v>
      </c>
      <c r="E36">
        <f>('MSCI EM_Monthly'!B48-'MSCI EM_Monthly'!B47)/'MSCI EM_Monthly'!B47</f>
        <v>9.2487470046350537E-2</v>
      </c>
      <c r="F36">
        <f>(1+'Risk-free rate'!B48/100)^(1/12)-1</f>
        <v>7.4969080277487166E-5</v>
      </c>
      <c r="G36">
        <f t="shared" si="2"/>
        <v>8.292898348889241E-2</v>
      </c>
      <c r="H36">
        <f t="shared" si="3"/>
        <v>9.241250096607305E-2</v>
      </c>
      <c r="I36">
        <f t="shared" si="6"/>
        <v>-6.6723315267176231E-2</v>
      </c>
      <c r="J36">
        <f t="shared" si="7"/>
        <v>1.0196855724560827</v>
      </c>
    </row>
    <row r="37" spans="1:10" x14ac:dyDescent="0.2">
      <c r="A37" t="str">
        <f>'MSCI EM_Monthly'!A49</f>
        <v>2020-12-31</v>
      </c>
      <c r="B37">
        <f>EMF_Fund_Monthly!B49</f>
        <v>19.98</v>
      </c>
      <c r="C37">
        <f>'MSCI EM_Monthly'!B49</f>
        <v>624.13011200000005</v>
      </c>
      <c r="D37">
        <f>(EMF_Fund_Monthly!B49-EMF_Fund_Monthly!B48)/EMF_Fund_Monthly!B48</f>
        <v>4.1710114702815472E-2</v>
      </c>
      <c r="E37">
        <f>('MSCI EM_Monthly'!B49-'MSCI EM_Monthly'!B48)/'MSCI EM_Monthly'!B48</f>
        <v>7.3513467701597932E-2</v>
      </c>
      <c r="F37">
        <f>(1+'Risk-free rate'!B49/100)^(1/12)-1</f>
        <v>7.4969080277487166E-5</v>
      </c>
      <c r="G37">
        <f t="shared" si="2"/>
        <v>4.1635145622537985E-2</v>
      </c>
      <c r="H37">
        <f t="shared" si="3"/>
        <v>7.3438498621320444E-2</v>
      </c>
      <c r="I37">
        <f t="shared" si="6"/>
        <v>-4.1889846252502028E-2</v>
      </c>
      <c r="J37">
        <f t="shared" si="7"/>
        <v>1.0485536748022948</v>
      </c>
    </row>
    <row r="38" spans="1:10" x14ac:dyDescent="0.2">
      <c r="A38" t="str">
        <f>'MSCI EM_Monthly'!A50</f>
        <v>2021-01-29</v>
      </c>
      <c r="B38">
        <f>EMF_Fund_Monthly!B50</f>
        <v>21.07</v>
      </c>
      <c r="C38">
        <f>'MSCI EM_Monthly'!B50</f>
        <v>643.26456099999996</v>
      </c>
      <c r="D38">
        <f>(EMF_Fund_Monthly!B50-EMF_Fund_Monthly!B49)/EMF_Fund_Monthly!B49</f>
        <v>5.4554554554554546E-2</v>
      </c>
      <c r="E38">
        <f>('MSCI EM_Monthly'!B50-'MSCI EM_Monthly'!B49)/'MSCI EM_Monthly'!B49</f>
        <v>3.0657788547782651E-2</v>
      </c>
      <c r="F38">
        <f>(1+'Risk-free rate'!B50/100)^(1/12)-1</f>
        <v>6.6642234708869097E-5</v>
      </c>
      <c r="G38">
        <f t="shared" si="2"/>
        <v>5.4487912319845677E-2</v>
      </c>
      <c r="H38">
        <f t="shared" si="3"/>
        <v>3.0591146313073782E-2</v>
      </c>
      <c r="I38">
        <f t="shared" si="6"/>
        <v>-2.2834346300925068E-2</v>
      </c>
      <c r="J38">
        <f t="shared" si="7"/>
        <v>1.0568561659223681</v>
      </c>
    </row>
    <row r="39" spans="1:10" x14ac:dyDescent="0.2">
      <c r="A39" t="str">
        <f>'MSCI EM_Monthly'!A51</f>
        <v>2021-02-26</v>
      </c>
      <c r="B39">
        <f>EMF_Fund_Monthly!B51</f>
        <v>21.3</v>
      </c>
      <c r="C39">
        <f>'MSCI EM_Monthly'!B51</f>
        <v>648.18468900000005</v>
      </c>
      <c r="D39">
        <f>(EMF_Fund_Monthly!B51-EMF_Fund_Monthly!B50)/EMF_Fund_Monthly!B50</f>
        <v>1.0915994304698643E-2</v>
      </c>
      <c r="E39">
        <f>('MSCI EM_Monthly'!B51-'MSCI EM_Monthly'!B50)/'MSCI EM_Monthly'!B50</f>
        <v>7.6486850019398022E-3</v>
      </c>
      <c r="F39">
        <f>(1+'Risk-free rate'!B51/100)^(1/12)-1</f>
        <v>3.3327223783574667E-5</v>
      </c>
      <c r="G39">
        <f t="shared" si="2"/>
        <v>1.0882667080915068E-2</v>
      </c>
      <c r="H39">
        <f t="shared" si="3"/>
        <v>7.6153577781562275E-3</v>
      </c>
      <c r="I39">
        <f t="shared" si="6"/>
        <v>-3.5763447090088718E-2</v>
      </c>
      <c r="J39">
        <f t="shared" si="7"/>
        <v>1.0741834928481768</v>
      </c>
    </row>
    <row r="40" spans="1:10" x14ac:dyDescent="0.2">
      <c r="A40" t="str">
        <f>'MSCI EM_Monthly'!A52</f>
        <v>2021-03-31</v>
      </c>
      <c r="B40">
        <f>EMF_Fund_Monthly!B52</f>
        <v>21.19</v>
      </c>
      <c r="C40">
        <f>'MSCI EM_Monthly'!B52</f>
        <v>638.39540799999997</v>
      </c>
      <c r="D40">
        <f>(EMF_Fund_Monthly!B52-EMF_Fund_Monthly!B51)/EMF_Fund_Monthly!B51</f>
        <v>-5.164319248826264E-3</v>
      </c>
      <c r="E40">
        <f>('MSCI EM_Monthly'!B52-'MSCI EM_Monthly'!B51)/'MSCI EM_Monthly'!B51</f>
        <v>-1.5102610669657568E-2</v>
      </c>
      <c r="F40">
        <f>(1+'Risk-free rate'!B52/100)^(1/12)-1</f>
        <v>2.4996563158685703E-5</v>
      </c>
      <c r="G40">
        <f t="shared" si="2"/>
        <v>-5.1893158119849497E-3</v>
      </c>
      <c r="H40">
        <f t="shared" si="3"/>
        <v>-1.5127607232816254E-2</v>
      </c>
      <c r="I40">
        <f t="shared" si="6"/>
        <v>8.6683217226668496E-2</v>
      </c>
      <c r="J40">
        <f t="shared" si="7"/>
        <v>0.88364563067752122</v>
      </c>
    </row>
    <row r="41" spans="1:10" x14ac:dyDescent="0.2">
      <c r="A41" t="str">
        <f>'MSCI EM_Monthly'!A53</f>
        <v>2021-04-30</v>
      </c>
      <c r="B41">
        <f>EMF_Fund_Monthly!B53</f>
        <v>21.49</v>
      </c>
      <c r="C41">
        <f>'MSCI EM_Monthly'!B53</f>
        <v>654.29002200000002</v>
      </c>
      <c r="D41">
        <f>(EMF_Fund_Monthly!B53-EMF_Fund_Monthly!B52)/EMF_Fund_Monthly!B52</f>
        <v>1.4157621519584575E-2</v>
      </c>
      <c r="E41">
        <f>('MSCI EM_Monthly'!B53-'MSCI EM_Monthly'!B52)/'MSCI EM_Monthly'!B52</f>
        <v>2.4897757409934326E-2</v>
      </c>
      <c r="F41">
        <f>(1+'Risk-free rate'!B53/100)^(1/12)-1</f>
        <v>1.6665139084048874E-5</v>
      </c>
      <c r="G41">
        <f t="shared" si="2"/>
        <v>1.4140956380500527E-2</v>
      </c>
      <c r="H41">
        <f t="shared" si="3"/>
        <v>2.4881092270850277E-2</v>
      </c>
      <c r="I41">
        <f t="shared" si="6"/>
        <v>6.7730978677322584E-2</v>
      </c>
      <c r="J41">
        <f t="shared" si="7"/>
        <v>0.88761406853857372</v>
      </c>
    </row>
    <row r="42" spans="1:10" x14ac:dyDescent="0.2">
      <c r="A42" t="str">
        <f>'MSCI EM_Monthly'!A54</f>
        <v>2021-05-31</v>
      </c>
      <c r="B42">
        <f>EMF_Fund_Monthly!B54</f>
        <v>21.56</v>
      </c>
      <c r="C42">
        <f>'MSCI EM_Monthly'!B54</f>
        <v>669.46322299999997</v>
      </c>
      <c r="D42">
        <f>(EMF_Fund_Monthly!B54-EMF_Fund_Monthly!B53)/EMF_Fund_Monthly!B53</f>
        <v>3.2573289902280266E-3</v>
      </c>
      <c r="E42">
        <f>('MSCI EM_Monthly'!B54-'MSCI EM_Monthly'!B53)/'MSCI EM_Monthly'!B53</f>
        <v>2.3190329196247392E-2</v>
      </c>
      <c r="F42">
        <f>(1+'Risk-free rate'!B54/100)^(1/12)-1</f>
        <v>1.6665139084048874E-5</v>
      </c>
      <c r="G42">
        <f t="shared" si="2"/>
        <v>3.2406638511439777E-3</v>
      </c>
      <c r="H42">
        <f t="shared" si="3"/>
        <v>2.3173664057163344E-2</v>
      </c>
      <c r="I42">
        <f t="shared" si="6"/>
        <v>2.8755382687355446E-2</v>
      </c>
      <c r="J42">
        <f t="shared" si="7"/>
        <v>0.9124988351543496</v>
      </c>
    </row>
    <row r="43" spans="1:10" x14ac:dyDescent="0.2">
      <c r="A43" t="str">
        <f>'MSCI EM_Monthly'!A55</f>
        <v>2021-06-30</v>
      </c>
      <c r="B43">
        <f>EMF_Fund_Monthly!B55</f>
        <v>21.63</v>
      </c>
      <c r="C43">
        <f>'MSCI EM_Monthly'!B55</f>
        <v>670.61697300000003</v>
      </c>
      <c r="D43">
        <f>(EMF_Fund_Monthly!B55-EMF_Fund_Monthly!B54)/EMF_Fund_Monthly!B54</f>
        <v>3.24675324675326E-3</v>
      </c>
      <c r="E43">
        <f>('MSCI EM_Monthly'!B55-'MSCI EM_Monthly'!B54)/'MSCI EM_Monthly'!B54</f>
        <v>1.7233956405101273E-3</v>
      </c>
      <c r="F43">
        <f>(1+'Risk-free rate'!B55/100)^(1/12)-1</f>
        <v>3.3327223783574667E-5</v>
      </c>
      <c r="G43">
        <f t="shared" si="2"/>
        <v>3.2134260229696853E-3</v>
      </c>
      <c r="H43">
        <f t="shared" si="3"/>
        <v>1.6900684167265527E-3</v>
      </c>
      <c r="I43">
        <f t="shared" si="6"/>
        <v>2.8283563364109421E-2</v>
      </c>
      <c r="J43">
        <f t="shared" si="7"/>
        <v>0.85894880174612054</v>
      </c>
    </row>
    <row r="44" spans="1:10" x14ac:dyDescent="0.2">
      <c r="A44" t="str">
        <f>'MSCI EM_Monthly'!A56</f>
        <v>2021-07-30</v>
      </c>
      <c r="B44">
        <f>EMF_Fund_Monthly!B56</f>
        <v>20.03</v>
      </c>
      <c r="C44">
        <f>'MSCI EM_Monthly'!B56</f>
        <v>625.48549100000002</v>
      </c>
      <c r="D44">
        <f>(EMF_Fund_Monthly!B56-EMF_Fund_Monthly!B55)/EMF_Fund_Monthly!B55</f>
        <v>-7.397133610725834E-2</v>
      </c>
      <c r="E44">
        <f>('MSCI EM_Monthly'!B56-'MSCI EM_Monthly'!B55)/'MSCI EM_Monthly'!B55</f>
        <v>-6.7298448767415864E-2</v>
      </c>
      <c r="F44">
        <f>(1+'Risk-free rate'!B56/100)^(1/12)-1</f>
        <v>4.1657121104599071E-5</v>
      </c>
      <c r="G44">
        <f t="shared" si="2"/>
        <v>-7.4012993228362939E-2</v>
      </c>
      <c r="H44">
        <f t="shared" si="3"/>
        <v>-6.7340105888520463E-2</v>
      </c>
      <c r="I44">
        <f t="shared" si="6"/>
        <v>-1.1325710618951823E-2</v>
      </c>
      <c r="J44">
        <f t="shared" si="7"/>
        <v>0.86720490979343179</v>
      </c>
    </row>
    <row r="45" spans="1:10" x14ac:dyDescent="0.2">
      <c r="A45" t="str">
        <f>'MSCI EM_Monthly'!A57</f>
        <v>2021-08-31</v>
      </c>
      <c r="B45">
        <f>EMF_Fund_Monthly!B57</f>
        <v>20.09</v>
      </c>
      <c r="C45">
        <f>'MSCI EM_Monthly'!B57</f>
        <v>641.85774300000003</v>
      </c>
      <c r="D45">
        <f>(EMF_Fund_Monthly!B57-EMF_Fund_Monthly!B56)/EMF_Fund_Monthly!B56</f>
        <v>2.9955067398901008E-3</v>
      </c>
      <c r="E45">
        <f>('MSCI EM_Monthly'!B57-'MSCI EM_Monthly'!B56)/'MSCI EM_Monthly'!B56</f>
        <v>2.617527062670108E-2</v>
      </c>
      <c r="F45">
        <f>(1+'Risk-free rate'!B57/100)^(1/12)-1</f>
        <v>4.1657121104599071E-5</v>
      </c>
      <c r="G45">
        <f t="shared" si="2"/>
        <v>2.9538496187855017E-3</v>
      </c>
      <c r="H45">
        <f t="shared" si="3"/>
        <v>2.6133613505596481E-2</v>
      </c>
      <c r="I45">
        <f t="shared" si="6"/>
        <v>-3.0910158997712656E-2</v>
      </c>
      <c r="J45">
        <f t="shared" si="7"/>
        <v>0.85701834674419886</v>
      </c>
    </row>
    <row r="46" spans="1:10" x14ac:dyDescent="0.2">
      <c r="A46" t="str">
        <f>'MSCI EM_Monthly'!A58</f>
        <v>2021-09-30</v>
      </c>
      <c r="B46">
        <f>EMF_Fund_Monthly!B58</f>
        <v>19.170000000000002</v>
      </c>
      <c r="C46">
        <f>'MSCI EM_Monthly'!B58</f>
        <v>616.34986200000003</v>
      </c>
      <c r="D46">
        <f>(EMF_Fund_Monthly!B58-EMF_Fund_Monthly!B57)/EMF_Fund_Monthly!B57</f>
        <v>-4.5793927327028278E-2</v>
      </c>
      <c r="E46">
        <f>('MSCI EM_Monthly'!B58-'MSCI EM_Monthly'!B57)/'MSCI EM_Monthly'!B57</f>
        <v>-3.9740707778608192E-2</v>
      </c>
      <c r="F46">
        <f>(1+'Risk-free rate'!B58/100)^(1/12)-1</f>
        <v>3.3327223783574667E-5</v>
      </c>
      <c r="G46">
        <f t="shared" si="2"/>
        <v>-4.5827254550811852E-2</v>
      </c>
      <c r="H46">
        <f t="shared" si="3"/>
        <v>-3.9774035002391767E-2</v>
      </c>
      <c r="I46">
        <f t="shared" si="6"/>
        <v>-5.3269760889773754E-2</v>
      </c>
      <c r="J46">
        <f t="shared" si="7"/>
        <v>0.89247496672257931</v>
      </c>
    </row>
    <row r="47" spans="1:10" x14ac:dyDescent="0.2">
      <c r="A47" t="str">
        <f>'MSCI EM_Monthly'!A59</f>
        <v>2021-10-29</v>
      </c>
      <c r="B47">
        <f>EMF_Fund_Monthly!B59</f>
        <v>19.71</v>
      </c>
      <c r="C47">
        <f>'MSCI EM_Monthly'!B59</f>
        <v>622.42881299999999</v>
      </c>
      <c r="D47">
        <f>(EMF_Fund_Monthly!B59-EMF_Fund_Monthly!B58)/EMF_Fund_Monthly!B58</f>
        <v>2.8169014084506994E-2</v>
      </c>
      <c r="E47">
        <f>('MSCI EM_Monthly'!B59-'MSCI EM_Monthly'!B58)/'MSCI EM_Monthly'!B58</f>
        <v>9.8628252795811625E-3</v>
      </c>
      <c r="F47">
        <f>(1+'Risk-free rate'!B59/100)^(1/12)-1</f>
        <v>4.1657121104599071E-5</v>
      </c>
      <c r="G47">
        <f t="shared" si="2"/>
        <v>2.8127356963402395E-2</v>
      </c>
      <c r="H47">
        <f t="shared" si="3"/>
        <v>9.8211681584765634E-3</v>
      </c>
      <c r="I47">
        <f t="shared" si="6"/>
        <v>-3.1545283672519076E-2</v>
      </c>
      <c r="J47">
        <f t="shared" si="7"/>
        <v>0.88703613950150617</v>
      </c>
    </row>
    <row r="48" spans="1:10" x14ac:dyDescent="0.2">
      <c r="A48" t="str">
        <f>'MSCI EM_Monthly'!A60</f>
        <v>2021-11-30</v>
      </c>
      <c r="B48">
        <f>EMF_Fund_Monthly!B60</f>
        <v>18.510000000000002</v>
      </c>
      <c r="C48">
        <f>'MSCI EM_Monthly'!B60</f>
        <v>597.06282599999997</v>
      </c>
      <c r="D48">
        <f>(EMF_Fund_Monthly!B60-EMF_Fund_Monthly!B59)/EMF_Fund_Monthly!B59</f>
        <v>-6.0882800608827968E-2</v>
      </c>
      <c r="E48">
        <f>('MSCI EM_Monthly'!B60-'MSCI EM_Monthly'!B59)/'MSCI EM_Monthly'!B59</f>
        <v>-4.0753233896323529E-2</v>
      </c>
      <c r="F48">
        <f>(1+'Risk-free rate'!B60/100)^(1/12)-1</f>
        <v>4.1657121104599071E-5</v>
      </c>
      <c r="G48">
        <f t="shared" si="2"/>
        <v>-6.0924457729932567E-2</v>
      </c>
      <c r="H48">
        <f t="shared" si="3"/>
        <v>-4.0794891017428128E-2</v>
      </c>
      <c r="I48">
        <f t="shared" si="6"/>
        <v>-5.7482094371271941E-2</v>
      </c>
      <c r="J48">
        <f t="shared" si="7"/>
        <v>0.92638910937589058</v>
      </c>
    </row>
    <row r="49" spans="1:10" x14ac:dyDescent="0.2">
      <c r="A49" t="str">
        <f>'MSCI EM_Monthly'!A61</f>
        <v>2021-12-31</v>
      </c>
      <c r="B49">
        <f>EMF_Fund_Monthly!B61</f>
        <v>17.77</v>
      </c>
      <c r="C49">
        <f>'MSCI EM_Monthly'!B61</f>
        <v>608.26582699999994</v>
      </c>
      <c r="D49">
        <f>(EMF_Fund_Monthly!B61-EMF_Fund_Monthly!B60)/EMF_Fund_Monthly!B60</f>
        <v>-3.9978390059427438E-2</v>
      </c>
      <c r="E49">
        <f>('MSCI EM_Monthly'!B61-'MSCI EM_Monthly'!B60)/'MSCI EM_Monthly'!B60</f>
        <v>1.8763521211082688E-2</v>
      </c>
      <c r="F49">
        <f>(1+'Risk-free rate'!B61/100)^(1/12)-1</f>
        <v>4.99862552685304E-5</v>
      </c>
      <c r="G49">
        <f t="shared" si="2"/>
        <v>-4.0028376314695968E-2</v>
      </c>
      <c r="H49">
        <f t="shared" si="3"/>
        <v>1.8713534955814157E-2</v>
      </c>
      <c r="I49">
        <f t="shared" si="6"/>
        <v>-8.5491433450340604E-2</v>
      </c>
      <c r="J49">
        <f t="shared" si="7"/>
        <v>0.97463306054105014</v>
      </c>
    </row>
    <row r="50" spans="1:10" x14ac:dyDescent="0.2">
      <c r="A50" t="str">
        <f>'MSCI EM_Monthly'!A62</f>
        <v>2022-01-31</v>
      </c>
      <c r="B50">
        <f>EMF_Fund_Monthly!B62</f>
        <v>17.760000000000002</v>
      </c>
      <c r="C50">
        <f>'MSCI EM_Monthly'!B62</f>
        <v>596.75196800000003</v>
      </c>
      <c r="D50">
        <f>(EMF_Fund_Monthly!B62-EMF_Fund_Monthly!B61)/EMF_Fund_Monthly!B61</f>
        <v>-5.6274620146302815E-4</v>
      </c>
      <c r="E50">
        <f>('MSCI EM_Monthly'!B62-'MSCI EM_Monthly'!B61)/'MSCI EM_Monthly'!B61</f>
        <v>-1.8928992044131246E-2</v>
      </c>
      <c r="F50">
        <f>(1+'Risk-free rate'!B62/100)^(1/12)-1</f>
        <v>1.2491414476678564E-4</v>
      </c>
      <c r="G50">
        <f t="shared" si="2"/>
        <v>-6.8766034622981379E-4</v>
      </c>
      <c r="H50">
        <f t="shared" si="3"/>
        <v>-1.9053906188898032E-2</v>
      </c>
      <c r="I50">
        <f t="shared" si="6"/>
        <v>-0.1010379983184736</v>
      </c>
      <c r="J50">
        <f t="shared" si="7"/>
        <v>0.82880754272638946</v>
      </c>
    </row>
    <row r="51" spans="1:10" x14ac:dyDescent="0.2">
      <c r="A51" t="str">
        <f>'MSCI EM_Monthly'!A63</f>
        <v>2022-02-28</v>
      </c>
      <c r="B51">
        <f>EMF_Fund_Monthly!B63</f>
        <v>16.16</v>
      </c>
      <c r="C51">
        <f>'MSCI EM_Monthly'!B63</f>
        <v>578.91493100000002</v>
      </c>
      <c r="D51">
        <f>(EMF_Fund_Monthly!B63-EMF_Fund_Monthly!B62)/EMF_Fund_Monthly!B62</f>
        <v>-9.0090090090090169E-2</v>
      </c>
      <c r="E51">
        <f>('MSCI EM_Monthly'!B63-'MSCI EM_Monthly'!B62)/'MSCI EM_Monthly'!B62</f>
        <v>-2.9890202222173499E-2</v>
      </c>
      <c r="F51">
        <f>(1+'Risk-free rate'!B63/100)^(1/12)-1</f>
        <v>2.7458493733023559E-4</v>
      </c>
      <c r="G51">
        <f t="shared" si="2"/>
        <v>-9.0364675027420405E-2</v>
      </c>
      <c r="H51">
        <f t="shared" si="3"/>
        <v>-3.0164787159503735E-2</v>
      </c>
      <c r="I51">
        <f t="shared" si="6"/>
        <v>-0.15399094214546072</v>
      </c>
      <c r="J51">
        <f t="shared" si="7"/>
        <v>0.92072546710609415</v>
      </c>
    </row>
    <row r="52" spans="1:10" x14ac:dyDescent="0.2">
      <c r="A52" t="str">
        <f>'MSCI EM_Monthly'!A64</f>
        <v>2022-03-31</v>
      </c>
      <c r="B52">
        <f>EMF_Fund_Monthly!B64</f>
        <v>15.45</v>
      </c>
      <c r="C52">
        <f>'MSCI EM_Monthly'!B64</f>
        <v>565.83973900000001</v>
      </c>
      <c r="D52">
        <f>(EMF_Fund_Monthly!B64-EMF_Fund_Monthly!B63)/EMF_Fund_Monthly!B63</f>
        <v>-4.3935643564356489E-2</v>
      </c>
      <c r="E52">
        <f>('MSCI EM_Monthly'!B64-'MSCI EM_Monthly'!B63)/'MSCI EM_Monthly'!B63</f>
        <v>-2.2585687982540591E-2</v>
      </c>
      <c r="F52">
        <f>(1+'Risk-free rate'!B64/100)^(1/12)-1</f>
        <v>3.6592929423662213E-4</v>
      </c>
      <c r="G52">
        <f t="shared" si="2"/>
        <v>-4.4301572858593111E-2</v>
      </c>
      <c r="H52">
        <f t="shared" si="3"/>
        <v>-2.2951617276777213E-2</v>
      </c>
      <c r="I52">
        <f t="shared" si="6"/>
        <v>-0.17873699395302423</v>
      </c>
      <c r="J52">
        <f t="shared" si="7"/>
        <v>0.94379912299351043</v>
      </c>
    </row>
    <row r="53" spans="1:10" x14ac:dyDescent="0.2">
      <c r="A53" t="str">
        <f>'MSCI EM_Monthly'!A65</f>
        <v>2022-04-29</v>
      </c>
      <c r="B53">
        <f>EMF_Fund_Monthly!B65</f>
        <v>14.08</v>
      </c>
      <c r="C53">
        <f>'MSCI EM_Monthly'!B65</f>
        <v>534.36414200000002</v>
      </c>
      <c r="D53">
        <f>(EMF_Fund_Monthly!B65-EMF_Fund_Monthly!B64)/EMF_Fund_Monthly!B64</f>
        <v>-8.8673139158576011E-2</v>
      </c>
      <c r="E53">
        <f>('MSCI EM_Monthly'!B65-'MSCI EM_Monthly'!B64)/'MSCI EM_Monthly'!B64</f>
        <v>-5.5626345819447635E-2</v>
      </c>
      <c r="F53">
        <f>(1+'Risk-free rate'!B65/100)^(1/12)-1</f>
        <v>6.3113787510671315E-4</v>
      </c>
      <c r="G53">
        <f t="shared" si="2"/>
        <v>-8.9304277033682725E-2</v>
      </c>
      <c r="H53">
        <f t="shared" si="3"/>
        <v>-5.6257483694554349E-2</v>
      </c>
      <c r="I53">
        <f t="shared" si="6"/>
        <v>-0.19357801546040654</v>
      </c>
      <c r="J53">
        <f t="shared" si="7"/>
        <v>0.98922940456324893</v>
      </c>
    </row>
    <row r="54" spans="1:10" x14ac:dyDescent="0.2">
      <c r="A54" t="str">
        <f>'MSCI EM_Monthly'!A66</f>
        <v>2022-05-31</v>
      </c>
      <c r="B54">
        <f>EMF_Fund_Monthly!B66</f>
        <v>14.56</v>
      </c>
      <c r="C54">
        <f>'MSCI EM_Monthly'!B66</f>
        <v>536.71687099999997</v>
      </c>
      <c r="D54">
        <f>(EMF_Fund_Monthly!B66-EMF_Fund_Monthly!B65)/EMF_Fund_Monthly!B65</f>
        <v>3.4090909090909123E-2</v>
      </c>
      <c r="E54">
        <f>('MSCI EM_Monthly'!B66-'MSCI EM_Monthly'!B65)/'MSCI EM_Monthly'!B65</f>
        <v>4.4028571812364491E-3</v>
      </c>
      <c r="F54">
        <f>(1+'Risk-free rate'!B66/100)^(1/12)-1</f>
        <v>8.1302127632687515E-4</v>
      </c>
      <c r="G54">
        <f t="shared" si="2"/>
        <v>3.3277887814582248E-2</v>
      </c>
      <c r="H54">
        <f t="shared" si="3"/>
        <v>3.5898359049095739E-3</v>
      </c>
      <c r="I54">
        <f t="shared" si="6"/>
        <v>-0.13123834005718271</v>
      </c>
      <c r="J54">
        <f t="shared" si="7"/>
        <v>1.0999366960139938</v>
      </c>
    </row>
    <row r="55" spans="1:10" x14ac:dyDescent="0.2">
      <c r="A55" t="str">
        <f>'MSCI EM_Monthly'!A67</f>
        <v>2022-06-30</v>
      </c>
      <c r="B55">
        <f>EMF_Fund_Monthly!B67</f>
        <v>13.7</v>
      </c>
      <c r="C55">
        <f>'MSCI EM_Monthly'!B67</f>
        <v>501.05226900000002</v>
      </c>
      <c r="D55">
        <f>(EMF_Fund_Monthly!B67-EMF_Fund_Monthly!B66)/EMF_Fund_Monthly!B66</f>
        <v>-5.9065934065934148E-2</v>
      </c>
      <c r="E55">
        <f>('MSCI EM_Monthly'!B67-'MSCI EM_Monthly'!B66)/'MSCI EM_Monthly'!B66</f>
        <v>-6.6449563870705955E-2</v>
      </c>
      <c r="F55">
        <f>(1+'Risk-free rate'!B67/100)^(1/12)-1</f>
        <v>1.2332669717645128E-3</v>
      </c>
      <c r="G55">
        <f t="shared" si="2"/>
        <v>-6.029920103769866E-2</v>
      </c>
      <c r="H55">
        <f t="shared" si="3"/>
        <v>-6.7682830842470468E-2</v>
      </c>
      <c r="I55">
        <f t="shared" si="6"/>
        <v>-0.15129980300431234</v>
      </c>
      <c r="J55">
        <f t="shared" si="7"/>
        <v>0.97444315354714184</v>
      </c>
    </row>
    <row r="56" spans="1:10" x14ac:dyDescent="0.2">
      <c r="A56" t="str">
        <f>'MSCI EM_Monthly'!A68</f>
        <v>2022-07-29</v>
      </c>
      <c r="B56">
        <f>EMF_Fund_Monthly!B68</f>
        <v>13.75</v>
      </c>
      <c r="C56">
        <f>'MSCI EM_Monthly'!B68</f>
        <v>499.821394</v>
      </c>
      <c r="D56">
        <f>(EMF_Fund_Monthly!B68-EMF_Fund_Monthly!B67)/EMF_Fund_Monthly!B67</f>
        <v>3.6496350364964023E-3</v>
      </c>
      <c r="E56">
        <f>('MSCI EM_Monthly'!B68-'MSCI EM_Monthly'!B67)/'MSCI EM_Monthly'!B67</f>
        <v>-2.4565800339685236E-3</v>
      </c>
      <c r="F56">
        <f>(1+'Risk-free rate'!B68/100)^(1/12)-1</f>
        <v>1.8396059010297172E-3</v>
      </c>
      <c r="G56">
        <f t="shared" ref="G56:G85" si="8">D56-$F56</f>
        <v>1.8100291354666851E-3</v>
      </c>
      <c r="H56">
        <f t="shared" ref="H56:H85" si="9">E56-$F56</f>
        <v>-4.2961859349982413E-3</v>
      </c>
      <c r="I56">
        <f t="shared" si="6"/>
        <v>-0.12825330137888979</v>
      </c>
      <c r="J56">
        <f t="shared" si="7"/>
        <v>1.0286298605209081</v>
      </c>
    </row>
    <row r="57" spans="1:10" x14ac:dyDescent="0.2">
      <c r="A57" t="str">
        <f>'MSCI EM_Monthly'!A69</f>
        <v>2022-08-31</v>
      </c>
      <c r="B57">
        <f>EMF_Fund_Monthly!B69</f>
        <v>13.72</v>
      </c>
      <c r="C57">
        <f>'MSCI EM_Monthly'!B69</f>
        <v>501.90800100000001</v>
      </c>
      <c r="D57">
        <f>(EMF_Fund_Monthly!B69-EMF_Fund_Monthly!B68)/EMF_Fund_Monthly!B68</f>
        <v>-2.1818181818181355E-3</v>
      </c>
      <c r="E57">
        <f>('MSCI EM_Monthly'!B69-'MSCI EM_Monthly'!B68)/'MSCI EM_Monthly'!B68</f>
        <v>4.1747052548135122E-3</v>
      </c>
      <c r="F57">
        <f>(1+'Risk-free rate'!B69/100)^(1/12)-1</f>
        <v>2.1656835180154932E-3</v>
      </c>
      <c r="G57">
        <f t="shared" si="8"/>
        <v>-4.3475016998336287E-3</v>
      </c>
      <c r="H57">
        <f t="shared" si="9"/>
        <v>2.009021736798019E-3</v>
      </c>
      <c r="I57">
        <f t="shared" si="6"/>
        <v>-9.3650964955676153E-2</v>
      </c>
      <c r="J57">
        <f t="shared" si="7"/>
        <v>1.1138318523694761</v>
      </c>
    </row>
    <row r="58" spans="1:10" x14ac:dyDescent="0.2">
      <c r="A58" t="str">
        <f>'MSCI EM_Monthly'!A70</f>
        <v>2022-09-30</v>
      </c>
      <c r="B58">
        <f>EMF_Fund_Monthly!B70</f>
        <v>12.04</v>
      </c>
      <c r="C58">
        <f>'MSCI EM_Monthly'!B70</f>
        <v>443.06822799999998</v>
      </c>
      <c r="D58">
        <f>(EMF_Fund_Monthly!B70-EMF_Fund_Monthly!B69)/EMF_Fund_Monthly!B69</f>
        <v>-0.12244897959183684</v>
      </c>
      <c r="E58">
        <f>('MSCI EM_Monthly'!B70-'MSCI EM_Monthly'!B69)/'MSCI EM_Monthly'!B69</f>
        <v>-0.1172321877371308</v>
      </c>
      <c r="F58">
        <f>(1+'Risk-free rate'!B70/100)^(1/12)-1</f>
        <v>2.5716462189622202E-3</v>
      </c>
      <c r="G58">
        <f t="shared" si="8"/>
        <v>-0.12502062581079906</v>
      </c>
      <c r="H58">
        <f t="shared" si="9"/>
        <v>-0.11980383395609302</v>
      </c>
      <c r="I58">
        <f t="shared" si="6"/>
        <v>-0.10972659741244717</v>
      </c>
      <c r="J58">
        <f t="shared" si="7"/>
        <v>1.0291413059920844</v>
      </c>
    </row>
    <row r="59" spans="1:10" x14ac:dyDescent="0.2">
      <c r="A59" t="str">
        <f>'MSCI EM_Monthly'!A71</f>
        <v>2022-10-31</v>
      </c>
      <c r="B59">
        <f>EMF_Fund_Monthly!B71</f>
        <v>11.87</v>
      </c>
      <c r="C59">
        <f>'MSCI EM_Monthly'!B71</f>
        <v>429.31169799999998</v>
      </c>
      <c r="D59">
        <f>(EMF_Fund_Monthly!B71-EMF_Fund_Monthly!B70)/EMF_Fund_Monthly!B70</f>
        <v>-1.411960132890365E-2</v>
      </c>
      <c r="E59">
        <f>('MSCI EM_Monthly'!B71-'MSCI EM_Monthly'!B70)/'MSCI EM_Monthly'!B70</f>
        <v>-3.1048333260312221E-2</v>
      </c>
      <c r="F59">
        <f>(1+'Risk-free rate'!B71/100)^(1/12)-1</f>
        <v>3.0483680766628662E-3</v>
      </c>
      <c r="G59">
        <f t="shared" si="8"/>
        <v>-1.7167969405566516E-2</v>
      </c>
      <c r="H59">
        <f t="shared" si="9"/>
        <v>-3.4096701336975087E-2</v>
      </c>
      <c r="I59">
        <f t="shared" si="6"/>
        <v>-0.13532881153755127</v>
      </c>
      <c r="J59">
        <f t="shared" si="7"/>
        <v>0.95156282882461773</v>
      </c>
    </row>
    <row r="60" spans="1:10" x14ac:dyDescent="0.2">
      <c r="A60" t="str">
        <f>'MSCI EM_Monthly'!A72</f>
        <v>2022-11-30</v>
      </c>
      <c r="B60">
        <f>EMF_Fund_Monthly!B72</f>
        <v>14.07</v>
      </c>
      <c r="C60">
        <f>'MSCI EM_Monthly'!B72</f>
        <v>492.98620899999997</v>
      </c>
      <c r="D60">
        <f>(EMF_Fund_Monthly!B72-EMF_Fund_Monthly!B71)/EMF_Fund_Monthly!B71</f>
        <v>0.18534119629317616</v>
      </c>
      <c r="E60">
        <f>('MSCI EM_Monthly'!B72-'MSCI EM_Monthly'!B71)/'MSCI EM_Monthly'!B71</f>
        <v>0.1483176705797567</v>
      </c>
      <c r="F60">
        <f>(1+'Risk-free rate'!B72/100)^(1/12)-1</f>
        <v>3.3942459274463044E-3</v>
      </c>
      <c r="G60">
        <f t="shared" si="8"/>
        <v>0.18194695036572986</v>
      </c>
      <c r="H60">
        <f t="shared" si="9"/>
        <v>0.1449234246523104</v>
      </c>
      <c r="I60">
        <f t="shared" si="6"/>
        <v>-4.0512373491311426E-2</v>
      </c>
      <c r="J60">
        <f t="shared" si="7"/>
        <v>1.1519995259300144</v>
      </c>
    </row>
    <row r="61" spans="1:10" x14ac:dyDescent="0.2">
      <c r="A61" t="str">
        <f>'MSCI EM_Monthly'!A73</f>
        <v>2022-12-30</v>
      </c>
      <c r="B61">
        <f>EMF_Fund_Monthly!B73</f>
        <v>12.59</v>
      </c>
      <c r="C61">
        <f>'MSCI EM_Monthly'!B73</f>
        <v>486.056984</v>
      </c>
      <c r="D61">
        <f>(EMF_Fund_Monthly!B73-EMF_Fund_Monthly!B72)/EMF_Fund_Monthly!B72</f>
        <v>-0.10518834399431418</v>
      </c>
      <c r="E61">
        <f>('MSCI EM_Monthly'!B73-'MSCI EM_Monthly'!B72)/'MSCI EM_Monthly'!B72</f>
        <v>-1.4055616310353977E-2</v>
      </c>
      <c r="F61">
        <f>(1+'Risk-free rate'!B73/100)^(1/12)-1</f>
        <v>3.474495003497502E-3</v>
      </c>
      <c r="G61">
        <f t="shared" si="8"/>
        <v>-0.10866283899781168</v>
      </c>
      <c r="H61">
        <f t="shared" si="9"/>
        <v>-1.7530111313851481E-2</v>
      </c>
      <c r="I61">
        <f t="shared" si="6"/>
        <v>-5.579530243113584E-2</v>
      </c>
      <c r="J61">
        <f t="shared" si="7"/>
        <v>1.2012112609606624</v>
      </c>
    </row>
    <row r="62" spans="1:10" x14ac:dyDescent="0.2">
      <c r="A62" t="str">
        <f>'MSCI EM_Monthly'!A74</f>
        <v>2023-01-31</v>
      </c>
      <c r="B62">
        <f>EMF_Fund_Monthly!B74</f>
        <v>14</v>
      </c>
      <c r="C62">
        <f>'MSCI EM_Monthly'!B74</f>
        <v>524.43673899999999</v>
      </c>
      <c r="D62">
        <f>(EMF_Fund_Monthly!B74-EMF_Fund_Monthly!B73)/EMF_Fund_Monthly!B73</f>
        <v>0.11199364575059573</v>
      </c>
      <c r="E62">
        <f>('MSCI EM_Monthly'!B74-'MSCI EM_Monthly'!B73)/'MSCI EM_Monthly'!B73</f>
        <v>7.8961430991391718E-2</v>
      </c>
      <c r="F62">
        <f>(1+'Risk-free rate'!B74/100)^(1/12)-1</f>
        <v>3.7068189305531352E-3</v>
      </c>
      <c r="G62">
        <f t="shared" si="8"/>
        <v>0.10828682682004259</v>
      </c>
      <c r="H62">
        <f t="shared" si="9"/>
        <v>7.5254612060838583E-2</v>
      </c>
      <c r="I62">
        <f t="shared" si="6"/>
        <v>-5.4682708639728572E-2</v>
      </c>
      <c r="J62">
        <f t="shared" si="7"/>
        <v>1.2443747429378278</v>
      </c>
    </row>
    <row r="63" spans="1:10" x14ac:dyDescent="0.2">
      <c r="A63" t="str">
        <f>'MSCI EM_Monthly'!A75</f>
        <v>2023-02-28</v>
      </c>
      <c r="B63">
        <f>EMF_Fund_Monthly!B75</f>
        <v>13</v>
      </c>
      <c r="C63">
        <f>'MSCI EM_Monthly'!B75</f>
        <v>490.43101799999999</v>
      </c>
      <c r="D63">
        <f>(EMF_Fund_Monthly!B75-EMF_Fund_Monthly!B74)/EMF_Fund_Monthly!B74</f>
        <v>-7.1428571428571425E-2</v>
      </c>
      <c r="E63">
        <f>('MSCI EM_Monthly'!B75-'MSCI EM_Monthly'!B74)/'MSCI EM_Monthly'!B74</f>
        <v>-6.4842369863031268E-2</v>
      </c>
      <c r="F63">
        <f>(1+'Risk-free rate'!B75/100)^(1/12)-1</f>
        <v>3.7947872834442897E-3</v>
      </c>
      <c r="G63">
        <f t="shared" si="8"/>
        <v>-7.5223358712015714E-2</v>
      </c>
      <c r="H63">
        <f t="shared" si="9"/>
        <v>-6.8637157146475558E-2</v>
      </c>
      <c r="I63">
        <f t="shared" si="6"/>
        <v>1.9282350379905555E-3</v>
      </c>
      <c r="J63">
        <f t="shared" si="7"/>
        <v>1.2142456231080392</v>
      </c>
    </row>
    <row r="64" spans="1:10" x14ac:dyDescent="0.2">
      <c r="A64" t="str">
        <f>'MSCI EM_Monthly'!A76</f>
        <v>2023-03-31</v>
      </c>
      <c r="B64">
        <f>EMF_Fund_Monthly!B76</f>
        <v>13.46</v>
      </c>
      <c r="C64">
        <f>'MSCI EM_Monthly'!B76</f>
        <v>505.28481499999998</v>
      </c>
      <c r="D64">
        <f>(EMF_Fund_Monthly!B76-EMF_Fund_Monthly!B75)/EMF_Fund_Monthly!B75</f>
        <v>3.5384615384615452E-2</v>
      </c>
      <c r="E64">
        <f>('MSCI EM_Monthly'!B76-'MSCI EM_Monthly'!B75)/'MSCI EM_Monthly'!B75</f>
        <v>3.0287229915788048E-2</v>
      </c>
      <c r="F64">
        <f>(1+'Risk-free rate'!B76/100)^(1/12)-1</f>
        <v>3.8267547616503972E-3</v>
      </c>
      <c r="G64">
        <f t="shared" si="8"/>
        <v>3.1557860622965055E-2</v>
      </c>
      <c r="H64">
        <f t="shared" si="9"/>
        <v>2.6460475154137651E-2</v>
      </c>
      <c r="I64">
        <f t="shared" si="6"/>
        <v>1.7399742657085993E-2</v>
      </c>
      <c r="J64">
        <f t="shared" si="7"/>
        <v>1.2097219873300913</v>
      </c>
    </row>
    <row r="65" spans="1:10" x14ac:dyDescent="0.2">
      <c r="A65" t="str">
        <f>'MSCI EM_Monthly'!A77</f>
        <v>2023-04-28</v>
      </c>
      <c r="B65">
        <f>EMF_Fund_Monthly!B77</f>
        <v>13.18</v>
      </c>
      <c r="C65">
        <f>'MSCI EM_Monthly'!B77</f>
        <v>499.55857800000001</v>
      </c>
      <c r="D65">
        <f>(EMF_Fund_Monthly!B77-EMF_Fund_Monthly!B76)/EMF_Fund_Monthly!B76</f>
        <v>-2.0802377414561746E-2</v>
      </c>
      <c r="E65">
        <f>('MSCI EM_Monthly'!B77-'MSCI EM_Monthly'!B76)/'MSCI EM_Monthly'!B76</f>
        <v>-1.1332691642435305E-2</v>
      </c>
      <c r="F65">
        <f>(1+'Risk-free rate'!B77/100)^(1/12)-1</f>
        <v>4.0103507726252374E-3</v>
      </c>
      <c r="G65">
        <f t="shared" si="8"/>
        <v>-2.4812728187186984E-2</v>
      </c>
      <c r="H65">
        <f t="shared" si="9"/>
        <v>-1.5343042415060543E-2</v>
      </c>
      <c r="I65">
        <f t="shared" si="6"/>
        <v>3.1165427343576191E-2</v>
      </c>
      <c r="J65">
        <f t="shared" si="7"/>
        <v>1.1893629587881653</v>
      </c>
    </row>
    <row r="66" spans="1:10" x14ac:dyDescent="0.2">
      <c r="A66" t="str">
        <f>'MSCI EM_Monthly'!A78</f>
        <v>2023-05-31</v>
      </c>
      <c r="B66">
        <f>EMF_Fund_Monthly!B78</f>
        <v>13.11</v>
      </c>
      <c r="C66">
        <f>'MSCI EM_Monthly'!B78</f>
        <v>491.16788200000002</v>
      </c>
      <c r="D66">
        <f>(EMF_Fund_Monthly!B78-EMF_Fund_Monthly!B77)/EMF_Fund_Monthly!B77</f>
        <v>-5.3110773899848474E-3</v>
      </c>
      <c r="E66">
        <f>('MSCI EM_Monthly'!B78-'MSCI EM_Monthly'!B77)/'MSCI EM_Monthly'!B77</f>
        <v>-1.6796220442440269E-2</v>
      </c>
      <c r="F66">
        <f>(1+'Risk-free rate'!B78/100)^(1/12)-1</f>
        <v>4.1856194553282489E-3</v>
      </c>
      <c r="G66">
        <f t="shared" si="8"/>
        <v>-9.4966968453130962E-3</v>
      </c>
      <c r="H66">
        <f t="shared" si="9"/>
        <v>-2.0981839897768518E-2</v>
      </c>
      <c r="I66">
        <f t="shared" si="6"/>
        <v>1.6389960952069904E-2</v>
      </c>
      <c r="J66">
        <f t="shared" si="7"/>
        <v>1.1802290978172165</v>
      </c>
    </row>
    <row r="67" spans="1:10" x14ac:dyDescent="0.2">
      <c r="A67" t="str">
        <f>'MSCI EM_Monthly'!A79</f>
        <v>2023-06-30</v>
      </c>
      <c r="B67">
        <f>EMF_Fund_Monthly!B79</f>
        <v>13.71</v>
      </c>
      <c r="C67">
        <f>'MSCI EM_Monthly'!B79</f>
        <v>509.81743399999999</v>
      </c>
      <c r="D67">
        <f>(EMF_Fund_Monthly!B79-EMF_Fund_Monthly!B78)/EMF_Fund_Monthly!B78</f>
        <v>4.5766590389016128E-2</v>
      </c>
      <c r="E67">
        <f>('MSCI EM_Monthly'!B79-'MSCI EM_Monthly'!B78)/'MSCI EM_Monthly'!B78</f>
        <v>3.7969811715009433E-2</v>
      </c>
      <c r="F67">
        <f>(1+'Risk-free rate'!B79/100)^(1/12)-1</f>
        <v>4.2015362976310922E-3</v>
      </c>
      <c r="G67">
        <f t="shared" si="8"/>
        <v>4.1565054091385036E-2</v>
      </c>
      <c r="H67">
        <f t="shared" si="9"/>
        <v>3.3768275417378341E-2</v>
      </c>
      <c r="I67">
        <f t="shared" si="6"/>
        <v>-1.6452751566319312E-3</v>
      </c>
      <c r="J67">
        <f t="shared" si="7"/>
        <v>1.2053239298282115</v>
      </c>
    </row>
    <row r="68" spans="1:10" x14ac:dyDescent="0.2">
      <c r="A68" t="str">
        <f>'MSCI EM_Monthly'!A80</f>
        <v>2023-07-31</v>
      </c>
      <c r="B68">
        <f>EMF_Fund_Monthly!B80</f>
        <v>14.55</v>
      </c>
      <c r="C68">
        <f>'MSCI EM_Monthly'!B80</f>
        <v>541.55428400000005</v>
      </c>
      <c r="D68">
        <f>(EMF_Fund_Monthly!B80-EMF_Fund_Monthly!B79)/EMF_Fund_Monthly!B79</f>
        <v>6.1269146608315082E-2</v>
      </c>
      <c r="E68">
        <f>('MSCI EM_Monthly'!B80-'MSCI EM_Monthly'!B79)/'MSCI EM_Monthly'!B79</f>
        <v>6.2251401940091482E-2</v>
      </c>
      <c r="F68">
        <f>(1+'Risk-free rate'!B80/100)^(1/12)-1</f>
        <v>4.2731277661580691E-3</v>
      </c>
      <c r="G68">
        <f t="shared" si="8"/>
        <v>5.6996018842157013E-2</v>
      </c>
      <c r="H68">
        <f t="shared" si="9"/>
        <v>5.7978274173933413E-2</v>
      </c>
      <c r="I68">
        <f t="shared" si="6"/>
        <v>-2.0593223495511626E-2</v>
      </c>
      <c r="J68">
        <f t="shared" si="7"/>
        <v>1.1938986446701001</v>
      </c>
    </row>
    <row r="69" spans="1:10" x14ac:dyDescent="0.2">
      <c r="A69" t="str">
        <f>'MSCI EM_Monthly'!A81</f>
        <v>2023-08-31</v>
      </c>
      <c r="B69">
        <f>EMF_Fund_Monthly!B81</f>
        <v>13.63</v>
      </c>
      <c r="C69">
        <f>'MSCI EM_Monthly'!B81</f>
        <v>508.194411</v>
      </c>
      <c r="D69">
        <f>(EMF_Fund_Monthly!B81-EMF_Fund_Monthly!B80)/EMF_Fund_Monthly!B80</f>
        <v>-6.3230240549828176E-2</v>
      </c>
      <c r="E69">
        <f>('MSCI EM_Monthly'!B81-'MSCI EM_Monthly'!B80)/'MSCI EM_Monthly'!B80</f>
        <v>-6.1600238398261932E-2</v>
      </c>
      <c r="F69">
        <f>(1+'Risk-free rate'!B81/100)^(1/12)-1</f>
        <v>4.3128765598297036E-3</v>
      </c>
      <c r="G69">
        <f t="shared" si="8"/>
        <v>-6.754311710965788E-2</v>
      </c>
      <c r="H69">
        <f t="shared" si="9"/>
        <v>-6.5913114958091629E-2</v>
      </c>
      <c r="I69">
        <f t="shared" si="6"/>
        <v>-2.9465659440884862E-3</v>
      </c>
      <c r="J69">
        <f t="shared" si="7"/>
        <v>1.1793875701505105</v>
      </c>
    </row>
    <row r="70" spans="1:10" x14ac:dyDescent="0.2">
      <c r="A70" t="str">
        <f>'MSCI EM_Monthly'!A82</f>
        <v>2023-09-29</v>
      </c>
      <c r="B70">
        <f>EMF_Fund_Monthly!B82</f>
        <v>13.22</v>
      </c>
      <c r="C70">
        <f>'MSCI EM_Monthly'!B82</f>
        <v>494.90401700000001</v>
      </c>
      <c r="D70">
        <f>(EMF_Fund_Monthly!B82-EMF_Fund_Monthly!B81)/EMF_Fund_Monthly!B81</f>
        <v>-3.008070432868673E-2</v>
      </c>
      <c r="E70">
        <f>('MSCI EM_Monthly'!B82-'MSCI EM_Monthly'!B81)/'MSCI EM_Monthly'!B81</f>
        <v>-2.6152184503264817E-2</v>
      </c>
      <c r="F70">
        <f>(1+'Risk-free rate'!B82/100)^(1/12)-1</f>
        <v>4.3287712331259165E-3</v>
      </c>
      <c r="G70">
        <f t="shared" si="8"/>
        <v>-3.4409475561812647E-2</v>
      </c>
      <c r="H70">
        <f t="shared" si="9"/>
        <v>-3.0480955736390734E-2</v>
      </c>
      <c r="I70">
        <f t="shared" si="6"/>
        <v>-2.146637716238442E-2</v>
      </c>
      <c r="J70">
        <f t="shared" si="7"/>
        <v>1.2261642373980406</v>
      </c>
    </row>
    <row r="71" spans="1:10" x14ac:dyDescent="0.2">
      <c r="A71" t="str">
        <f>'MSCI EM_Monthly'!A83</f>
        <v>2023-10-31</v>
      </c>
      <c r="B71">
        <f>EMF_Fund_Monthly!B83</f>
        <v>12.77</v>
      </c>
      <c r="C71">
        <f>'MSCI EM_Monthly'!B83</f>
        <v>475.6746</v>
      </c>
      <c r="D71">
        <f>(EMF_Fund_Monthly!B83-EMF_Fund_Monthly!B82)/EMF_Fund_Monthly!B82</f>
        <v>-3.4039334341906279E-2</v>
      </c>
      <c r="E71">
        <f>('MSCI EM_Monthly'!B83-'MSCI EM_Monthly'!B82)/'MSCI EM_Monthly'!B82</f>
        <v>-3.8854841220656348E-2</v>
      </c>
      <c r="F71">
        <f>(1+'Risk-free rate'!B83/100)^(1/12)-1</f>
        <v>4.3446631398347257E-3</v>
      </c>
      <c r="G71">
        <f t="shared" si="8"/>
        <v>-3.8383997481741004E-2</v>
      </c>
      <c r="H71">
        <f t="shared" si="9"/>
        <v>-4.3199504360491074E-2</v>
      </c>
      <c r="I71">
        <f t="shared" si="6"/>
        <v>-3.1709025928893575E-2</v>
      </c>
      <c r="J71">
        <f t="shared" si="7"/>
        <v>1.2319886817371288</v>
      </c>
    </row>
    <row r="72" spans="1:10" x14ac:dyDescent="0.2">
      <c r="A72" t="str">
        <f>'MSCI EM_Monthly'!A84</f>
        <v>2023-11-30</v>
      </c>
      <c r="B72">
        <f>EMF_Fund_Monthly!B84</f>
        <v>13.71</v>
      </c>
      <c r="C72">
        <f>'MSCI EM_Monthly'!B84</f>
        <v>513.742884</v>
      </c>
      <c r="D72">
        <f>(EMF_Fund_Monthly!B84-EMF_Fund_Monthly!B83)/EMF_Fund_Monthly!B83</f>
        <v>7.3610023492560794E-2</v>
      </c>
      <c r="E72">
        <f>('MSCI EM_Monthly'!B84-'MSCI EM_Monthly'!B83)/'MSCI EM_Monthly'!B83</f>
        <v>8.0030096204422113E-2</v>
      </c>
      <c r="F72">
        <f>(1+'Risk-free rate'!B84/100)^(1/12)-1</f>
        <v>4.2890293603305985E-3</v>
      </c>
      <c r="G72">
        <f t="shared" si="8"/>
        <v>6.9320994132230196E-2</v>
      </c>
      <c r="H72">
        <f t="shared" si="9"/>
        <v>7.5741066844091515E-2</v>
      </c>
      <c r="I72">
        <f t="shared" si="6"/>
        <v>-5.7405681160102584E-2</v>
      </c>
      <c r="J72">
        <f t="shared" si="7"/>
        <v>1.147740449026379</v>
      </c>
    </row>
    <row r="73" spans="1:10" x14ac:dyDescent="0.2">
      <c r="A73" t="str">
        <f>'MSCI EM_Monthly'!A85</f>
        <v>2023-12-29</v>
      </c>
      <c r="B73">
        <f>EMF_Fund_Monthly!B85</f>
        <v>13.53</v>
      </c>
      <c r="C73">
        <f>'MSCI EM_Monthly'!B85</f>
        <v>533.82725600000003</v>
      </c>
      <c r="D73">
        <f>(EMF_Fund_Monthly!B85-EMF_Fund_Monthly!B84)/EMF_Fund_Monthly!B84</f>
        <v>-1.3129102844639058E-2</v>
      </c>
      <c r="E73">
        <f>('MSCI EM_Monthly'!B85-'MSCI EM_Monthly'!B84)/'MSCI EM_Monthly'!B84</f>
        <v>3.9094209624127914E-2</v>
      </c>
      <c r="F73">
        <f>(1+'Risk-free rate'!B85/100)^(1/12)-1</f>
        <v>4.2651759303415915E-3</v>
      </c>
      <c r="G73">
        <f t="shared" si="8"/>
        <v>-1.7394278774980648E-2</v>
      </c>
      <c r="H73">
        <f t="shared" si="9"/>
        <v>3.4829033693786322E-2</v>
      </c>
      <c r="I73">
        <f t="shared" si="6"/>
        <v>-2.0775462112814225E-2</v>
      </c>
      <c r="J73">
        <f t="shared" si="7"/>
        <v>1.033003716420801</v>
      </c>
    </row>
    <row r="74" spans="1:10" x14ac:dyDescent="0.2">
      <c r="A74" t="str">
        <f>'MSCI EM_Monthly'!A86</f>
        <v>2024-01-31</v>
      </c>
      <c r="B74">
        <f>EMF_Fund_Monthly!B86</f>
        <v>12.89</v>
      </c>
      <c r="C74">
        <f>'MSCI EM_Monthly'!B86</f>
        <v>509.039715</v>
      </c>
      <c r="D74">
        <f>(EMF_Fund_Monthly!B86-EMF_Fund_Monthly!B85)/EMF_Fund_Monthly!B85</f>
        <v>-4.7302291204730139E-2</v>
      </c>
      <c r="E74">
        <f>('MSCI EM_Monthly'!B86-'MSCI EM_Monthly'!B85)/'MSCI EM_Monthly'!B85</f>
        <v>-4.6433636951650953E-2</v>
      </c>
      <c r="F74">
        <f>(1+'Risk-free rate'!B86/100)^(1/12)-1</f>
        <v>4.2492701806178257E-3</v>
      </c>
      <c r="G74">
        <f t="shared" si="8"/>
        <v>-5.1551561385347965E-2</v>
      </c>
      <c r="H74">
        <f t="shared" si="9"/>
        <v>-5.0682907132268779E-2</v>
      </c>
      <c r="I74">
        <f t="shared" si="6"/>
        <v>-5.5967978362530868E-2</v>
      </c>
      <c r="J74">
        <f t="shared" si="7"/>
        <v>0.93163992379917993</v>
      </c>
    </row>
    <row r="75" spans="1:10" x14ac:dyDescent="0.2">
      <c r="A75" t="str">
        <f>'MSCI EM_Monthly'!A87</f>
        <v>2024-02-29</v>
      </c>
      <c r="B75">
        <f>EMF_Fund_Monthly!B87</f>
        <v>13.38</v>
      </c>
      <c r="C75">
        <f>'MSCI EM_Monthly'!B87</f>
        <v>533.25595099999998</v>
      </c>
      <c r="D75">
        <f>(EMF_Fund_Monthly!B87-EMF_Fund_Monthly!B86)/EMF_Fund_Monthly!B86</f>
        <v>3.8013964313421272E-2</v>
      </c>
      <c r="E75">
        <f>('MSCI EM_Monthly'!B87-'MSCI EM_Monthly'!B86)/'MSCI EM_Monthly'!B86</f>
        <v>4.7572390299644857E-2</v>
      </c>
      <c r="F75">
        <f>(1+'Risk-free rate'!B87/100)^(1/12)-1</f>
        <v>4.2651759303415915E-3</v>
      </c>
      <c r="G75">
        <f t="shared" si="8"/>
        <v>3.3748788383079681E-2</v>
      </c>
      <c r="H75">
        <f t="shared" si="9"/>
        <v>4.3307214369303265E-2</v>
      </c>
      <c r="I75">
        <f t="shared" si="6"/>
        <v>-5.055018373972886E-2</v>
      </c>
      <c r="J75">
        <f t="shared" si="7"/>
        <v>0.9092964918021873</v>
      </c>
    </row>
    <row r="76" spans="1:10" x14ac:dyDescent="0.2">
      <c r="A76" t="str">
        <f>'MSCI EM_Monthly'!A88</f>
        <v>2024-03-29</v>
      </c>
      <c r="B76">
        <f>EMF_Fund_Monthly!B88</f>
        <v>13.92</v>
      </c>
      <c r="C76">
        <f>'MSCI EM_Monthly'!B88</f>
        <v>546.46983399999999</v>
      </c>
      <c r="D76">
        <f>(EMF_Fund_Monthly!B88-EMF_Fund_Monthly!B87)/EMF_Fund_Monthly!B87</f>
        <v>4.035874439461877E-2</v>
      </c>
      <c r="E76">
        <f>('MSCI EM_Monthly'!B88-'MSCI EM_Monthly'!B87)/'MSCI EM_Monthly'!B87</f>
        <v>2.4779625947390523E-2</v>
      </c>
      <c r="F76">
        <f>(1+'Risk-free rate'!B88/100)^(1/12)-1</f>
        <v>4.2651759303415915E-3</v>
      </c>
      <c r="G76">
        <f t="shared" si="8"/>
        <v>3.6093568464277179E-2</v>
      </c>
      <c r="H76">
        <f t="shared" si="9"/>
        <v>2.0514450017048932E-2</v>
      </c>
      <c r="I76">
        <f t="shared" si="6"/>
        <v>-4.1186018601370278E-2</v>
      </c>
      <c r="J76">
        <f t="shared" si="7"/>
        <v>0.91350357341109134</v>
      </c>
    </row>
    <row r="77" spans="1:10" x14ac:dyDescent="0.2">
      <c r="A77" t="str">
        <f>'MSCI EM_Monthly'!A89</f>
        <v>2024-04-30</v>
      </c>
      <c r="B77">
        <f>EMF_Fund_Monthly!B89</f>
        <v>13.75</v>
      </c>
      <c r="C77">
        <f>'MSCI EM_Monthly'!B89</f>
        <v>548.91488000000004</v>
      </c>
      <c r="D77">
        <f>(EMF_Fund_Monthly!B89-EMF_Fund_Monthly!B88)/EMF_Fund_Monthly!B88</f>
        <v>-1.2212643678160915E-2</v>
      </c>
      <c r="E77">
        <f>('MSCI EM_Monthly'!B89-'MSCI EM_Monthly'!B88)/'MSCI EM_Monthly'!B88</f>
        <v>4.4742561215191387E-3</v>
      </c>
      <c r="F77">
        <f>(1+'Risk-free rate'!B89/100)^(1/12)-1</f>
        <v>4.2651759303415915E-3</v>
      </c>
      <c r="G77">
        <f t="shared" si="8"/>
        <v>-1.6477819608502507E-2</v>
      </c>
      <c r="H77">
        <f t="shared" si="9"/>
        <v>2.0908019117754726E-4</v>
      </c>
      <c r="I77">
        <f t="shared" si="6"/>
        <v>-4.662499066678516E-2</v>
      </c>
      <c r="J77">
        <f t="shared" si="7"/>
        <v>0.90979134094492431</v>
      </c>
    </row>
    <row r="78" spans="1:10" x14ac:dyDescent="0.2">
      <c r="A78" t="str">
        <f>'MSCI EM_Monthly'!A90</f>
        <v>2024-05-31</v>
      </c>
      <c r="B78">
        <f>EMF_Fund_Monthly!B90</f>
        <v>14.01</v>
      </c>
      <c r="C78">
        <f>'MSCI EM_Monthly'!B90</f>
        <v>552.01527299999998</v>
      </c>
      <c r="D78">
        <f>(EMF_Fund_Monthly!B90-EMF_Fund_Monthly!B89)/EMF_Fund_Monthly!B89</f>
        <v>1.8909090909090893E-2</v>
      </c>
      <c r="E78">
        <f>('MSCI EM_Monthly'!B90-'MSCI EM_Monthly'!B89)/'MSCI EM_Monthly'!B89</f>
        <v>5.6482218153749812E-3</v>
      </c>
      <c r="F78">
        <f>(1+'Risk-free rate'!B90/100)^(1/12)-1</f>
        <v>4.2731277661580691E-3</v>
      </c>
      <c r="G78">
        <f t="shared" si="8"/>
        <v>1.4635963142932824E-2</v>
      </c>
      <c r="H78">
        <f t="shared" si="9"/>
        <v>1.3750940492169121E-3</v>
      </c>
      <c r="I78">
        <f t="shared" si="6"/>
        <v>-4.3908252140298809E-2</v>
      </c>
      <c r="J78">
        <f t="shared" si="7"/>
        <v>0.92216034490843413</v>
      </c>
    </row>
    <row r="79" spans="1:10" x14ac:dyDescent="0.2">
      <c r="A79" t="str">
        <f>'MSCI EM_Monthly'!A91</f>
        <v>2024-06-28</v>
      </c>
      <c r="B79">
        <f>EMF_Fund_Monthly!B91</f>
        <v>14.45</v>
      </c>
      <c r="C79">
        <f>'MSCI EM_Monthly'!B91</f>
        <v>573.78874499999995</v>
      </c>
      <c r="D79">
        <f>(EMF_Fund_Monthly!B91-EMF_Fund_Monthly!B90)/EMF_Fund_Monthly!B90</f>
        <v>3.1406138472519593E-2</v>
      </c>
      <c r="E79">
        <f>('MSCI EM_Monthly'!B91-'MSCI EM_Monthly'!B90)/'MSCI EM_Monthly'!B90</f>
        <v>3.9443604307665546E-2</v>
      </c>
      <c r="F79">
        <f>(1+'Risk-free rate'!B91/100)^(1/12)-1</f>
        <v>4.2651759303415915E-3</v>
      </c>
      <c r="G79">
        <f t="shared" si="8"/>
        <v>2.7140962542178002E-2</v>
      </c>
      <c r="H79">
        <f t="shared" si="9"/>
        <v>3.5178428377323955E-2</v>
      </c>
      <c r="I79">
        <f t="shared" si="6"/>
        <v>-5.7497250149569079E-2</v>
      </c>
      <c r="J79">
        <f t="shared" si="7"/>
        <v>0.90350101128882954</v>
      </c>
    </row>
    <row r="80" spans="1:10" x14ac:dyDescent="0.2">
      <c r="A80" t="str">
        <f>'MSCI EM_Monthly'!A92</f>
        <v>2024-07-31</v>
      </c>
      <c r="B80">
        <f>EMF_Fund_Monthly!B92</f>
        <v>14.62</v>
      </c>
      <c r="C80">
        <f>'MSCI EM_Monthly'!B92</f>
        <v>575.49635799999999</v>
      </c>
      <c r="D80">
        <f>(EMF_Fund_Monthly!B92-EMF_Fund_Monthly!B91)/EMF_Fund_Monthly!B91</f>
        <v>1.1764705882352938E-2</v>
      </c>
      <c r="E80">
        <f>('MSCI EM_Monthly'!B92-'MSCI EM_Monthly'!B91)/'MSCI EM_Monthly'!B91</f>
        <v>2.9760308386670041E-3</v>
      </c>
      <c r="F80">
        <f>(1+'Risk-free rate'!B92/100)^(1/12)-1</f>
        <v>4.2333616592649115E-3</v>
      </c>
      <c r="G80">
        <f t="shared" si="8"/>
        <v>7.5313442230880261E-3</v>
      </c>
      <c r="H80">
        <f t="shared" si="9"/>
        <v>-1.2573308205979074E-3</v>
      </c>
      <c r="I80">
        <f t="shared" si="6"/>
        <v>-5.3116044235945958E-2</v>
      </c>
      <c r="J80">
        <f t="shared" si="7"/>
        <v>0.87490762513370468</v>
      </c>
    </row>
    <row r="81" spans="1:10" x14ac:dyDescent="0.2">
      <c r="A81" t="str">
        <f>'MSCI EM_Monthly'!A93</f>
        <v>2024-08-30</v>
      </c>
      <c r="B81">
        <f>EMF_Fund_Monthly!B93</f>
        <v>14.81</v>
      </c>
      <c r="C81">
        <f>'MSCI EM_Monthly'!B93</f>
        <v>584.78799700000002</v>
      </c>
      <c r="D81">
        <f>(EMF_Fund_Monthly!B93-EMF_Fund_Monthly!B92)/EMF_Fund_Monthly!B92</f>
        <v>1.2995896032831826E-2</v>
      </c>
      <c r="E81">
        <f>('MSCI EM_Monthly'!B93-'MSCI EM_Monthly'!B92)/'MSCI EM_Monthly'!B92</f>
        <v>1.6145434929060024E-2</v>
      </c>
      <c r="F81">
        <f>(1+'Risk-free rate'!B93/100)^(1/12)-1</f>
        <v>4.1139593013970188E-3</v>
      </c>
      <c r="G81">
        <f t="shared" si="8"/>
        <v>8.8819367314348068E-3</v>
      </c>
      <c r="H81">
        <f t="shared" si="9"/>
        <v>1.2031475627663005E-2</v>
      </c>
      <c r="I81">
        <f t="shared" si="6"/>
        <v>-4.2893185493436459E-2</v>
      </c>
      <c r="J81">
        <f t="shared" si="7"/>
        <v>0.84965506793259171</v>
      </c>
    </row>
    <row r="82" spans="1:10" x14ac:dyDescent="0.2">
      <c r="A82" t="str">
        <f>'MSCI EM_Monthly'!A94</f>
        <v>2024-09-30</v>
      </c>
      <c r="B82">
        <f>EMF_Fund_Monthly!B94</f>
        <v>15.61</v>
      </c>
      <c r="C82">
        <f>'MSCI EM_Monthly'!B94</f>
        <v>623.83724900000004</v>
      </c>
      <c r="D82">
        <f>(EMF_Fund_Monthly!B94-EMF_Fund_Monthly!B93)/EMF_Fund_Monthly!B93</f>
        <v>5.401755570560425E-2</v>
      </c>
      <c r="E82">
        <f>('MSCI EM_Monthly'!B94-'MSCI EM_Monthly'!B93)/'MSCI EM_Monthly'!B93</f>
        <v>6.6775057286273309E-2</v>
      </c>
      <c r="F82">
        <f>(1+'Risk-free rate'!B94/100)^(1/12)-1</f>
        <v>3.8507230235700352E-3</v>
      </c>
      <c r="G82">
        <f t="shared" si="8"/>
        <v>5.0166832682034215E-2</v>
      </c>
      <c r="H82">
        <f t="shared" si="9"/>
        <v>6.2924334262703274E-2</v>
      </c>
      <c r="I82">
        <f t="shared" si="6"/>
        <v>-3.5457036314498369E-2</v>
      </c>
      <c r="J82">
        <f t="shared" si="7"/>
        <v>0.83656607279448569</v>
      </c>
    </row>
    <row r="83" spans="1:10" x14ac:dyDescent="0.2">
      <c r="A83" t="str">
        <f>'MSCI EM_Monthly'!A95</f>
        <v>2024-10-31</v>
      </c>
      <c r="B83">
        <f>EMF_Fund_Monthly!B95</f>
        <v>15.13</v>
      </c>
      <c r="C83">
        <f>'MSCI EM_Monthly'!B95</f>
        <v>596.09319000000005</v>
      </c>
      <c r="D83">
        <f>(EMF_Fund_Monthly!B95-EMF_Fund_Monthly!B94)/EMF_Fund_Monthly!B94</f>
        <v>-3.0749519538757122E-2</v>
      </c>
      <c r="E83">
        <f>('MSCI EM_Monthly'!B95-'MSCI EM_Monthly'!B94)/'MSCI EM_Monthly'!B94</f>
        <v>-4.447323247284965E-2</v>
      </c>
      <c r="F83">
        <f>(1+'Risk-free rate'!B95/100)^(1/12)-1</f>
        <v>3.6828128357737633E-3</v>
      </c>
      <c r="G83">
        <f t="shared" si="8"/>
        <v>-3.4432332374530888E-2</v>
      </c>
      <c r="H83">
        <f t="shared" si="9"/>
        <v>-4.8156045308623413E-2</v>
      </c>
      <c r="I83">
        <f t="shared" si="6"/>
        <v>-2.1905228106745112E-2</v>
      </c>
      <c r="J83">
        <f t="shared" si="7"/>
        <v>0.80527683718724641</v>
      </c>
    </row>
    <row r="84" spans="1:10" x14ac:dyDescent="0.2">
      <c r="A84" t="str">
        <f>'MSCI EM_Monthly'!A96</f>
        <v>2024-11-29</v>
      </c>
      <c r="B84">
        <f>EMF_Fund_Monthly!B96</f>
        <v>14.88</v>
      </c>
      <c r="C84">
        <f>'MSCI EM_Monthly'!B96</f>
        <v>574.67542900000001</v>
      </c>
      <c r="D84">
        <f>(EMF_Fund_Monthly!B96-EMF_Fund_Monthly!B95)/EMF_Fund_Monthly!B95</f>
        <v>-1.6523463317911432E-2</v>
      </c>
      <c r="E84">
        <f>('MSCI EM_Monthly'!B96-'MSCI EM_Monthly'!B95)/'MSCI EM_Monthly'!B95</f>
        <v>-3.5930222588182965E-2</v>
      </c>
      <c r="F84">
        <f>(1+'Risk-free rate'!B96/100)^(1/12)-1</f>
        <v>3.6107566318024364E-3</v>
      </c>
      <c r="G84">
        <f t="shared" si="8"/>
        <v>-2.0134219949713868E-2</v>
      </c>
      <c r="H84">
        <f t="shared" si="9"/>
        <v>-3.9540979219985402E-2</v>
      </c>
      <c r="I84">
        <f t="shared" si="6"/>
        <v>-1.2378399290200792E-2</v>
      </c>
      <c r="J84">
        <f t="shared" si="7"/>
        <v>0.71620314181025391</v>
      </c>
    </row>
    <row r="85" spans="1:10" x14ac:dyDescent="0.2">
      <c r="A85" t="str">
        <f>'MSCI EM_Monthly'!A97</f>
        <v>2024-12-31</v>
      </c>
      <c r="B85">
        <f>EMF_Fund_Monthly!B97</f>
        <v>14.08</v>
      </c>
      <c r="C85">
        <f>'MSCI EM_Monthly'!B97</f>
        <v>573.88626599999998</v>
      </c>
      <c r="D85">
        <f>(EMF_Fund_Monthly!B97-EMF_Fund_Monthly!B96)/EMF_Fund_Monthly!B96</f>
        <v>-5.3763440860215096E-2</v>
      </c>
      <c r="E85">
        <f>('MSCI EM_Monthly'!B97-'MSCI EM_Monthly'!B96)/'MSCI EM_Monthly'!B96</f>
        <v>-1.3732325416683693E-3</v>
      </c>
      <c r="F85">
        <f>(1+'Risk-free rate'!B97/100)^(1/12)-1</f>
        <v>3.4905363507502507E-3</v>
      </c>
      <c r="G85">
        <f t="shared" si="8"/>
        <v>-5.7253977210965347E-2</v>
      </c>
      <c r="H85">
        <f t="shared" si="9"/>
        <v>-4.86376889241862E-3</v>
      </c>
      <c r="I85">
        <f t="shared" si="6"/>
        <v>-2.7345501205769063E-2</v>
      </c>
      <c r="J85">
        <f t="shared" si="7"/>
        <v>0.83906663510419366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7FF9-DACC-482C-B049-C44A94B7635D}">
  <dimension ref="A1:Q97"/>
  <sheetViews>
    <sheetView tabSelected="1" workbookViewId="0">
      <selection activeCell="L11" sqref="L11"/>
    </sheetView>
  </sheetViews>
  <sheetFormatPr baseColWidth="10" defaultRowHeight="15" x14ac:dyDescent="0.2"/>
  <cols>
    <col min="2" max="2" width="12" bestFit="1" customWidth="1"/>
    <col min="3" max="3" width="14.33203125" bestFit="1" customWidth="1"/>
    <col min="4" max="4" width="14.33203125" customWidth="1"/>
    <col min="5" max="5" width="12" bestFit="1" customWidth="1"/>
    <col min="7" max="8" width="12.6640625" bestFit="1" customWidth="1"/>
    <col min="9" max="9" width="12" bestFit="1" customWidth="1"/>
    <col min="12" max="13" width="12" bestFit="1" customWidth="1"/>
    <col min="14" max="14" width="14.83203125" bestFit="1" customWidth="1"/>
    <col min="15" max="16" width="12.6640625" bestFit="1" customWidth="1"/>
    <col min="17" max="17" width="12" bestFit="1" customWidth="1"/>
  </cols>
  <sheetData>
    <row r="1" spans="1:17" ht="48" x14ac:dyDescent="0.2">
      <c r="A1" s="1" t="s">
        <v>0</v>
      </c>
      <c r="B1" s="2" t="s">
        <v>79</v>
      </c>
      <c r="C1" s="2" t="s">
        <v>80</v>
      </c>
      <c r="D1" s="2" t="s">
        <v>85</v>
      </c>
      <c r="E1" s="2" t="s">
        <v>84</v>
      </c>
      <c r="F1" s="2" t="s">
        <v>86</v>
      </c>
      <c r="G1" s="2" t="s">
        <v>88</v>
      </c>
      <c r="H1" s="2" t="s">
        <v>87</v>
      </c>
      <c r="I1" s="2" t="s">
        <v>89</v>
      </c>
      <c r="L1" s="2" t="s">
        <v>85</v>
      </c>
      <c r="M1" s="2" t="s">
        <v>84</v>
      </c>
      <c r="N1" s="2" t="s">
        <v>86</v>
      </c>
      <c r="O1" s="2" t="s">
        <v>88</v>
      </c>
      <c r="P1" s="2" t="s">
        <v>87</v>
      </c>
      <c r="Q1" s="2" t="s">
        <v>89</v>
      </c>
    </row>
    <row r="2" spans="1:17" x14ac:dyDescent="0.2">
      <c r="A2" s="10" t="str">
        <f>'MSCI EM_Monthly'!A2</f>
        <v>2017-01-31</v>
      </c>
      <c r="B2" s="10"/>
      <c r="C2" s="10"/>
      <c r="K2" t="s">
        <v>116</v>
      </c>
      <c r="L2" cm="1">
        <f t="array" ref="L2">GEOMEAN(IF(C14:C38 &gt; 0, 1 + B14:B38)) - 1</f>
        <v>3.6702853875111741E-2</v>
      </c>
      <c r="M2" cm="1">
        <f t="array" ref="M2">GEOMEAN(IF(C14:C38 &gt; 0, 1 + C14:C38)) - 1</f>
        <v>4.1780550209234546E-2</v>
      </c>
      <c r="N2" s="9">
        <f>(L2/M2)*100</f>
        <v>87.846746132604764</v>
      </c>
      <c r="O2" cm="1">
        <f t="array" ref="O2">GEOMEAN(IF(C14:C38&lt;0,1+B14:B38))-1</f>
        <v>-3.4934953748141595E-2</v>
      </c>
      <c r="P2" cm="1">
        <f t="array" ref="P2">GEOMEAN(IF(C14:C38&lt;0,1+C14:C38))-1</f>
        <v>-3.4142994605893429E-2</v>
      </c>
      <c r="Q2">
        <f>(O2/P2)*100</f>
        <v>102.31953626619344</v>
      </c>
    </row>
    <row r="3" spans="1:17" x14ac:dyDescent="0.2">
      <c r="A3" s="10" t="str">
        <f>'MSCI EM_Monthly'!A3</f>
        <v>2017-02-28</v>
      </c>
      <c r="B3" s="10">
        <f>(EMF_Fund_Monthly!B3-EMF_Fund_Monthly!B2)/EMF_Fund_Monthly!B2</f>
        <v>3.0549898167006061E-2</v>
      </c>
      <c r="C3" s="10">
        <f>('MSCI EM_Monthly'!B3-'MSCI EM_Monthly'!B2)/'MSCI EM_Monthly'!B2</f>
        <v>3.061188930656538E-2</v>
      </c>
      <c r="K3" t="s">
        <v>117</v>
      </c>
      <c r="L3" cm="1">
        <f t="array" ref="L3">GEOMEAN(IF(C26:C61 &gt; 0, 1 + B26:B61)) - 1</f>
        <v>3.3671606603674187E-2</v>
      </c>
      <c r="M3" cm="1">
        <f t="array" ref="M3">GEOMEAN(IF(C26:C61 &gt; 0, 1 + C26:C61)) - 1</f>
        <v>3.8334238818186872E-2</v>
      </c>
      <c r="N3" s="9">
        <f>(L3/M3)*100</f>
        <v>87.836898923109445</v>
      </c>
      <c r="O3" cm="1">
        <f t="array" ref="O3">GEOMEAN(IF(C26:C61&lt;0,1+B26:B61))-1</f>
        <v>-4.9822458226454924E-2</v>
      </c>
      <c r="P3" cm="1">
        <f t="array" ref="P3">GEOMEAN(IF(C26:C61&lt;0,1+C26:C61))-1</f>
        <v>-4.8087335561525557E-2</v>
      </c>
      <c r="Q3">
        <f>(O3/P3)*100</f>
        <v>103.60827366429848</v>
      </c>
    </row>
    <row r="4" spans="1:17" x14ac:dyDescent="0.2">
      <c r="A4" s="10" t="str">
        <f>'MSCI EM_Monthly'!A4</f>
        <v>2017-03-31</v>
      </c>
      <c r="B4" s="10">
        <f>(EMF_Fund_Monthly!B4-EMF_Fund_Monthly!B3)/EMF_Fund_Monthly!B3</f>
        <v>3.0303030303030359E-2</v>
      </c>
      <c r="C4" s="10">
        <f>('MSCI EM_Monthly'!B4-'MSCI EM_Monthly'!B3)/'MSCI EM_Monthly'!B3</f>
        <v>2.524340417898335E-2</v>
      </c>
      <c r="K4" t="s">
        <v>118</v>
      </c>
      <c r="L4" cm="1">
        <f t="array" ref="L4">GEOMEAN(IF(C62:C97 &gt; 0, 1 + B62:B97)) - 1</f>
        <v>4.1777523040193776E-2</v>
      </c>
      <c r="M4" cm="1">
        <f t="array" ref="M4">GEOMEAN(IF(C62:C97 &gt; 0, 1 + C62:C97)) - 1</f>
        <v>4.0140759152522909E-2</v>
      </c>
      <c r="N4" s="9">
        <f>(L4/M4)*100</f>
        <v>104.07756086887059</v>
      </c>
      <c r="O4" cm="1">
        <f t="array" ref="O4">GEOMEAN(IF(C62:C97&lt;0,1+B62:B97))-1</f>
        <v>-4.76955437355564E-2</v>
      </c>
      <c r="P4" cm="1">
        <f t="array" ref="P4">GEOMEAN(IF(C62:C97&lt;0,1+C62:C97))-1</f>
        <v>-3.7552204743191653E-2</v>
      </c>
      <c r="Q4">
        <f>(O4/P4)*100</f>
        <v>127.01130083235333</v>
      </c>
    </row>
    <row r="5" spans="1:17" x14ac:dyDescent="0.2">
      <c r="A5" s="10" t="str">
        <f>'MSCI EM_Monthly'!A5</f>
        <v>2017-04-28</v>
      </c>
      <c r="B5" s="10">
        <f>(EMF_Fund_Monthly!B5-EMF_Fund_Monthly!B4)/EMF_Fund_Monthly!B4</f>
        <v>3.0690537084399002E-2</v>
      </c>
      <c r="C5" s="10">
        <f>('MSCI EM_Monthly'!B5-'MSCI EM_Monthly'!B4)/'MSCI EM_Monthly'!B4</f>
        <v>2.1893385335673633E-2</v>
      </c>
    </row>
    <row r="6" spans="1:17" x14ac:dyDescent="0.2">
      <c r="A6" s="10" t="str">
        <f>'MSCI EM_Monthly'!A6</f>
        <v>2017-05-31</v>
      </c>
      <c r="B6" s="10">
        <f>(EMF_Fund_Monthly!B6-EMF_Fund_Monthly!B5)/EMF_Fund_Monthly!B5</f>
        <v>3.1637717121587965E-2</v>
      </c>
      <c r="C6" s="10">
        <f>('MSCI EM_Monthly'!B6-'MSCI EM_Monthly'!B5)/'MSCI EM_Monthly'!B5</f>
        <v>2.9564370646654139E-2</v>
      </c>
      <c r="L6" t="s">
        <v>119</v>
      </c>
    </row>
    <row r="7" spans="1:17" x14ac:dyDescent="0.2">
      <c r="A7" s="10" t="str">
        <f>'MSCI EM_Monthly'!A7</f>
        <v>2017-06-30</v>
      </c>
      <c r="B7" s="10">
        <f>(EMF_Fund_Monthly!B7-EMF_Fund_Monthly!B6)/EMF_Fund_Monthly!B6</f>
        <v>3.6079374624174549E-3</v>
      </c>
      <c r="C7" s="10">
        <f>('MSCI EM_Monthly'!B7-'MSCI EM_Monthly'!B6)/'MSCI EM_Monthly'!B6</f>
        <v>1.0066570302927484E-2</v>
      </c>
    </row>
    <row r="8" spans="1:17" x14ac:dyDescent="0.2">
      <c r="A8" s="10" t="str">
        <f>'MSCI EM_Monthly'!A8</f>
        <v>2017-07-31</v>
      </c>
      <c r="B8" s="10">
        <f>(EMF_Fund_Monthly!B8-EMF_Fund_Monthly!B7)/EMF_Fund_Monthly!B7</f>
        <v>7.1899340922708166E-2</v>
      </c>
      <c r="C8" s="10">
        <f>('MSCI EM_Monthly'!B8-'MSCI EM_Monthly'!B7)/'MSCI EM_Monthly'!B7</f>
        <v>5.9609516050477943E-2</v>
      </c>
    </row>
    <row r="9" spans="1:17" x14ac:dyDescent="0.2">
      <c r="A9" s="10" t="str">
        <f>'MSCI EM_Monthly'!A9</f>
        <v>2017-08-31</v>
      </c>
      <c r="B9" s="10">
        <f>(EMF_Fund_Monthly!B9-EMF_Fund_Monthly!B8)/EMF_Fund_Monthly!B8</f>
        <v>2.3476802683063059E-2</v>
      </c>
      <c r="C9" s="10">
        <f>('MSCI EM_Monthly'!B9-'MSCI EM_Monthly'!B8)/'MSCI EM_Monthly'!B8</f>
        <v>2.2305392890674475E-2</v>
      </c>
    </row>
    <row r="10" spans="1:17" x14ac:dyDescent="0.2">
      <c r="A10" s="10" t="str">
        <f>'MSCI EM_Monthly'!A10</f>
        <v>2017-09-29</v>
      </c>
      <c r="B10" s="10">
        <f>(EMF_Fund_Monthly!B10-EMF_Fund_Monthly!B9)/EMF_Fund_Monthly!B9</f>
        <v>4.9153468050245697E-3</v>
      </c>
      <c r="C10" s="10">
        <f>('MSCI EM_Monthly'!B10-'MSCI EM_Monthly'!B9)/'MSCI EM_Monthly'!B9</f>
        <v>-3.9762172500727956E-3</v>
      </c>
    </row>
    <row r="11" spans="1:17" x14ac:dyDescent="0.2">
      <c r="A11" s="10" t="str">
        <f>'MSCI EM_Monthly'!A11</f>
        <v>2017-10-31</v>
      </c>
      <c r="B11" s="10">
        <f>(EMF_Fund_Monthly!B11-EMF_Fund_Monthly!B10)/EMF_Fund_Monthly!B10</f>
        <v>3.804347826086972E-2</v>
      </c>
      <c r="C11" s="10">
        <f>('MSCI EM_Monthly'!B11-'MSCI EM_Monthly'!B10)/'MSCI EM_Monthly'!B10</f>
        <v>3.5055780748533112E-2</v>
      </c>
    </row>
    <row r="12" spans="1:17" x14ac:dyDescent="0.2">
      <c r="A12" s="10" t="str">
        <f>'MSCI EM_Monthly'!A12</f>
        <v>2017-11-30</v>
      </c>
      <c r="B12" s="10">
        <f>(EMF_Fund_Monthly!B12-EMF_Fund_Monthly!B11)/EMF_Fund_Monthly!B11</f>
        <v>2.6178010471202698E-3</v>
      </c>
      <c r="C12" s="10">
        <f>('MSCI EM_Monthly'!B12-'MSCI EM_Monthly'!B11)/'MSCI EM_Monthly'!B11</f>
        <v>2.0073818874049255E-3</v>
      </c>
    </row>
    <row r="13" spans="1:17" x14ac:dyDescent="0.2">
      <c r="A13" s="10" t="str">
        <f>'MSCI EM_Monthly'!A13</f>
        <v>2017-12-29</v>
      </c>
      <c r="B13" s="10">
        <f>(EMF_Fund_Monthly!B13-EMF_Fund_Monthly!B12)/EMF_Fund_Monthly!B12</f>
        <v>-3.5509138381201032E-2</v>
      </c>
      <c r="C13" s="10">
        <f>('MSCI EM_Monthly'!B13-'MSCI EM_Monthly'!B12)/'MSCI EM_Monthly'!B12</f>
        <v>3.5897150985954016E-2</v>
      </c>
    </row>
    <row r="14" spans="1:17" x14ac:dyDescent="0.2">
      <c r="A14" t="str">
        <f>'MSCI EM_Monthly'!A14</f>
        <v>2018-01-31</v>
      </c>
      <c r="B14">
        <f>(EMF_Fund_Monthly!B14-EMF_Fund_Monthly!B13)/EMF_Fund_Monthly!B13</f>
        <v>6.4970221981591927E-2</v>
      </c>
      <c r="C14">
        <f>('MSCI EM_Monthly'!B14-'MSCI EM_Monthly'!B13)/'MSCI EM_Monthly'!B13</f>
        <v>8.3345776209336267E-2</v>
      </c>
    </row>
    <row r="15" spans="1:17" x14ac:dyDescent="0.2">
      <c r="A15" t="str">
        <f>'MSCI EM_Monthly'!A15</f>
        <v>2018-02-28</v>
      </c>
      <c r="B15">
        <f>(EMF_Fund_Monthly!B15-EMF_Fund_Monthly!B14)/EMF_Fund_Monthly!B14</f>
        <v>-4.2196237925775384E-2</v>
      </c>
      <c r="C15">
        <f>('MSCI EM_Monthly'!B15-'MSCI EM_Monthly'!B14)/'MSCI EM_Monthly'!B14</f>
        <v>-4.6119314006560809E-2</v>
      </c>
    </row>
    <row r="16" spans="1:17" x14ac:dyDescent="0.2">
      <c r="A16" t="str">
        <f>'MSCI EM_Monthly'!A16</f>
        <v>2018-03-30</v>
      </c>
      <c r="B16">
        <f>(EMF_Fund_Monthly!B16-EMF_Fund_Monthly!B15)/EMF_Fund_Monthly!B15</f>
        <v>-2.6008492569002041E-2</v>
      </c>
      <c r="C16">
        <f>('MSCI EM_Monthly'!B16-'MSCI EM_Monthly'!B15)/'MSCI EM_Monthly'!B15</f>
        <v>-1.8593380612332105E-2</v>
      </c>
    </row>
    <row r="17" spans="1:3" x14ac:dyDescent="0.2">
      <c r="A17" t="str">
        <f>'MSCI EM_Monthly'!A17</f>
        <v>2018-04-30</v>
      </c>
      <c r="B17">
        <f>(EMF_Fund_Monthly!B17-EMF_Fund_Monthly!B16)/EMF_Fund_Monthly!B16</f>
        <v>-2.3978201634877454E-2</v>
      </c>
      <c r="C17">
        <f>('MSCI EM_Monthly'!B17-'MSCI EM_Monthly'!B16)/'MSCI EM_Monthly'!B16</f>
        <v>-4.4242843956698629E-3</v>
      </c>
    </row>
    <row r="18" spans="1:3" x14ac:dyDescent="0.2">
      <c r="A18" t="str">
        <f>'MSCI EM_Monthly'!A18</f>
        <v>2018-05-31</v>
      </c>
      <c r="B18">
        <f>(EMF_Fund_Monthly!B18-EMF_Fund_Monthly!B17)/EMF_Fund_Monthly!B17</f>
        <v>-2.7917364600781685E-2</v>
      </c>
      <c r="C18">
        <f>('MSCI EM_Monthly'!B18-'MSCI EM_Monthly'!B17)/'MSCI EM_Monthly'!B17</f>
        <v>-3.5434041320275722E-2</v>
      </c>
    </row>
    <row r="19" spans="1:3" x14ac:dyDescent="0.2">
      <c r="A19" t="str">
        <f>'MSCI EM_Monthly'!A19</f>
        <v>2018-06-29</v>
      </c>
      <c r="B19">
        <f>(EMF_Fund_Monthly!B19-EMF_Fund_Monthly!B18)/EMF_Fund_Monthly!B18</f>
        <v>-2.929350947731198E-2</v>
      </c>
      <c r="C19">
        <f>('MSCI EM_Monthly'!B19-'MSCI EM_Monthly'!B18)/'MSCI EM_Monthly'!B18</f>
        <v>-4.1546975334577248E-2</v>
      </c>
    </row>
    <row r="20" spans="1:3" x14ac:dyDescent="0.2">
      <c r="A20" t="str">
        <f>'MSCI EM_Monthly'!A20</f>
        <v>2018-07-31</v>
      </c>
      <c r="B20">
        <f>(EMF_Fund_Monthly!B20-EMF_Fund_Monthly!B19)/EMF_Fund_Monthly!B19</f>
        <v>1.4792899408284025E-2</v>
      </c>
      <c r="C20">
        <f>('MSCI EM_Monthly'!B20-'MSCI EM_Monthly'!B19)/'MSCI EM_Monthly'!B19</f>
        <v>2.1967262434943628E-2</v>
      </c>
    </row>
    <row r="21" spans="1:3" x14ac:dyDescent="0.2">
      <c r="A21" t="str">
        <f>'MSCI EM_Monthly'!A21</f>
        <v>2018-08-31</v>
      </c>
      <c r="B21">
        <f>(EMF_Fund_Monthly!B21-EMF_Fund_Monthly!B20)/EMF_Fund_Monthly!B20</f>
        <v>-1.457725947521866E-2</v>
      </c>
      <c r="C21">
        <f>('MSCI EM_Monthly'!B21-'MSCI EM_Monthly'!B20)/'MSCI EM_Monthly'!B20</f>
        <v>-2.7039164102136411E-2</v>
      </c>
    </row>
    <row r="22" spans="1:3" x14ac:dyDescent="0.2">
      <c r="A22" t="str">
        <f>'MSCI EM_Monthly'!A22</f>
        <v>2018-09-28</v>
      </c>
      <c r="B22">
        <f>(EMF_Fund_Monthly!B22-EMF_Fund_Monthly!B21)/EMF_Fund_Monthly!B21</f>
        <v>3.5502958579883004E-3</v>
      </c>
      <c r="C22">
        <f>('MSCI EM_Monthly'!B22-'MSCI EM_Monthly'!B21)/'MSCI EM_Monthly'!B21</f>
        <v>-5.3073379145884602E-3</v>
      </c>
    </row>
    <row r="23" spans="1:3" x14ac:dyDescent="0.2">
      <c r="A23" t="str">
        <f>'MSCI EM_Monthly'!A23</f>
        <v>2018-10-31</v>
      </c>
      <c r="B23">
        <f>(EMF_Fund_Monthly!B23-EMF_Fund_Monthly!B22)/EMF_Fund_Monthly!B22</f>
        <v>-8.6674528301886822E-2</v>
      </c>
      <c r="C23">
        <f>('MSCI EM_Monthly'!B23-'MSCI EM_Monthly'!B22)/'MSCI EM_Monthly'!B22</f>
        <v>-8.7082587353141783E-2</v>
      </c>
    </row>
    <row r="24" spans="1:3" x14ac:dyDescent="0.2">
      <c r="A24" t="str">
        <f>'MSCI EM_Monthly'!A24</f>
        <v>2018-11-30</v>
      </c>
      <c r="B24">
        <f>(EMF_Fund_Monthly!B24-EMF_Fund_Monthly!B23)/EMF_Fund_Monthly!B23</f>
        <v>3.6797934151065109E-2</v>
      </c>
      <c r="C24">
        <f>('MSCI EM_Monthly'!B24-'MSCI EM_Monthly'!B23)/'MSCI EM_Monthly'!B23</f>
        <v>4.1209726970826657E-2</v>
      </c>
    </row>
    <row r="25" spans="1:3" x14ac:dyDescent="0.2">
      <c r="A25" t="str">
        <f>'MSCI EM_Monthly'!A25</f>
        <v>2018-12-31</v>
      </c>
      <c r="B25">
        <f>(EMF_Fund_Monthly!B25-EMF_Fund_Monthly!B24)/EMF_Fund_Monthly!B24</f>
        <v>-7.7210460772104514E-2</v>
      </c>
      <c r="C25">
        <f>('MSCI EM_Monthly'!B25-'MSCI EM_Monthly'!B24)/'MSCI EM_Monthly'!B24</f>
        <v>-2.6491276571915492E-2</v>
      </c>
    </row>
    <row r="26" spans="1:3" x14ac:dyDescent="0.2">
      <c r="A26" t="str">
        <f>'MSCI EM_Monthly'!A26</f>
        <v>2019-01-31</v>
      </c>
      <c r="B26">
        <f>(EMF_Fund_Monthly!B26-EMF_Fund_Monthly!B25)/EMF_Fund_Monthly!B25</f>
        <v>0.11066126855600543</v>
      </c>
      <c r="C26">
        <f>('MSCI EM_Monthly'!B26-'MSCI EM_Monthly'!B25)/'MSCI EM_Monthly'!B25</f>
        <v>8.7557549171773427E-2</v>
      </c>
    </row>
    <row r="27" spans="1:3" x14ac:dyDescent="0.2">
      <c r="A27" t="str">
        <f>'MSCI EM_Monthly'!A27</f>
        <v>2019-02-28</v>
      </c>
      <c r="B27">
        <f>(EMF_Fund_Monthly!B27-EMF_Fund_Monthly!B26)/EMF_Fund_Monthly!B26</f>
        <v>-3.6452004860268693E-3</v>
      </c>
      <c r="C27">
        <f>('MSCI EM_Monthly'!B27-'MSCI EM_Monthly'!B26)/'MSCI EM_Monthly'!B26</f>
        <v>2.2482785960707776E-3</v>
      </c>
    </row>
    <row r="28" spans="1:3" x14ac:dyDescent="0.2">
      <c r="A28" t="str">
        <f>'MSCI EM_Monthly'!A28</f>
        <v>2019-03-29</v>
      </c>
      <c r="B28">
        <f>(EMF_Fund_Monthly!B28-EMF_Fund_Monthly!B27)/EMF_Fund_Monthly!B27</f>
        <v>1.7073170731707388E-2</v>
      </c>
      <c r="C28">
        <f>('MSCI EM_Monthly'!B28-'MSCI EM_Monthly'!B27)/'MSCI EM_Monthly'!B27</f>
        <v>8.3928072128232733E-3</v>
      </c>
    </row>
    <row r="29" spans="1:3" x14ac:dyDescent="0.2">
      <c r="A29" t="str">
        <f>'MSCI EM_Monthly'!A29</f>
        <v>2019-04-30</v>
      </c>
      <c r="B29">
        <f>(EMF_Fund_Monthly!B29-EMF_Fund_Monthly!B28)/EMF_Fund_Monthly!B28</f>
        <v>2.8776978417266213E-2</v>
      </c>
      <c r="C29">
        <f>('MSCI EM_Monthly'!B29-'MSCI EM_Monthly'!B28)/'MSCI EM_Monthly'!B28</f>
        <v>2.1051840737710655E-2</v>
      </c>
    </row>
    <row r="30" spans="1:3" x14ac:dyDescent="0.2">
      <c r="A30" t="str">
        <f>'MSCI EM_Monthly'!A30</f>
        <v>2019-05-31</v>
      </c>
      <c r="B30">
        <f>(EMF_Fund_Monthly!B30-EMF_Fund_Monthly!B29)/EMF_Fund_Monthly!B29</f>
        <v>-7.1678321678321708E-2</v>
      </c>
      <c r="C30">
        <f>('MSCI EM_Monthly'!B30-'MSCI EM_Monthly'!B29)/'MSCI EM_Monthly'!B29</f>
        <v>-7.2561396071925396E-2</v>
      </c>
    </row>
    <row r="31" spans="1:3" x14ac:dyDescent="0.2">
      <c r="A31" t="str">
        <f>'MSCI EM_Monthly'!A31</f>
        <v>2019-06-28</v>
      </c>
      <c r="B31">
        <f>(EMF_Fund_Monthly!B31-EMF_Fund_Monthly!B30)/EMF_Fund_Monthly!B30</f>
        <v>6.3402385436283834E-2</v>
      </c>
      <c r="C31">
        <f>('MSCI EM_Monthly'!B31-'MSCI EM_Monthly'!B30)/'MSCI EM_Monthly'!B30</f>
        <v>6.2411145609087011E-2</v>
      </c>
    </row>
    <row r="32" spans="1:3" x14ac:dyDescent="0.2">
      <c r="A32" t="str">
        <f>'MSCI EM_Monthly'!A32</f>
        <v>2019-07-31</v>
      </c>
      <c r="B32">
        <f>(EMF_Fund_Monthly!B32-EMF_Fund_Monthly!B31)/EMF_Fund_Monthly!B31</f>
        <v>-5.3128689492325772E-3</v>
      </c>
      <c r="C32">
        <f>('MSCI EM_Monthly'!B32-'MSCI EM_Monthly'!B31)/'MSCI EM_Monthly'!B31</f>
        <v>-1.2227965978041226E-2</v>
      </c>
    </row>
    <row r="33" spans="1:9" x14ac:dyDescent="0.2">
      <c r="A33" t="str">
        <f>'MSCI EM_Monthly'!A33</f>
        <v>2019-08-30</v>
      </c>
      <c r="B33">
        <f>(EMF_Fund_Monthly!B33-EMF_Fund_Monthly!B32)/EMF_Fund_Monthly!B32</f>
        <v>-4.4510385756676554E-2</v>
      </c>
      <c r="C33">
        <f>('MSCI EM_Monthly'!B33-'MSCI EM_Monthly'!B32)/'MSCI EM_Monthly'!B32</f>
        <v>-4.8756748006646047E-2</v>
      </c>
    </row>
    <row r="34" spans="1:9" x14ac:dyDescent="0.2">
      <c r="A34" t="str">
        <f>'MSCI EM_Monthly'!A34</f>
        <v>2019-09-30</v>
      </c>
      <c r="B34">
        <f>(EMF_Fund_Monthly!B34-EMF_Fund_Monthly!B33)/EMF_Fund_Monthly!B33</f>
        <v>2.670807453416147E-2</v>
      </c>
      <c r="C34">
        <f>('MSCI EM_Monthly'!B34-'MSCI EM_Monthly'!B33)/'MSCI EM_Monthly'!B33</f>
        <v>1.9089784700423273E-2</v>
      </c>
    </row>
    <row r="35" spans="1:9" x14ac:dyDescent="0.2">
      <c r="A35" t="str">
        <f>'MSCI EM_Monthly'!A35</f>
        <v>2019-10-31</v>
      </c>
      <c r="B35">
        <f>(EMF_Fund_Monthly!B35-EMF_Fund_Monthly!B34)/EMF_Fund_Monthly!B34</f>
        <v>3.8112522686025344E-2</v>
      </c>
      <c r="C35">
        <f>('MSCI EM_Monthly'!B35-'MSCI EM_Monthly'!B34)/'MSCI EM_Monthly'!B34</f>
        <v>4.2166839176228148E-2</v>
      </c>
    </row>
    <row r="36" spans="1:9" x14ac:dyDescent="0.2">
      <c r="A36" t="str">
        <f>'MSCI EM_Monthly'!A36</f>
        <v>2019-11-29</v>
      </c>
      <c r="B36">
        <f>(EMF_Fund_Monthly!B36-EMF_Fund_Monthly!B35)/EMF_Fund_Monthly!B35</f>
        <v>1.1072261072261147E-2</v>
      </c>
      <c r="C36">
        <f>('MSCI EM_Monthly'!B36-'MSCI EM_Monthly'!B35)/'MSCI EM_Monthly'!B35</f>
        <v>-1.3759545066898055E-3</v>
      </c>
    </row>
    <row r="37" spans="1:9" x14ac:dyDescent="0.2">
      <c r="A37" t="str">
        <f>'MSCI EM_Monthly'!A37</f>
        <v>2019-12-31</v>
      </c>
      <c r="B37">
        <f>(EMF_Fund_Monthly!B37-EMF_Fund_Monthly!B36)/EMF_Fund_Monthly!B36</f>
        <v>1.0951008645533009E-2</v>
      </c>
      <c r="C37">
        <f>('MSCI EM_Monthly'!B37-'MSCI EM_Monthly'!B36)/'MSCI EM_Monthly'!B36</f>
        <v>7.4605317439490171E-2</v>
      </c>
      <c r="D37" cm="1">
        <f t="array" ref="D37">GEOMEAN(IF(C2:C37&gt;0,1+B2:B37))-1</f>
        <v>2.9858860276562815E-2</v>
      </c>
      <c r="E37" cm="1">
        <f t="array" ref="E37">GEOMEAN(IF(C2:C37&gt;0,1+C2:C37))-1</f>
        <v>3.4773099887325687E-2</v>
      </c>
      <c r="F37">
        <f>(D37/E37)*100</f>
        <v>85.867697655123223</v>
      </c>
      <c r="G37" cm="1">
        <f t="array" ref="G37">GEOMEAN(IF(C2:C37&lt;0,1+B2:B37))-1</f>
        <v>-3.1165404434607913E-2</v>
      </c>
      <c r="H37" cm="1">
        <f t="array" ref="H37">GEOMEAN(IF(C2:C37&lt;0,1+C2:C37))-1</f>
        <v>-3.1119833705706257E-2</v>
      </c>
      <c r="I37">
        <f>(G37/H37)*100</f>
        <v>100.14643628668651</v>
      </c>
    </row>
    <row r="38" spans="1:9" x14ac:dyDescent="0.2">
      <c r="A38" t="str">
        <f>'MSCI EM_Monthly'!A38</f>
        <v>2020-01-31</v>
      </c>
      <c r="B38">
        <f>(EMF_Fund_Monthly!B38-EMF_Fund_Monthly!B37)/EMF_Fund_Monthly!B37</f>
        <v>-4.8460661345495891E-2</v>
      </c>
      <c r="C38">
        <f>('MSCI EM_Monthly'!B38-'MSCI EM_Monthly'!B37)/'MSCI EM_Monthly'!B37</f>
        <v>-4.6614666137670499E-2</v>
      </c>
      <c r="D38" cm="1">
        <f t="array" ref="D38">GEOMEAN(IF(C3:C38&gt;0,1+B3:B38))-1</f>
        <v>2.9858860276562815E-2</v>
      </c>
      <c r="E38" cm="1">
        <f t="array" ref="E38">GEOMEAN(IF(C3:C38&gt;0,1+C3:C38))-1</f>
        <v>3.4773099887325687E-2</v>
      </c>
      <c r="F38">
        <f>(D38/E38)*100</f>
        <v>85.867697655123223</v>
      </c>
      <c r="G38" cm="1">
        <f t="array" ref="G38">GEOMEAN(IF(C3:C38&lt;0,1+B3:B38))-1</f>
        <v>-3.2328139033204639E-2</v>
      </c>
      <c r="H38" cm="1">
        <f t="array" ref="H38">GEOMEAN(IF(C3:C38&lt;0,1+C3:C38))-1</f>
        <v>-3.2160612309214076E-2</v>
      </c>
      <c r="I38">
        <f>(G38/H38)*100</f>
        <v>100.52090651253729</v>
      </c>
    </row>
    <row r="39" spans="1:9" x14ac:dyDescent="0.2">
      <c r="A39" t="str">
        <f>'MSCI EM_Monthly'!A39</f>
        <v>2020-02-28</v>
      </c>
      <c r="B39">
        <f>(EMF_Fund_Monthly!B39-EMF_Fund_Monthly!B38)/EMF_Fund_Monthly!B38</f>
        <v>-4.553624925104862E-2</v>
      </c>
      <c r="C39">
        <f>('MSCI EM_Monthly'!B39-'MSCI EM_Monthly'!B38)/'MSCI EM_Monthly'!B38</f>
        <v>-5.2733149602380916E-2</v>
      </c>
      <c r="D39" cm="1">
        <f t="array" ref="D39">GEOMEAN(IF(C4:C39&gt;0,1+B4:B39))-1</f>
        <v>2.9824320548276884E-2</v>
      </c>
      <c r="E39" cm="1">
        <f t="array" ref="E39">GEOMEAN(IF(C4:C39&gt;0,1+C4:C39))-1</f>
        <v>3.498160088907265E-2</v>
      </c>
      <c r="F39">
        <f t="shared" ref="F39:F97" si="0">(D39/E39)*100</f>
        <v>85.257163166575467</v>
      </c>
      <c r="G39" cm="1">
        <f t="array" ref="G39">GEOMEAN(IF(C4:C39&lt;0,1+B4:B39))-1</f>
        <v>-3.3158974663045737E-2</v>
      </c>
      <c r="H39" cm="1">
        <f t="array" ref="H39">GEOMEAN(IF(C4:C39&lt;0,1+C4:C39))-1</f>
        <v>-3.3459385870382219E-2</v>
      </c>
      <c r="I39">
        <f t="shared" ref="I39:I97" si="1">(G39/H39)*100</f>
        <v>99.102161622152181</v>
      </c>
    </row>
    <row r="40" spans="1:9" x14ac:dyDescent="0.2">
      <c r="A40" t="str">
        <f>'MSCI EM_Monthly'!A40</f>
        <v>2020-03-31</v>
      </c>
      <c r="B40">
        <f>(EMF_Fund_Monthly!B40-EMF_Fund_Monthly!B39)/EMF_Fund_Monthly!B39</f>
        <v>-0.18330194601381042</v>
      </c>
      <c r="C40">
        <f>('MSCI EM_Monthly'!B40-'MSCI EM_Monthly'!B39)/'MSCI EM_Monthly'!B39</f>
        <v>-0.15402280937083562</v>
      </c>
      <c r="D40" cm="1">
        <f t="array" ref="D40">GEOMEAN(IF(C5:C40&gt;0,1+B5:B40))-1</f>
        <v>2.9799131460231276E-2</v>
      </c>
      <c r="E40" cm="1">
        <f t="array" ref="E40">GEOMEAN(IF(C5:C40&gt;0,1+C5:C40))-1</f>
        <v>3.5496692166116395E-2</v>
      </c>
      <c r="F40">
        <f t="shared" si="0"/>
        <v>83.949037619556663</v>
      </c>
      <c r="G40" cm="1">
        <f t="array" ref="G40">GEOMEAN(IF(C5:C40&lt;0,1+B5:B40))-1</f>
        <v>-4.2709641219783934E-2</v>
      </c>
      <c r="H40" cm="1">
        <f t="array" ref="H40">GEOMEAN(IF(C5:C40&lt;0,1+C5:C40))-1</f>
        <v>-4.1004668692124047E-2</v>
      </c>
      <c r="I40">
        <f t="shared" si="1"/>
        <v>104.15799610639793</v>
      </c>
    </row>
    <row r="41" spans="1:9" x14ac:dyDescent="0.2">
      <c r="A41" t="str">
        <f>'MSCI EM_Monthly'!A41</f>
        <v>2020-04-30</v>
      </c>
      <c r="B41">
        <f>(EMF_Fund_Monthly!B41-EMF_Fund_Monthly!B40)/EMF_Fund_Monthly!B40</f>
        <v>8.9162182936202927E-2</v>
      </c>
      <c r="C41">
        <f>('MSCI EM_Monthly'!B41-'MSCI EM_Monthly'!B40)/'MSCI EM_Monthly'!B40</f>
        <v>9.1573835190493724E-2</v>
      </c>
      <c r="D41" cm="1">
        <f t="array" ref="D41">GEOMEAN(IF(C6:C41&gt;0,1+B6:B41))-1</f>
        <v>3.279421894555834E-2</v>
      </c>
      <c r="E41" cm="1">
        <f t="array" ref="E41">GEOMEAN(IF(C6:C41&gt;0,1+C6:C41))-1</f>
        <v>3.9097932242071476E-2</v>
      </c>
      <c r="F41">
        <f t="shared" si="0"/>
        <v>83.877118468863671</v>
      </c>
      <c r="G41" cm="1">
        <f t="array" ref="G41">GEOMEAN(IF(C6:C41&lt;0,1+B6:B41))-1</f>
        <v>-4.2709641219783934E-2</v>
      </c>
      <c r="H41" cm="1">
        <f t="array" ref="H41">GEOMEAN(IF(C6:C41&lt;0,1+C6:C41))-1</f>
        <v>-4.1004668692124047E-2</v>
      </c>
      <c r="I41">
        <f t="shared" si="1"/>
        <v>104.15799610639793</v>
      </c>
    </row>
    <row r="42" spans="1:9" x14ac:dyDescent="0.2">
      <c r="A42" t="str">
        <f>'MSCI EM_Monthly'!A42</f>
        <v>2020-05-29</v>
      </c>
      <c r="B42">
        <f>(EMF_Fund_Monthly!B42-EMF_Fund_Monthly!B41)/EMF_Fund_Monthly!B41</f>
        <v>1.6231474947071306E-2</v>
      </c>
      <c r="C42">
        <f>('MSCI EM_Monthly'!B42-'MSCI EM_Monthly'!B41)/'MSCI EM_Monthly'!B41</f>
        <v>7.6807519045357948E-3</v>
      </c>
      <c r="D42" cm="1">
        <f t="array" ref="D42">GEOMEAN(IF(C7:C42&gt;0,1+B7:B42))-1</f>
        <v>3.1976656482907817E-2</v>
      </c>
      <c r="E42" cm="1">
        <f t="array" ref="E42">GEOMEAN(IF(C7:C42&gt;0,1+C7:C42))-1</f>
        <v>3.7923629930883829E-2</v>
      </c>
      <c r="F42">
        <f t="shared" si="0"/>
        <v>84.318554265996099</v>
      </c>
      <c r="G42" cm="1">
        <f t="array" ref="G42">GEOMEAN(IF(C7:C42&lt;0,1+B7:B42))-1</f>
        <v>-4.2709641219783934E-2</v>
      </c>
      <c r="H42" cm="1">
        <f t="array" ref="H42">GEOMEAN(IF(C7:C42&lt;0,1+C7:C42))-1</f>
        <v>-4.1004668692124047E-2</v>
      </c>
      <c r="I42">
        <f t="shared" si="1"/>
        <v>104.15799610639793</v>
      </c>
    </row>
    <row r="43" spans="1:9" x14ac:dyDescent="0.2">
      <c r="A43" t="str">
        <f>'MSCI EM_Monthly'!A43</f>
        <v>2020-06-30</v>
      </c>
      <c r="B43">
        <f>(EMF_Fund_Monthly!B43-EMF_Fund_Monthly!B42)/EMF_Fund_Monthly!B42</f>
        <v>8.8194444444444409E-2</v>
      </c>
      <c r="C43">
        <f>('MSCI EM_Monthly'!B43-'MSCI EM_Monthly'!B42)/'MSCI EM_Monthly'!B42</f>
        <v>7.3509029690994168E-2</v>
      </c>
      <c r="D43" cm="1">
        <f t="array" ref="D43">GEOMEAN(IF(C8:C43&gt;0,1+B8:B43))-1</f>
        <v>3.6381076388005029E-2</v>
      </c>
      <c r="E43" cm="1">
        <f t="array" ref="E43">GEOMEAN(IF(C8:C43&gt;0,1+C8:C43))-1</f>
        <v>4.1256690458036704E-2</v>
      </c>
      <c r="F43">
        <f t="shared" si="0"/>
        <v>88.182246283203952</v>
      </c>
      <c r="G43" cm="1">
        <f t="array" ref="G43">GEOMEAN(IF(C8:C43&lt;0,1+B8:B43))-1</f>
        <v>-4.2709641219783934E-2</v>
      </c>
      <c r="H43" cm="1">
        <f t="array" ref="H43">GEOMEAN(IF(C8:C43&lt;0,1+C8:C43))-1</f>
        <v>-4.1004668692124047E-2</v>
      </c>
      <c r="I43">
        <f t="shared" si="1"/>
        <v>104.15799610639793</v>
      </c>
    </row>
    <row r="44" spans="1:9" x14ac:dyDescent="0.2">
      <c r="A44" t="str">
        <f>'MSCI EM_Monthly'!A44</f>
        <v>2020-07-31</v>
      </c>
      <c r="B44">
        <f>(EMF_Fund_Monthly!B44-EMF_Fund_Monthly!B43)/EMF_Fund_Monthly!B43</f>
        <v>9.8276962348436567E-2</v>
      </c>
      <c r="C44">
        <f>('MSCI EM_Monthly'!B44-'MSCI EM_Monthly'!B43)/'MSCI EM_Monthly'!B43</f>
        <v>8.9361838995522372E-2</v>
      </c>
      <c r="D44" cm="1">
        <f t="array" ref="D44">GEOMEAN(IF(C9:C44&gt;0,1+B9:B44))-1</f>
        <v>3.7707968888553101E-2</v>
      </c>
      <c r="E44" cm="1">
        <f t="array" ref="E44">GEOMEAN(IF(C9:C44&gt;0,1+C9:C44))-1</f>
        <v>4.2775379025981719E-2</v>
      </c>
      <c r="F44">
        <f t="shared" si="0"/>
        <v>88.153441879847094</v>
      </c>
      <c r="G44" cm="1">
        <f t="array" ref="G44">GEOMEAN(IF(C9:C44&lt;0,1+B9:B44))-1</f>
        <v>-4.2709641219783934E-2</v>
      </c>
      <c r="H44" cm="1">
        <f t="array" ref="H44">GEOMEAN(IF(C9:C44&lt;0,1+C9:C44))-1</f>
        <v>-4.1004668692124047E-2</v>
      </c>
      <c r="I44">
        <f t="shared" si="1"/>
        <v>104.15799610639793</v>
      </c>
    </row>
    <row r="45" spans="1:9" x14ac:dyDescent="0.2">
      <c r="A45" t="str">
        <f>'MSCI EM_Monthly'!A45</f>
        <v>2020-08-31</v>
      </c>
      <c r="B45">
        <f>(EMF_Fund_Monthly!B45-EMF_Fund_Monthly!B44)/EMF_Fund_Monthly!B44</f>
        <v>2.1499128413712806E-2</v>
      </c>
      <c r="C45">
        <f>('MSCI EM_Monthly'!B45-'MSCI EM_Monthly'!B44)/'MSCI EM_Monthly'!B44</f>
        <v>2.210458177282635E-2</v>
      </c>
      <c r="D45" cm="1">
        <f t="array" ref="D45">GEOMEAN(IF(C10:C45&gt;0,1+B10:B45))-1</f>
        <v>3.7602336733749908E-2</v>
      </c>
      <c r="E45" cm="1">
        <f t="array" ref="E45">GEOMEAN(IF(C10:C45&gt;0,1+C10:C45))-1</f>
        <v>4.2764597389572945E-2</v>
      </c>
      <c r="F45">
        <f t="shared" si="0"/>
        <v>87.92865835074663</v>
      </c>
      <c r="G45" cm="1">
        <f t="array" ref="G45">GEOMEAN(IF(C10:C45&lt;0,1+B10:B45))-1</f>
        <v>-4.2709641219783934E-2</v>
      </c>
      <c r="H45" cm="1">
        <f t="array" ref="H45">GEOMEAN(IF(C10:C45&lt;0,1+C10:C45))-1</f>
        <v>-4.1004668692124047E-2</v>
      </c>
      <c r="I45">
        <f t="shared" si="1"/>
        <v>104.15799610639793</v>
      </c>
    </row>
    <row r="46" spans="1:9" x14ac:dyDescent="0.2">
      <c r="A46" t="str">
        <f>'MSCI EM_Monthly'!A46</f>
        <v>2020-09-30</v>
      </c>
      <c r="B46">
        <f>(EMF_Fund_Monthly!B46-EMF_Fund_Monthly!B45)/EMF_Fund_Monthly!B45</f>
        <v>-8.5324232081910468E-3</v>
      </c>
      <c r="C46">
        <f>('MSCI EM_Monthly'!B46-'MSCI EM_Monthly'!B45)/'MSCI EM_Monthly'!B45</f>
        <v>-1.603931338010977E-2</v>
      </c>
      <c r="D46" cm="1">
        <f t="array" ref="D46">GEOMEAN(IF(C11:C46&gt;0,1+B11:B46))-1</f>
        <v>3.7602336733749908E-2</v>
      </c>
      <c r="E46" cm="1">
        <f t="array" ref="E46">GEOMEAN(IF(C11:C46&gt;0,1+C11:C46))-1</f>
        <v>4.2764597389572945E-2</v>
      </c>
      <c r="F46">
        <f t="shared" si="0"/>
        <v>87.92865835074663</v>
      </c>
      <c r="G46" cm="1">
        <f t="array" ref="G46">GEOMEAN(IF(C11:C46&lt;0,1+B11:B46))-1</f>
        <v>-4.3467984214007438E-2</v>
      </c>
      <c r="H46" cm="1">
        <f t="array" ref="H46">GEOMEAN(IF(C11:C46&lt;0,1+C11:C46))-1</f>
        <v>-4.1691807234167655E-2</v>
      </c>
      <c r="I46">
        <f t="shared" si="1"/>
        <v>104.26025422660055</v>
      </c>
    </row>
    <row r="47" spans="1:9" x14ac:dyDescent="0.2">
      <c r="A47" t="str">
        <f>'MSCI EM_Monthly'!A47</f>
        <v>2020-10-30</v>
      </c>
      <c r="B47">
        <f>(EMF_Fund_Monthly!B47-EMF_Fund_Monthly!B46)/EMF_Fund_Monthly!B46</f>
        <v>1.6064257028112514E-2</v>
      </c>
      <c r="C47">
        <f>('MSCI EM_Monthly'!B47-'MSCI EM_Monthly'!B46)/'MSCI EM_Monthly'!B46</f>
        <v>2.0602973147609858E-2</v>
      </c>
      <c r="D47" cm="1">
        <f t="array" ref="D47">GEOMEAN(IF(C12:C47&gt;0,1+B12:B47))-1</f>
        <v>3.6434267922673902E-2</v>
      </c>
      <c r="E47" cm="1">
        <f t="array" ref="E47">GEOMEAN(IF(C12:C47&gt;0,1+C12:C47))-1</f>
        <v>4.1993142866728617E-2</v>
      </c>
      <c r="F47">
        <f t="shared" si="0"/>
        <v>86.76242223237108</v>
      </c>
      <c r="G47" cm="1">
        <f t="array" ref="G47">GEOMEAN(IF(C12:C47&lt;0,1+B12:B47))-1</f>
        <v>-4.3467984214007438E-2</v>
      </c>
      <c r="H47" cm="1">
        <f t="array" ref="H47">GEOMEAN(IF(C12:C47&lt;0,1+C12:C47))-1</f>
        <v>-4.1691807234167655E-2</v>
      </c>
      <c r="I47">
        <f t="shared" si="1"/>
        <v>104.26025422660055</v>
      </c>
    </row>
    <row r="48" spans="1:9" x14ac:dyDescent="0.2">
      <c r="A48" t="str">
        <f>'MSCI EM_Monthly'!A48</f>
        <v>2020-11-30</v>
      </c>
      <c r="B48">
        <f>(EMF_Fund_Monthly!B48-EMF_Fund_Monthly!B47)/EMF_Fund_Monthly!B47</f>
        <v>8.3003952569169898E-2</v>
      </c>
      <c r="C48">
        <f>('MSCI EM_Monthly'!B48-'MSCI EM_Monthly'!B47)/'MSCI EM_Monthly'!B47</f>
        <v>9.2487470046350537E-2</v>
      </c>
      <c r="D48" cm="1">
        <f t="array" ref="D48">GEOMEAN(IF(C13:C48&gt;0,1+B13:B48))-1</f>
        <v>4.0649881354793749E-2</v>
      </c>
      <c r="E48" cm="1">
        <f t="array" ref="E48">GEOMEAN(IF(C13:C48&gt;0,1+C13:C48))-1</f>
        <v>4.6745113640479063E-2</v>
      </c>
      <c r="F48">
        <f t="shared" si="0"/>
        <v>86.960707096437289</v>
      </c>
      <c r="G48" cm="1">
        <f t="array" ref="G48">GEOMEAN(IF(C13:C48&lt;0,1+B13:B48))-1</f>
        <v>-4.3467984214007438E-2</v>
      </c>
      <c r="H48" cm="1">
        <f t="array" ref="H48">GEOMEAN(IF(C13:C48&lt;0,1+C13:C48))-1</f>
        <v>-4.1691807234167655E-2</v>
      </c>
      <c r="I48">
        <f t="shared" si="1"/>
        <v>104.26025422660055</v>
      </c>
    </row>
    <row r="49" spans="1:9" x14ac:dyDescent="0.2">
      <c r="A49" t="str">
        <f>'MSCI EM_Monthly'!A49</f>
        <v>2020-12-31</v>
      </c>
      <c r="B49">
        <f>(EMF_Fund_Monthly!B49-EMF_Fund_Monthly!B48)/EMF_Fund_Monthly!B48</f>
        <v>4.1710114702815472E-2</v>
      </c>
      <c r="C49">
        <f>('MSCI EM_Monthly'!B49-'MSCI EM_Monthly'!B48)/'MSCI EM_Monthly'!B48</f>
        <v>7.3513467701597932E-2</v>
      </c>
      <c r="D49" cm="1">
        <f t="array" ref="D49">GEOMEAN(IF(C14:C49&gt;0,1+B14:B49))-1</f>
        <v>4.4876833470805177E-2</v>
      </c>
      <c r="E49" cm="1">
        <f t="array" ref="E49">GEOMEAN(IF(C14:C49&gt;0,1+C14:C49))-1</f>
        <v>4.8712031561354729E-2</v>
      </c>
      <c r="F49">
        <f t="shared" si="0"/>
        <v>92.126795028618403</v>
      </c>
      <c r="G49" cm="1">
        <f t="array" ref="G49">GEOMEAN(IF(C14:C49&lt;0,1+B14:B49))-1</f>
        <v>-4.3467984214007438E-2</v>
      </c>
      <c r="H49" cm="1">
        <f t="array" ref="H49">GEOMEAN(IF(C14:C49&lt;0,1+C14:C49))-1</f>
        <v>-4.1691807234167655E-2</v>
      </c>
      <c r="I49">
        <f t="shared" si="1"/>
        <v>104.26025422660055</v>
      </c>
    </row>
    <row r="50" spans="1:9" x14ac:dyDescent="0.2">
      <c r="A50" t="str">
        <f>'MSCI EM_Monthly'!A50</f>
        <v>2021-01-29</v>
      </c>
      <c r="B50">
        <f>(EMF_Fund_Monthly!B50-EMF_Fund_Monthly!B49)/EMF_Fund_Monthly!B49</f>
        <v>5.4554554554554546E-2</v>
      </c>
      <c r="C50">
        <f>('MSCI EM_Monthly'!B50-'MSCI EM_Monthly'!B49)/'MSCI EM_Monthly'!B49</f>
        <v>3.0657788547782651E-2</v>
      </c>
      <c r="D50" cm="1">
        <f t="array" ref="D50">GEOMEAN(IF(C15:C50&gt;0,1+B15:B50))-1</f>
        <v>4.433647585616951E-2</v>
      </c>
      <c r="E50" cm="1">
        <f t="array" ref="E50">GEOMEAN(IF(C15:C50&gt;0,1+C15:C50))-1</f>
        <v>4.5963765283858704E-2</v>
      </c>
      <c r="F50">
        <f t="shared" si="0"/>
        <v>96.459625494909886</v>
      </c>
      <c r="G50" cm="1">
        <f t="array" ref="G50">GEOMEAN(IF(C15:C50&lt;0,1+B15:B50))-1</f>
        <v>-4.3467984214007438E-2</v>
      </c>
      <c r="H50" cm="1">
        <f t="array" ref="H50">GEOMEAN(IF(C15:C50&lt;0,1+C15:C50))-1</f>
        <v>-4.1691807234167655E-2</v>
      </c>
      <c r="I50">
        <f t="shared" si="1"/>
        <v>104.26025422660055</v>
      </c>
    </row>
    <row r="51" spans="1:9" x14ac:dyDescent="0.2">
      <c r="A51" t="str">
        <f>'MSCI EM_Monthly'!A51</f>
        <v>2021-02-26</v>
      </c>
      <c r="B51">
        <f>(EMF_Fund_Monthly!B51-EMF_Fund_Monthly!B50)/EMF_Fund_Monthly!B50</f>
        <v>1.0915994304698643E-2</v>
      </c>
      <c r="C51">
        <f>('MSCI EM_Monthly'!B51-'MSCI EM_Monthly'!B50)/'MSCI EM_Monthly'!B50</f>
        <v>7.6486850019398022E-3</v>
      </c>
      <c r="D51" cm="1">
        <f t="array" ref="D51">GEOMEAN(IF(C16:C51&gt;0,1+B16:B51))-1</f>
        <v>4.2639509750613813E-2</v>
      </c>
      <c r="E51" cm="1">
        <f t="array" ref="E51">GEOMEAN(IF(C16:C51&gt;0,1+C16:C51))-1</f>
        <v>4.401386156910414E-2</v>
      </c>
      <c r="F51">
        <f t="shared" si="0"/>
        <v>96.877456852240698</v>
      </c>
      <c r="G51" cm="1">
        <f t="array" ref="G51">GEOMEAN(IF(C16:C51&lt;0,1+B16:B51))-1</f>
        <v>-4.3547412267251895E-2</v>
      </c>
      <c r="H51" cm="1">
        <f t="array" ref="H51">GEOMEAN(IF(C16:C51&lt;0,1+C16:C51))-1</f>
        <v>-4.1414406704413986E-2</v>
      </c>
      <c r="I51">
        <f t="shared" si="1"/>
        <v>105.15039507401798</v>
      </c>
    </row>
    <row r="52" spans="1:9" x14ac:dyDescent="0.2">
      <c r="A52" t="str">
        <f>'MSCI EM_Monthly'!A52</f>
        <v>2021-03-31</v>
      </c>
      <c r="B52">
        <f>(EMF_Fund_Monthly!B52-EMF_Fund_Monthly!B51)/EMF_Fund_Monthly!B51</f>
        <v>-5.164319248826264E-3</v>
      </c>
      <c r="C52">
        <f>('MSCI EM_Monthly'!B52-'MSCI EM_Monthly'!B51)/'MSCI EM_Monthly'!B51</f>
        <v>-1.5102610669657568E-2</v>
      </c>
      <c r="D52" cm="1">
        <f t="array" ref="D52">GEOMEAN(IF(C17:C52&gt;0,1+B17:B52))-1</f>
        <v>4.2639509750613813E-2</v>
      </c>
      <c r="E52" cm="1">
        <f t="array" ref="E52">GEOMEAN(IF(C17:C52&gt;0,1+C17:C52))-1</f>
        <v>4.401386156910414E-2</v>
      </c>
      <c r="F52">
        <f t="shared" si="0"/>
        <v>96.877456852240698</v>
      </c>
      <c r="G52" cm="1">
        <f t="array" ref="G52">GEOMEAN(IF(C17:C52&lt;0,1+B17:B52))-1</f>
        <v>-4.2280769415423247E-2</v>
      </c>
      <c r="H52" cm="1">
        <f t="array" ref="H52">GEOMEAN(IF(C17:C52&lt;0,1+C17:C52))-1</f>
        <v>-4.1201661333763351E-2</v>
      </c>
      <c r="I52">
        <f t="shared" si="1"/>
        <v>102.61908876178157</v>
      </c>
    </row>
    <row r="53" spans="1:9" x14ac:dyDescent="0.2">
      <c r="A53" t="str">
        <f>'MSCI EM_Monthly'!A53</f>
        <v>2021-04-30</v>
      </c>
      <c r="B53">
        <f>(EMF_Fund_Monthly!B53-EMF_Fund_Monthly!B52)/EMF_Fund_Monthly!B52</f>
        <v>1.4157621519584575E-2</v>
      </c>
      <c r="C53">
        <f>('MSCI EM_Monthly'!B53-'MSCI EM_Monthly'!B52)/'MSCI EM_Monthly'!B52</f>
        <v>2.4897757409934326E-2</v>
      </c>
      <c r="D53" cm="1">
        <f t="array" ref="D53">GEOMEAN(IF(C18:C53&gt;0,1+B18:B53))-1</f>
        <v>4.1265266557468205E-2</v>
      </c>
      <c r="E53" cm="1">
        <f t="array" ref="E53">GEOMEAN(IF(C18:C53&gt;0,1+C18:C53))-1</f>
        <v>4.3095538064758632E-2</v>
      </c>
      <c r="F53">
        <f t="shared" si="0"/>
        <v>95.752990705116332</v>
      </c>
      <c r="G53" cm="1">
        <f t="array" ref="G53">GEOMEAN(IF(C18:C53&lt;0,1+B18:B53))-1</f>
        <v>-4.3488665603493293E-2</v>
      </c>
      <c r="H53" cm="1">
        <f t="array" ref="H53">GEOMEAN(IF(C18:C53&lt;0,1+C18:C53))-1</f>
        <v>-4.3604615884504039E-2</v>
      </c>
      <c r="I53">
        <f t="shared" si="1"/>
        <v>99.734087140412228</v>
      </c>
    </row>
    <row r="54" spans="1:9" x14ac:dyDescent="0.2">
      <c r="A54" t="str">
        <f>'MSCI EM_Monthly'!A54</f>
        <v>2021-05-31</v>
      </c>
      <c r="B54">
        <f>(EMF_Fund_Monthly!B54-EMF_Fund_Monthly!B53)/EMF_Fund_Monthly!B53</f>
        <v>3.2573289902280266E-3</v>
      </c>
      <c r="C54">
        <f>('MSCI EM_Monthly'!B54-'MSCI EM_Monthly'!B53)/'MSCI EM_Monthly'!B53</f>
        <v>2.3190329196247392E-2</v>
      </c>
      <c r="D54" cm="1">
        <f t="array" ref="D54">GEOMEAN(IF(C19:C54&gt;0,1+B19:B54))-1</f>
        <v>3.9506799845970608E-2</v>
      </c>
      <c r="E54" cm="1">
        <f t="array" ref="E54">GEOMEAN(IF(C19:C54&gt;0,1+C19:C54))-1</f>
        <v>4.2182411429690703E-2</v>
      </c>
      <c r="F54">
        <f t="shared" si="0"/>
        <v>93.657044504959657</v>
      </c>
      <c r="G54" cm="1">
        <f t="array" ref="G54">GEOMEAN(IF(C19:C54&lt;0,1+B19:B54))-1</f>
        <v>-4.4591309228196763E-2</v>
      </c>
      <c r="H54" cm="1">
        <f t="array" ref="H54">GEOMEAN(IF(C19:C54&lt;0,1+C19:C54))-1</f>
        <v>-4.4185573012379464E-2</v>
      </c>
      <c r="I54">
        <f t="shared" si="1"/>
        <v>100.91825496006044</v>
      </c>
    </row>
    <row r="55" spans="1:9" x14ac:dyDescent="0.2">
      <c r="A55" t="str">
        <f>'MSCI EM_Monthly'!A55</f>
        <v>2021-06-30</v>
      </c>
      <c r="B55">
        <f>(EMF_Fund_Monthly!B55-EMF_Fund_Monthly!B54)/EMF_Fund_Monthly!B54</f>
        <v>3.24675324675326E-3</v>
      </c>
      <c r="C55">
        <f>('MSCI EM_Monthly'!B55-'MSCI EM_Monthly'!B54)/'MSCI EM_Monthly'!B54</f>
        <v>1.7233956405101273E-3</v>
      </c>
      <c r="D55" cm="1">
        <f t="array" ref="D55">GEOMEAN(IF(C20:C55&gt;0,1+B20:B55))-1</f>
        <v>3.7903361255356982E-2</v>
      </c>
      <c r="E55" cm="1">
        <f t="array" ref="E55">GEOMEAN(IF(C20:C55&gt;0,1+C20:C55))-1</f>
        <v>4.0389811814242949E-2</v>
      </c>
      <c r="F55">
        <f t="shared" si="0"/>
        <v>93.843866937728222</v>
      </c>
      <c r="G55" cm="1">
        <f t="array" ref="G55">GEOMEAN(IF(C20:C55&lt;0,1+B20:B55))-1</f>
        <v>-4.5758028498221748E-2</v>
      </c>
      <c r="H55" cm="1">
        <f t="array" ref="H55">GEOMEAN(IF(C20:C55&lt;0,1+C20:C55))-1</f>
        <v>-4.4388240933797118E-2</v>
      </c>
      <c r="I55">
        <f t="shared" si="1"/>
        <v>103.08592441513417</v>
      </c>
    </row>
    <row r="56" spans="1:9" x14ac:dyDescent="0.2">
      <c r="A56" t="str">
        <f>'MSCI EM_Monthly'!A56</f>
        <v>2021-07-30</v>
      </c>
      <c r="B56">
        <f>(EMF_Fund_Monthly!B56-EMF_Fund_Monthly!B55)/EMF_Fund_Monthly!B55</f>
        <v>-7.397133610725834E-2</v>
      </c>
      <c r="C56">
        <f>('MSCI EM_Monthly'!B56-'MSCI EM_Monthly'!B55)/'MSCI EM_Monthly'!B55</f>
        <v>-6.7298448767415864E-2</v>
      </c>
      <c r="D56" cm="1">
        <f t="array" ref="D56">GEOMEAN(IF(C21:C56&gt;0,1+B21:B56))-1</f>
        <v>3.8966252422086622E-2</v>
      </c>
      <c r="E56" cm="1">
        <f t="array" ref="E56">GEOMEAN(IF(C21:C56&gt;0,1+C21:C56))-1</f>
        <v>4.1235046247538376E-2</v>
      </c>
      <c r="F56">
        <f t="shared" si="0"/>
        <v>94.497899161233036</v>
      </c>
      <c r="G56" cm="1">
        <f t="array" ref="G56">GEOMEAN(IF(C21:C56&lt;0,1+B21:B56))-1</f>
        <v>-4.7801465681918787E-2</v>
      </c>
      <c r="H56" cm="1">
        <f t="array" ref="H56">GEOMEAN(IF(C21:C56&lt;0,1+C21:C56))-1</f>
        <v>-4.6043185303762613E-2</v>
      </c>
      <c r="I56">
        <f t="shared" si="1"/>
        <v>103.81876355112314</v>
      </c>
    </row>
    <row r="57" spans="1:9" x14ac:dyDescent="0.2">
      <c r="A57" t="str">
        <f>'MSCI EM_Monthly'!A57</f>
        <v>2021-08-31</v>
      </c>
      <c r="B57">
        <f>(EMF_Fund_Monthly!B57-EMF_Fund_Monthly!B56)/EMF_Fund_Monthly!B56</f>
        <v>2.9955067398901008E-3</v>
      </c>
      <c r="C57">
        <f>('MSCI EM_Monthly'!B57-'MSCI EM_Monthly'!B56)/'MSCI EM_Monthly'!B56</f>
        <v>2.617527062670108E-2</v>
      </c>
      <c r="D57" cm="1">
        <f t="array" ref="D57">GEOMEAN(IF(C22:C57&gt;0,1+B22:B57))-1</f>
        <v>3.7375810750160054E-2</v>
      </c>
      <c r="E57" cm="1">
        <f t="array" ref="E57">GEOMEAN(IF(C22:C57&gt;0,1+C22:C57))-1</f>
        <v>4.0575700970778339E-2</v>
      </c>
      <c r="F57">
        <f t="shared" si="0"/>
        <v>92.113777102895227</v>
      </c>
      <c r="G57" cm="1">
        <f t="array" ref="G57">GEOMEAN(IF(C22:C57&lt;0,1+B22:B57))-1</f>
        <v>-5.031028669467319E-2</v>
      </c>
      <c r="H57" cm="1">
        <f t="array" ref="H57">GEOMEAN(IF(C22:C57&lt;0,1+C22:C57))-1</f>
        <v>-4.7489565098420616E-2</v>
      </c>
      <c r="I57">
        <f t="shared" si="1"/>
        <v>105.93966609381813</v>
      </c>
    </row>
    <row r="58" spans="1:9" x14ac:dyDescent="0.2">
      <c r="A58" t="str">
        <f>'MSCI EM_Monthly'!A58</f>
        <v>2021-09-30</v>
      </c>
      <c r="B58">
        <f>(EMF_Fund_Monthly!B58-EMF_Fund_Monthly!B57)/EMF_Fund_Monthly!B57</f>
        <v>-4.5793927327028278E-2</v>
      </c>
      <c r="C58">
        <f>('MSCI EM_Monthly'!B58-'MSCI EM_Monthly'!B57)/'MSCI EM_Monthly'!B57</f>
        <v>-3.9740707778608192E-2</v>
      </c>
      <c r="D58" cm="1">
        <f t="array" ref="D58">GEOMEAN(IF(C23:C58&gt;0,1+B23:B58))-1</f>
        <v>3.7375810750160054E-2</v>
      </c>
      <c r="E58" cm="1">
        <f t="array" ref="E58">GEOMEAN(IF(C23:C58&gt;0,1+C23:C58))-1</f>
        <v>4.0575700970778339E-2</v>
      </c>
      <c r="F58">
        <f t="shared" si="0"/>
        <v>92.113777102895227</v>
      </c>
      <c r="G58" cm="1">
        <f t="array" ref="G58">GEOMEAN(IF(C23:C58&lt;0,1+B23:B58))-1</f>
        <v>-5.3986461199888702E-2</v>
      </c>
      <c r="H58" cm="1">
        <f t="array" ref="H58">GEOMEAN(IF(C23:C58&lt;0,1+C23:C58))-1</f>
        <v>-5.0067407705221889E-2</v>
      </c>
      <c r="I58">
        <f t="shared" si="1"/>
        <v>107.82755423995731</v>
      </c>
    </row>
    <row r="59" spans="1:9" x14ac:dyDescent="0.2">
      <c r="A59" t="str">
        <f>'MSCI EM_Monthly'!A59</f>
        <v>2021-10-29</v>
      </c>
      <c r="B59">
        <f>(EMF_Fund_Monthly!B59-EMF_Fund_Monthly!B58)/EMF_Fund_Monthly!B58</f>
        <v>2.8169014084506994E-2</v>
      </c>
      <c r="C59">
        <f>('MSCI EM_Monthly'!B59-'MSCI EM_Monthly'!B58)/'MSCI EM_Monthly'!B58</f>
        <v>9.8628252795811625E-3</v>
      </c>
      <c r="D59" cm="1">
        <f t="array" ref="D59">GEOMEAN(IF(C24:C59&gt;0,1+B24:B59))-1</f>
        <v>3.6990553324047548E-2</v>
      </c>
      <c r="E59" cm="1">
        <f t="array" ref="E59">GEOMEAN(IF(C24:C59&gt;0,1+C24:C59))-1</f>
        <v>3.9277542818113131E-2</v>
      </c>
      <c r="F59">
        <f t="shared" si="0"/>
        <v>94.177361082244389</v>
      </c>
      <c r="G59" cm="1">
        <f t="array" ref="G59">GEOMEAN(IF(C24:C59&lt;0,1+B24:B59))-1</f>
        <v>-5.1210214920417663E-2</v>
      </c>
      <c r="H59" cm="1">
        <f t="array" ref="H59">GEOMEAN(IF(C24:C59&lt;0,1+C24:C59))-1</f>
        <v>-4.6915887483071739E-2</v>
      </c>
      <c r="I59">
        <f t="shared" si="1"/>
        <v>109.15324779669875</v>
      </c>
    </row>
    <row r="60" spans="1:9" x14ac:dyDescent="0.2">
      <c r="A60" t="str">
        <f>'MSCI EM_Monthly'!A60</f>
        <v>2021-11-30</v>
      </c>
      <c r="B60">
        <f>(EMF_Fund_Monthly!B60-EMF_Fund_Monthly!B59)/EMF_Fund_Monthly!B59</f>
        <v>-6.0882800608827968E-2</v>
      </c>
      <c r="C60">
        <f>('MSCI EM_Monthly'!B60-'MSCI EM_Monthly'!B59)/'MSCI EM_Monthly'!B59</f>
        <v>-4.0753233896323529E-2</v>
      </c>
      <c r="D60" cm="1">
        <f t="array" ref="D60">GEOMEAN(IF(C25:C60&gt;0,1+B25:B60))-1</f>
        <v>3.6998928882416182E-2</v>
      </c>
      <c r="E60" cm="1">
        <f t="array" ref="E60">GEOMEAN(IF(C25:C60&gt;0,1+C25:C60))-1</f>
        <v>3.919361619593742E-2</v>
      </c>
      <c r="F60">
        <f t="shared" si="0"/>
        <v>94.400395966145311</v>
      </c>
      <c r="G60" cm="1">
        <f t="array" ref="G60">GEOMEAN(IF(C25:C60&lt;0,1+B25:B60))-1</f>
        <v>-5.1957783923790024E-2</v>
      </c>
      <c r="H60" cm="1">
        <f t="array" ref="H60">GEOMEAN(IF(C25:C60&lt;0,1+C25:C60))-1</f>
        <v>-4.6443246085488332E-2</v>
      </c>
      <c r="I60">
        <f t="shared" si="1"/>
        <v>111.87371319427383</v>
      </c>
    </row>
    <row r="61" spans="1:9" x14ac:dyDescent="0.2">
      <c r="A61" t="str">
        <f>'MSCI EM_Monthly'!A61</f>
        <v>2021-12-31</v>
      </c>
      <c r="B61">
        <f>(EMF_Fund_Monthly!B61-EMF_Fund_Monthly!B60)/EMF_Fund_Monthly!B60</f>
        <v>-3.9978390059427438E-2</v>
      </c>
      <c r="C61">
        <f>('MSCI EM_Monthly'!B61-'MSCI EM_Monthly'!B60)/'MSCI EM_Monthly'!B60</f>
        <v>1.8763521211082688E-2</v>
      </c>
      <c r="D61" cm="1">
        <f t="array" ref="D61">GEOMEAN(IF(C26:C61&gt;0,1+B26:B61))-1</f>
        <v>3.3671606603674187E-2</v>
      </c>
      <c r="E61" cm="1">
        <f t="array" ref="E61">GEOMEAN(IF(C26:C61&gt;0,1+C26:C61))-1</f>
        <v>3.8334238818186872E-2</v>
      </c>
      <c r="F61">
        <f t="shared" si="0"/>
        <v>87.836898923109445</v>
      </c>
      <c r="G61" cm="1">
        <f t="array" ref="G61">GEOMEAN(IF(C26:C61&lt;0,1+B26:B61))-1</f>
        <v>-4.9822458226454924E-2</v>
      </c>
      <c r="H61" cm="1">
        <f t="array" ref="H61">GEOMEAN(IF(C26:C61&lt;0,1+C26:C61))-1</f>
        <v>-4.8087335561525557E-2</v>
      </c>
      <c r="I61">
        <f t="shared" si="1"/>
        <v>103.60827366429848</v>
      </c>
    </row>
    <row r="62" spans="1:9" x14ac:dyDescent="0.2">
      <c r="A62" t="str">
        <f>'MSCI EM_Monthly'!A62</f>
        <v>2022-01-31</v>
      </c>
      <c r="B62">
        <f>(EMF_Fund_Monthly!B62-EMF_Fund_Monthly!B61)/EMF_Fund_Monthly!B61</f>
        <v>-5.6274620146302815E-4</v>
      </c>
      <c r="C62">
        <f>('MSCI EM_Monthly'!B62-'MSCI EM_Monthly'!B61)/'MSCI EM_Monthly'!B61</f>
        <v>-1.8928992044131246E-2</v>
      </c>
      <c r="D62" cm="1">
        <f t="array" ref="D62">GEOMEAN(IF(C27:C62&gt;0,1+B27:B62))-1</f>
        <v>3.044806254784227E-2</v>
      </c>
      <c r="E62" cm="1">
        <f t="array" ref="E62">GEOMEAN(IF(C27:C62&gt;0,1+C27:C62))-1</f>
        <v>3.6245378422644414E-2</v>
      </c>
      <c r="F62">
        <f t="shared" si="0"/>
        <v>84.005365298710046</v>
      </c>
      <c r="G62" cm="1">
        <f t="array" ref="G62">GEOMEAN(IF(C27:C62&lt;0,1+B27:B62))-1</f>
        <v>-4.612101206159247E-2</v>
      </c>
      <c r="H62" cm="1">
        <f t="array" ref="H62">GEOMEAN(IF(C27:C62&lt;0,1+C27:C62))-1</f>
        <v>-4.5875486808002686E-2</v>
      </c>
      <c r="I62">
        <f t="shared" si="1"/>
        <v>100.53519923312717</v>
      </c>
    </row>
    <row r="63" spans="1:9" x14ac:dyDescent="0.2">
      <c r="A63" t="str">
        <f>'MSCI EM_Monthly'!A63</f>
        <v>2022-02-28</v>
      </c>
      <c r="B63">
        <f>(EMF_Fund_Monthly!B63-EMF_Fund_Monthly!B62)/EMF_Fund_Monthly!B62</f>
        <v>-9.0090090090090169E-2</v>
      </c>
      <c r="C63">
        <f>('MSCI EM_Monthly'!B63-'MSCI EM_Monthly'!B62)/'MSCI EM_Monthly'!B62</f>
        <v>-2.9890202222173499E-2</v>
      </c>
      <c r="D63" cm="1">
        <f t="array" ref="D63">GEOMEAN(IF(C28:C63&gt;0,1+B28:B63))-1</f>
        <v>3.2025178352835804E-2</v>
      </c>
      <c r="E63" cm="1">
        <f t="array" ref="E63">GEOMEAN(IF(C28:C63&gt;0,1+C28:C63))-1</f>
        <v>3.7817810864895218E-2</v>
      </c>
      <c r="F63">
        <f t="shared" si="0"/>
        <v>84.682792632408848</v>
      </c>
      <c r="G63" cm="1">
        <f t="array" ref="G63">GEOMEAN(IF(C28:C63&lt;0,1+B28:B63))-1</f>
        <v>-4.9330935796694453E-2</v>
      </c>
      <c r="H63" cm="1">
        <f t="array" ref="H63">GEOMEAN(IF(C28:C63&lt;0,1+C28:C63))-1</f>
        <v>-4.4742467902086802E-2</v>
      </c>
      <c r="I63">
        <f t="shared" si="1"/>
        <v>110.25528565980966</v>
      </c>
    </row>
    <row r="64" spans="1:9" x14ac:dyDescent="0.2">
      <c r="A64" t="str">
        <f>'MSCI EM_Monthly'!A64</f>
        <v>2022-03-31</v>
      </c>
      <c r="B64">
        <f>(EMF_Fund_Monthly!B64-EMF_Fund_Monthly!B63)/EMF_Fund_Monthly!B63</f>
        <v>-4.3935643564356489E-2</v>
      </c>
      <c r="C64">
        <f>('MSCI EM_Monthly'!B64-'MSCI EM_Monthly'!B63)/'MSCI EM_Monthly'!B63</f>
        <v>-2.2585687982540591E-2</v>
      </c>
      <c r="D64" cm="1">
        <f t="array" ref="D64">GEOMEAN(IF(C29:C64&gt;0,1+B29:B64))-1</f>
        <v>3.274263609092154E-2</v>
      </c>
      <c r="E64" cm="1">
        <f t="array" ref="E64">GEOMEAN(IF(C29:C64&gt;0,1+C29:C64))-1</f>
        <v>3.9240222835958294E-2</v>
      </c>
      <c r="F64">
        <f t="shared" si="0"/>
        <v>83.441514151946649</v>
      </c>
      <c r="G64" cm="1">
        <f t="array" ref="G64">GEOMEAN(IF(C29:C64&lt;0,1+B29:B64))-1</f>
        <v>-4.8972198790362298E-2</v>
      </c>
      <c r="H64" cm="1">
        <f t="array" ref="H64">GEOMEAN(IF(C29:C64&lt;0,1+C29:C64))-1</f>
        <v>-4.3281102765659774E-2</v>
      </c>
      <c r="I64">
        <f t="shared" si="1"/>
        <v>113.14914745938029</v>
      </c>
    </row>
    <row r="65" spans="1:9" x14ac:dyDescent="0.2">
      <c r="A65" t="str">
        <f>'MSCI EM_Monthly'!A65</f>
        <v>2022-04-29</v>
      </c>
      <c r="B65">
        <f>(EMF_Fund_Monthly!B65-EMF_Fund_Monthly!B64)/EMF_Fund_Monthly!B64</f>
        <v>-8.8673139158576011E-2</v>
      </c>
      <c r="C65">
        <f>('MSCI EM_Monthly'!B65-'MSCI EM_Monthly'!B64)/'MSCI EM_Monthly'!B64</f>
        <v>-5.5626345819447635E-2</v>
      </c>
      <c r="D65" cm="1">
        <f t="array" ref="D65">GEOMEAN(IF(C30:C65&gt;0,1+B30:B65))-1</f>
        <v>3.2941319757388676E-2</v>
      </c>
      <c r="E65" cm="1">
        <f t="array" ref="E65">GEOMEAN(IF(C30:C65&gt;0,1+C30:C65))-1</f>
        <v>4.0158099286452975E-2</v>
      </c>
      <c r="F65">
        <f t="shared" si="0"/>
        <v>82.029080914447505</v>
      </c>
      <c r="G65" cm="1">
        <f t="array" ref="G65">GEOMEAN(IF(C30:C65&lt;0,1+B30:B65))-1</f>
        <v>-5.1503412636246915E-2</v>
      </c>
      <c r="H65" cm="1">
        <f t="array" ref="H65">GEOMEAN(IF(C30:C65&lt;0,1+C30:C65))-1</f>
        <v>-4.4057386705088963E-2</v>
      </c>
      <c r="I65">
        <f t="shared" si="1"/>
        <v>116.90074352571138</v>
      </c>
    </row>
    <row r="66" spans="1:9" x14ac:dyDescent="0.2">
      <c r="A66" t="str">
        <f>'MSCI EM_Monthly'!A66</f>
        <v>2022-05-31</v>
      </c>
      <c r="B66">
        <f>(EMF_Fund_Monthly!B66-EMF_Fund_Monthly!B65)/EMF_Fund_Monthly!B65</f>
        <v>3.4090909090909123E-2</v>
      </c>
      <c r="C66">
        <f>('MSCI EM_Monthly'!B66-'MSCI EM_Monthly'!B65)/'MSCI EM_Monthly'!B65</f>
        <v>4.4028571812364491E-3</v>
      </c>
      <c r="D66" cm="1">
        <f t="array" ref="D66">GEOMEAN(IF(C31:C66&gt;0,1+B31:B66))-1</f>
        <v>3.299603311603061E-2</v>
      </c>
      <c r="E66" cm="1">
        <f t="array" ref="E66">GEOMEAN(IF(C31:C66&gt;0,1+C31:C66))-1</f>
        <v>3.8426958673955847E-2</v>
      </c>
      <c r="F66">
        <f t="shared" si="0"/>
        <v>85.866886828058853</v>
      </c>
      <c r="G66" cm="1">
        <f t="array" ref="G66">GEOMEAN(IF(C31:C66&lt;0,1+B31:B66))-1</f>
        <v>-5.0142933513130039E-2</v>
      </c>
      <c r="H66" cm="1">
        <f t="array" ref="H66">GEOMEAN(IF(C31:C66&lt;0,1+C31:C66))-1</f>
        <v>-4.2126264609749109E-2</v>
      </c>
      <c r="I66">
        <f t="shared" si="1"/>
        <v>119.03009672859926</v>
      </c>
    </row>
    <row r="67" spans="1:9" x14ac:dyDescent="0.2">
      <c r="A67" t="str">
        <f>'MSCI EM_Monthly'!A67</f>
        <v>2022-06-30</v>
      </c>
      <c r="B67">
        <f>(EMF_Fund_Monthly!B67-EMF_Fund_Monthly!B66)/EMF_Fund_Monthly!B66</f>
        <v>-5.9065934065934148E-2</v>
      </c>
      <c r="C67">
        <f>('MSCI EM_Monthly'!B67-'MSCI EM_Monthly'!B66)/'MSCI EM_Monthly'!B66</f>
        <v>-6.6449563870705955E-2</v>
      </c>
      <c r="D67" cm="1">
        <f t="array" ref="D67">GEOMEAN(IF(C32:C67&gt;0,1+B32:B67))-1</f>
        <v>3.1498747425244833E-2</v>
      </c>
      <c r="E67" cm="1">
        <f t="array" ref="E67">GEOMEAN(IF(C32:C67&gt;0,1+C32:C67))-1</f>
        <v>3.7242065097606192E-2</v>
      </c>
      <c r="F67">
        <f t="shared" si="0"/>
        <v>84.578412455622598</v>
      </c>
      <c r="G67" cm="1">
        <f t="array" ref="G67">GEOMEAN(IF(C32:C67&lt;0,1+B32:B67))-1</f>
        <v>-5.0703091804373046E-2</v>
      </c>
      <c r="H67" cm="1">
        <f t="array" ref="H67">GEOMEAN(IF(C32:C67&lt;0,1+C32:C67))-1</f>
        <v>-4.3664868187219819E-2</v>
      </c>
      <c r="I67">
        <f t="shared" si="1"/>
        <v>116.11873322730706</v>
      </c>
    </row>
    <row r="68" spans="1:9" x14ac:dyDescent="0.2">
      <c r="A68" t="str">
        <f>'MSCI EM_Monthly'!A68</f>
        <v>2022-07-29</v>
      </c>
      <c r="B68">
        <f>(EMF_Fund_Monthly!B68-EMF_Fund_Monthly!B67)/EMF_Fund_Monthly!B67</f>
        <v>3.6496350364964023E-3</v>
      </c>
      <c r="C68">
        <f>('MSCI EM_Monthly'!B68-'MSCI EM_Monthly'!B67)/'MSCI EM_Monthly'!B67</f>
        <v>-2.4565800339685236E-3</v>
      </c>
      <c r="D68" cm="1">
        <f t="array" ref="D68">GEOMEAN(IF(C33:C68&gt;0,1+B33:B68))-1</f>
        <v>3.1498747425244833E-2</v>
      </c>
      <c r="E68" cm="1">
        <f t="array" ref="E68">GEOMEAN(IF(C33:C68&gt;0,1+C33:C68))-1</f>
        <v>3.7242065097606192E-2</v>
      </c>
      <c r="F68">
        <f t="shared" si="0"/>
        <v>84.578412455622598</v>
      </c>
      <c r="G68" cm="1">
        <f t="array" ref="G68">GEOMEAN(IF(C33:C68&lt;0,1+B33:B68))-1</f>
        <v>-5.0170741607964642E-2</v>
      </c>
      <c r="H68" cm="1">
        <f t="array" ref="H68">GEOMEAN(IF(C33:C68&lt;0,1+C33:C68))-1</f>
        <v>-4.3076317491769323E-2</v>
      </c>
      <c r="I68">
        <f t="shared" si="1"/>
        <v>116.46943037215487</v>
      </c>
    </row>
    <row r="69" spans="1:9" x14ac:dyDescent="0.2">
      <c r="A69" t="str">
        <f>'MSCI EM_Monthly'!A69</f>
        <v>2022-08-31</v>
      </c>
      <c r="B69">
        <f>(EMF_Fund_Monthly!B69-EMF_Fund_Monthly!B68)/EMF_Fund_Monthly!B68</f>
        <v>-2.1818181818181355E-3</v>
      </c>
      <c r="C69">
        <f>('MSCI EM_Monthly'!B69-'MSCI EM_Monthly'!B68)/'MSCI EM_Monthly'!B68</f>
        <v>4.1747052548135122E-3</v>
      </c>
      <c r="D69" cm="1">
        <f t="array" ref="D69">GEOMEAN(IF(C34:C69&gt;0,1+B34:B69))-1</f>
        <v>2.9869430527397212E-2</v>
      </c>
      <c r="E69" cm="1">
        <f t="array" ref="E69">GEOMEAN(IF(C34:C69&gt;0,1+C34:C69))-1</f>
        <v>3.5643016449813825E-2</v>
      </c>
      <c r="F69">
        <f t="shared" si="0"/>
        <v>83.801634941459142</v>
      </c>
      <c r="G69" cm="1">
        <f t="array" ref="G69">GEOMEAN(IF(C34:C69&lt;0,1+B34:B69))-1</f>
        <v>-5.0546904206544618E-2</v>
      </c>
      <c r="H69" cm="1">
        <f t="array" ref="H69">GEOMEAN(IF(C34:C69&lt;0,1+C34:C69))-1</f>
        <v>-4.2696418272067826E-2</v>
      </c>
      <c r="I69">
        <f t="shared" si="1"/>
        <v>118.38675526469773</v>
      </c>
    </row>
    <row r="70" spans="1:9" x14ac:dyDescent="0.2">
      <c r="A70" t="str">
        <f>'MSCI EM_Monthly'!A70</f>
        <v>2022-09-30</v>
      </c>
      <c r="B70">
        <f>(EMF_Fund_Monthly!B70-EMF_Fund_Monthly!B69)/EMF_Fund_Monthly!B69</f>
        <v>-0.12244897959183684</v>
      </c>
      <c r="C70">
        <f>('MSCI EM_Monthly'!B70-'MSCI EM_Monthly'!B69)/'MSCI EM_Monthly'!B69</f>
        <v>-0.1172321877371308</v>
      </c>
      <c r="D70" cm="1">
        <f t="array" ref="D70">GEOMEAN(IF(C35:C70&gt;0,1+B35:B70))-1</f>
        <v>3.0027753600777585E-2</v>
      </c>
      <c r="E70" cm="1">
        <f t="array" ref="E70">GEOMEAN(IF(C35:C70&gt;0,1+C35:C70))-1</f>
        <v>3.6477700030914439E-2</v>
      </c>
      <c r="F70">
        <f t="shared" si="0"/>
        <v>82.318110997484496</v>
      </c>
      <c r="G70" cm="1">
        <f t="array" ref="G70">GEOMEAN(IF(C35:C70&lt;0,1+B35:B70))-1</f>
        <v>-5.5208573360245206E-2</v>
      </c>
      <c r="H70" cm="1">
        <f t="array" ref="H70">GEOMEAN(IF(C35:C70&lt;0,1+C35:C70))-1</f>
        <v>-4.7533994578831562E-2</v>
      </c>
      <c r="I70">
        <f t="shared" si="1"/>
        <v>116.14545305820224</v>
      </c>
    </row>
    <row r="71" spans="1:9" x14ac:dyDescent="0.2">
      <c r="A71" t="str">
        <f>'MSCI EM_Monthly'!A71</f>
        <v>2022-10-31</v>
      </c>
      <c r="B71">
        <f>(EMF_Fund_Monthly!B71-EMF_Fund_Monthly!B70)/EMF_Fund_Monthly!B70</f>
        <v>-1.411960132890365E-2</v>
      </c>
      <c r="C71">
        <f>('MSCI EM_Monthly'!B71-'MSCI EM_Monthly'!B70)/'MSCI EM_Monthly'!B70</f>
        <v>-3.1048333260312221E-2</v>
      </c>
      <c r="D71" cm="1">
        <f t="array" ref="D71">GEOMEAN(IF(C36:C71&gt;0,1+B36:B71))-1</f>
        <v>2.9603987893314532E-2</v>
      </c>
      <c r="E71" cm="1">
        <f t="array" ref="E71">GEOMEAN(IF(C36:C71&gt;0,1+C36:C71))-1</f>
        <v>3.6179133439346645E-2</v>
      </c>
      <c r="F71">
        <f t="shared" si="0"/>
        <v>81.826138657922328</v>
      </c>
      <c r="G71" cm="1">
        <f t="array" ref="G71">GEOMEAN(IF(C36:C71&lt;0,1+B36:B71))-1</f>
        <v>-5.2839692039029607E-2</v>
      </c>
      <c r="H71" cm="1">
        <f t="array" ref="H71">GEOMEAN(IF(C36:C71&lt;0,1+C36:C71))-1</f>
        <v>-4.6572061140359278E-2</v>
      </c>
      <c r="I71">
        <f t="shared" si="1"/>
        <v>113.45792036083799</v>
      </c>
    </row>
    <row r="72" spans="1:9" x14ac:dyDescent="0.2">
      <c r="A72" t="str">
        <f>'MSCI EM_Monthly'!A72</f>
        <v>2022-11-30</v>
      </c>
      <c r="B72">
        <f>(EMF_Fund_Monthly!B72-EMF_Fund_Monthly!B71)/EMF_Fund_Monthly!B71</f>
        <v>0.18534119629317616</v>
      </c>
      <c r="C72">
        <f>('MSCI EM_Monthly'!B72-'MSCI EM_Monthly'!B71)/'MSCI EM_Monthly'!B71</f>
        <v>0.1483176705797567</v>
      </c>
      <c r="D72" cm="1">
        <f t="array" ref="D72">GEOMEAN(IF(C37:C72&gt;0,1+B37:B72))-1</f>
        <v>3.6880898978367771E-2</v>
      </c>
      <c r="E72" cm="1">
        <f t="array" ref="E72">GEOMEAN(IF(C37:C72&gt;0,1+C37:C72))-1</f>
        <v>4.1516614998137857E-2</v>
      </c>
      <c r="F72">
        <f t="shared" si="0"/>
        <v>88.834070359594548</v>
      </c>
      <c r="G72" cm="1">
        <f t="array" ref="G72">GEOMEAN(IF(C37:C72&lt;0,1+B37:B72))-1</f>
        <v>-5.6697314230244711E-2</v>
      </c>
      <c r="H72" cm="1">
        <f t="array" ref="H72">GEOMEAN(IF(C37:C72&lt;0,1+C37:C72))-1</f>
        <v>-4.9327918524868286E-2</v>
      </c>
      <c r="I72">
        <f t="shared" si="1"/>
        <v>114.93960403308159</v>
      </c>
    </row>
    <row r="73" spans="1:9" x14ac:dyDescent="0.2">
      <c r="A73" t="str">
        <f>'MSCI EM_Monthly'!A73</f>
        <v>2022-12-30</v>
      </c>
      <c r="B73">
        <f>(EMF_Fund_Monthly!B73-EMF_Fund_Monthly!B72)/EMF_Fund_Monthly!B72</f>
        <v>-0.10518834399431418</v>
      </c>
      <c r="C73">
        <f>('MSCI EM_Monthly'!B73-'MSCI EM_Monthly'!B72)/'MSCI EM_Monthly'!B72</f>
        <v>-1.4055616310353977E-2</v>
      </c>
      <c r="D73" cm="1">
        <f t="array" ref="D73">GEOMEAN(IF(C38:C73&gt;0,1+B38:B73))-1</f>
        <v>3.8263905819137634E-2</v>
      </c>
      <c r="E73" cm="1">
        <f t="array" ref="E73">GEOMEAN(IF(C38:C73&gt;0,1+C38:C73))-1</f>
        <v>3.9803605970677447E-2</v>
      </c>
      <c r="F73">
        <f t="shared" si="0"/>
        <v>96.131757126040085</v>
      </c>
      <c r="G73" cm="1">
        <f t="array" ref="G73">GEOMEAN(IF(C38:C73&lt;0,1+B38:B73))-1</f>
        <v>-5.9621115708027417E-2</v>
      </c>
      <c r="H73" cm="1">
        <f t="array" ref="H73">GEOMEAN(IF(C38:C73&lt;0,1+C38:C73))-1</f>
        <v>-4.7288457279148877E-2</v>
      </c>
      <c r="I73">
        <f t="shared" si="1"/>
        <v>126.07963790418775</v>
      </c>
    </row>
    <row r="74" spans="1:9" x14ac:dyDescent="0.2">
      <c r="A74" t="str">
        <f>'MSCI EM_Monthly'!A74</f>
        <v>2023-01-31</v>
      </c>
      <c r="B74">
        <f>(EMF_Fund_Monthly!B74-EMF_Fund_Monthly!B73)/EMF_Fund_Monthly!B73</f>
        <v>0.11199364575059573</v>
      </c>
      <c r="C74">
        <f>('MSCI EM_Monthly'!B74-'MSCI EM_Monthly'!B73)/'MSCI EM_Monthly'!B73</f>
        <v>7.8961430991391718E-2</v>
      </c>
      <c r="D74" cm="1">
        <f t="array" ref="D74">GEOMEAN(IF(C39:C74&gt;0,1+B39:B74))-1</f>
        <v>4.1831499150551066E-2</v>
      </c>
      <c r="E74" cm="1">
        <f t="array" ref="E74">GEOMEAN(IF(C39:C74&gt;0,1+C39:C74))-1</f>
        <v>4.1727308709865962E-2</v>
      </c>
      <c r="F74">
        <f t="shared" si="0"/>
        <v>100.24969365124778</v>
      </c>
      <c r="G74" cm="1">
        <f t="array" ref="G74">GEOMEAN(IF(C39:C74&lt;0,1+B39:B74))-1</f>
        <v>-6.0314281821741367E-2</v>
      </c>
      <c r="H74" cm="1">
        <f t="array" ref="H74">GEOMEAN(IF(C39:C74&lt;0,1+C39:C74))-1</f>
        <v>-4.7330553410934395E-2</v>
      </c>
      <c r="I74">
        <f t="shared" si="1"/>
        <v>127.43202323894114</v>
      </c>
    </row>
    <row r="75" spans="1:9" x14ac:dyDescent="0.2">
      <c r="A75" t="str">
        <f>'MSCI EM_Monthly'!A75</f>
        <v>2023-02-28</v>
      </c>
      <c r="B75">
        <f>(EMF_Fund_Monthly!B75-EMF_Fund_Monthly!B74)/EMF_Fund_Monthly!B74</f>
        <v>-7.1428571428571425E-2</v>
      </c>
      <c r="C75">
        <f>('MSCI EM_Monthly'!B75-'MSCI EM_Monthly'!B74)/'MSCI EM_Monthly'!B74</f>
        <v>-6.4842369863031268E-2</v>
      </c>
      <c r="D75" cm="1">
        <f t="array" ref="D75">GEOMEAN(IF(C40:C75&gt;0,1+B40:B75))-1</f>
        <v>4.1831499150551066E-2</v>
      </c>
      <c r="E75" cm="1">
        <f t="array" ref="E75">GEOMEAN(IF(C40:C75&gt;0,1+C40:C75))-1</f>
        <v>4.1727308709865962E-2</v>
      </c>
      <c r="F75">
        <f t="shared" si="0"/>
        <v>100.24969365124778</v>
      </c>
      <c r="G75" cm="1">
        <f t="array" ref="G75">GEOMEAN(IF(C40:C75&lt;0,1+B40:B75))-1</f>
        <v>-6.1928117753101142E-2</v>
      </c>
      <c r="H75" cm="1">
        <f t="array" ref="H75">GEOMEAN(IF(C40:C75&lt;0,1+C40:C75))-1</f>
        <v>-4.8096295042186932E-2</v>
      </c>
      <c r="I75">
        <f t="shared" si="1"/>
        <v>128.75860333687208</v>
      </c>
    </row>
    <row r="76" spans="1:9" x14ac:dyDescent="0.2">
      <c r="A76" t="str">
        <f>'MSCI EM_Monthly'!A76</f>
        <v>2023-03-31</v>
      </c>
      <c r="B76">
        <f>(EMF_Fund_Monthly!B76-EMF_Fund_Monthly!B75)/EMF_Fund_Monthly!B75</f>
        <v>3.5384615384615452E-2</v>
      </c>
      <c r="C76">
        <f>('MSCI EM_Monthly'!B76-'MSCI EM_Monthly'!B75)/'MSCI EM_Monthly'!B75</f>
        <v>3.0287229915788048E-2</v>
      </c>
      <c r="D76" cm="1">
        <f t="array" ref="D76">GEOMEAN(IF(C41:C76&gt;0,1+B41:B76))-1</f>
        <v>4.1523596411155328E-2</v>
      </c>
      <c r="E76" cm="1">
        <f t="array" ref="E76">GEOMEAN(IF(C41:C76&gt;0,1+C41:C76))-1</f>
        <v>4.117967370373754E-2</v>
      </c>
      <c r="F76">
        <f t="shared" si="0"/>
        <v>100.8351758925826</v>
      </c>
      <c r="G76" cm="1">
        <f t="array" ref="G76">GEOMEAN(IF(C41:C76&lt;0,1+B41:B76))-1</f>
        <v>-5.3222870539607059E-2</v>
      </c>
      <c r="H76" cm="1">
        <f t="array" ref="H76">GEOMEAN(IF(C41:C76&lt;0,1+C41:C76))-1</f>
        <v>-4.0580278568925987E-2</v>
      </c>
      <c r="I76">
        <f t="shared" si="1"/>
        <v>131.15452238507311</v>
      </c>
    </row>
    <row r="77" spans="1:9" x14ac:dyDescent="0.2">
      <c r="A77" t="str">
        <f>'MSCI EM_Monthly'!A77</f>
        <v>2023-04-28</v>
      </c>
      <c r="B77">
        <f>(EMF_Fund_Monthly!B77-EMF_Fund_Monthly!B76)/EMF_Fund_Monthly!B76</f>
        <v>-2.0802377414561746E-2</v>
      </c>
      <c r="C77">
        <f>('MSCI EM_Monthly'!B77-'MSCI EM_Monthly'!B76)/'MSCI EM_Monthly'!B76</f>
        <v>-1.1332691642435305E-2</v>
      </c>
      <c r="D77" cm="1">
        <f t="array" ref="D77">GEOMEAN(IF(C42:C77&gt;0,1+B42:B77))-1</f>
        <v>3.9197137102381596E-2</v>
      </c>
      <c r="E77" cm="1">
        <f t="array" ref="E77">GEOMEAN(IF(C42:C77&gt;0,1+C42:C77))-1</f>
        <v>3.8721950338299616E-2</v>
      </c>
      <c r="F77">
        <f t="shared" si="0"/>
        <v>101.22717673033111</v>
      </c>
      <c r="G77" cm="1">
        <f t="array" ref="G77">GEOMEAN(IF(C42:C77&lt;0,1+B42:B77))-1</f>
        <v>-5.1228412701809445E-2</v>
      </c>
      <c r="H77" cm="1">
        <f t="array" ref="H77">GEOMEAN(IF(C42:C77&lt;0,1+C42:C77))-1</f>
        <v>-3.8777922532228781E-2</v>
      </c>
      <c r="I77">
        <f t="shared" si="1"/>
        <v>132.10716138605133</v>
      </c>
    </row>
    <row r="78" spans="1:9" x14ac:dyDescent="0.2">
      <c r="A78" t="str">
        <f>'MSCI EM_Monthly'!A78</f>
        <v>2023-05-31</v>
      </c>
      <c r="B78">
        <f>(EMF_Fund_Monthly!B78-EMF_Fund_Monthly!B77)/EMF_Fund_Monthly!B77</f>
        <v>-5.3110773899848474E-3</v>
      </c>
      <c r="C78">
        <f>('MSCI EM_Monthly'!B78-'MSCI EM_Monthly'!B77)/'MSCI EM_Monthly'!B77</f>
        <v>-1.6796220442440269E-2</v>
      </c>
      <c r="D78" cm="1">
        <f t="array" ref="D78">GEOMEAN(IF(C43:C78&gt;0,1+B43:B78))-1</f>
        <v>4.0420131341647236E-2</v>
      </c>
      <c r="E78" cm="1">
        <f t="array" ref="E78">GEOMEAN(IF(C43:C78&gt;0,1+C43:C78))-1</f>
        <v>4.0381931607357036E-2</v>
      </c>
      <c r="F78">
        <f t="shared" si="0"/>
        <v>100.09459610466787</v>
      </c>
      <c r="G78" cm="1">
        <f t="array" ref="G78">GEOMEAN(IF(C43:C78&lt;0,1+B43:B78))-1</f>
        <v>-4.8587048028067903E-2</v>
      </c>
      <c r="H78" cm="1">
        <f t="array" ref="H78">GEOMEAN(IF(C43:C78&lt;0,1+C43:C78))-1</f>
        <v>-3.7498593977255412E-2</v>
      </c>
      <c r="I78">
        <f t="shared" si="1"/>
        <v>129.57031950994786</v>
      </c>
    </row>
    <row r="79" spans="1:9" x14ac:dyDescent="0.2">
      <c r="A79" t="str">
        <f>'MSCI EM_Monthly'!A79</f>
        <v>2023-06-30</v>
      </c>
      <c r="B79">
        <f>(EMF_Fund_Monthly!B79-EMF_Fund_Monthly!B78)/EMF_Fund_Monthly!B78</f>
        <v>4.5766590389016128E-2</v>
      </c>
      <c r="C79">
        <f>('MSCI EM_Monthly'!B79-'MSCI EM_Monthly'!B78)/'MSCI EM_Monthly'!B78</f>
        <v>3.7969811715009433E-2</v>
      </c>
      <c r="D79" cm="1">
        <f t="array" ref="D79">GEOMEAN(IF(C44:C79&gt;0,1+B44:B79))-1</f>
        <v>3.8244664249696081E-2</v>
      </c>
      <c r="E79" cm="1">
        <f t="array" ref="E79">GEOMEAN(IF(C44:C79&gt;0,1+C44:C79))-1</f>
        <v>3.854011391741996E-2</v>
      </c>
      <c r="F79">
        <f t="shared" si="0"/>
        <v>99.233397004593854</v>
      </c>
      <c r="G79" cm="1">
        <f t="array" ref="G79">GEOMEAN(IF(C44:C79&lt;0,1+B44:B79))-1</f>
        <v>-4.8587048028067903E-2</v>
      </c>
      <c r="H79" cm="1">
        <f t="array" ref="H79">GEOMEAN(IF(C44:C79&lt;0,1+C44:C79))-1</f>
        <v>-3.7498593977255412E-2</v>
      </c>
      <c r="I79">
        <f t="shared" si="1"/>
        <v>129.57031950994786</v>
      </c>
    </row>
    <row r="80" spans="1:9" x14ac:dyDescent="0.2">
      <c r="A80" t="str">
        <f>'MSCI EM_Monthly'!A80</f>
        <v>2023-07-31</v>
      </c>
      <c r="B80">
        <f>(EMF_Fund_Monthly!B80-EMF_Fund_Monthly!B79)/EMF_Fund_Monthly!B79</f>
        <v>6.1269146608315082E-2</v>
      </c>
      <c r="C80">
        <f>('MSCI EM_Monthly'!B80-'MSCI EM_Monthly'!B79)/'MSCI EM_Monthly'!B79</f>
        <v>6.2251401940091482E-2</v>
      </c>
      <c r="D80" cm="1">
        <f t="array" ref="D80">GEOMEAN(IF(C45:C80&gt;0,1+B45:B80))-1</f>
        <v>3.6373301818749315E-2</v>
      </c>
      <c r="E80" cm="1">
        <f t="array" ref="E80">GEOMEAN(IF(C45:C80&gt;0,1+C45:C80))-1</f>
        <v>3.7163516420051446E-2</v>
      </c>
      <c r="F80">
        <f t="shared" si="0"/>
        <v>97.873681832551853</v>
      </c>
      <c r="G80" cm="1">
        <f t="array" ref="G80">GEOMEAN(IF(C45:C80&lt;0,1+B45:B80))-1</f>
        <v>-4.8587048028067903E-2</v>
      </c>
      <c r="H80" cm="1">
        <f t="array" ref="H80">GEOMEAN(IF(C45:C80&lt;0,1+C45:C80))-1</f>
        <v>-3.7498593977255412E-2</v>
      </c>
      <c r="I80">
        <f t="shared" si="1"/>
        <v>129.57031950994786</v>
      </c>
    </row>
    <row r="81" spans="1:9" x14ac:dyDescent="0.2">
      <c r="A81" t="str">
        <f>'MSCI EM_Monthly'!A81</f>
        <v>2023-08-31</v>
      </c>
      <c r="B81">
        <f>(EMF_Fund_Monthly!B81-EMF_Fund_Monthly!B80)/EMF_Fund_Monthly!B80</f>
        <v>-6.3230240549828176E-2</v>
      </c>
      <c r="C81">
        <f>('MSCI EM_Monthly'!B81-'MSCI EM_Monthly'!B80)/'MSCI EM_Monthly'!B80</f>
        <v>-6.1600238398261932E-2</v>
      </c>
      <c r="D81" cm="1">
        <f t="array" ref="D81">GEOMEAN(IF(C46:C81&gt;0,1+B46:B81))-1</f>
        <v>3.7205966355001951E-2</v>
      </c>
      <c r="E81" cm="1">
        <f t="array" ref="E81">GEOMEAN(IF(C46:C81&gt;0,1+C46:C81))-1</f>
        <v>3.8006599307511379E-2</v>
      </c>
      <c r="F81">
        <f t="shared" si="0"/>
        <v>97.893437015946873</v>
      </c>
      <c r="G81" cm="1">
        <f t="array" ref="G81">GEOMEAN(IF(C46:C81&lt;0,1+B46:B81))-1</f>
        <v>-4.9406530953320371E-2</v>
      </c>
      <c r="H81" cm="1">
        <f t="array" ref="H81">GEOMEAN(IF(C46:C81&lt;0,1+C46:C81))-1</f>
        <v>-3.8853669124635837E-2</v>
      </c>
      <c r="I81">
        <f t="shared" si="1"/>
        <v>127.16052837849827</v>
      </c>
    </row>
    <row r="82" spans="1:9" x14ac:dyDescent="0.2">
      <c r="A82" t="str">
        <f>'MSCI EM_Monthly'!A82</f>
        <v>2023-09-29</v>
      </c>
      <c r="B82">
        <f>(EMF_Fund_Monthly!B82-EMF_Fund_Monthly!B81)/EMF_Fund_Monthly!B81</f>
        <v>-3.008070432868673E-2</v>
      </c>
      <c r="C82">
        <f>('MSCI EM_Monthly'!B82-'MSCI EM_Monthly'!B81)/'MSCI EM_Monthly'!B81</f>
        <v>-2.6152184503264817E-2</v>
      </c>
      <c r="D82" cm="1">
        <f t="array" ref="D82">GEOMEAN(IF(C47:C82&gt;0,1+B47:B82))-1</f>
        <v>3.7205966355001951E-2</v>
      </c>
      <c r="E82" cm="1">
        <f t="array" ref="E82">GEOMEAN(IF(C47:C82&gt;0,1+C47:C82))-1</f>
        <v>3.8006599307511379E-2</v>
      </c>
      <c r="F82">
        <f t="shared" si="0"/>
        <v>97.893437015946873</v>
      </c>
      <c r="G82" cm="1">
        <f t="array" ref="G82">GEOMEAN(IF(C47:C82&lt;0,1+B47:B82))-1</f>
        <v>-5.0566253511547421E-2</v>
      </c>
      <c r="H82" cm="1">
        <f t="array" ref="H82">GEOMEAN(IF(C47:C82&lt;0,1+C47:C82))-1</f>
        <v>-3.9405150061578742E-2</v>
      </c>
      <c r="I82">
        <f t="shared" si="1"/>
        <v>128.32397144161899</v>
      </c>
    </row>
    <row r="83" spans="1:9" x14ac:dyDescent="0.2">
      <c r="A83" t="str">
        <f>'MSCI EM_Monthly'!A83</f>
        <v>2023-10-31</v>
      </c>
      <c r="B83">
        <f>(EMF_Fund_Monthly!B83-EMF_Fund_Monthly!B82)/EMF_Fund_Monthly!B82</f>
        <v>-3.4039334341906279E-2</v>
      </c>
      <c r="C83">
        <f>('MSCI EM_Monthly'!B83-'MSCI EM_Monthly'!B82)/'MSCI EM_Monthly'!B82</f>
        <v>-3.8854841220656348E-2</v>
      </c>
      <c r="D83" cm="1">
        <f t="array" ref="D83">GEOMEAN(IF(C48:C83&gt;0,1+B48:B83))-1</f>
        <v>3.8463207247286135E-2</v>
      </c>
      <c r="E83" cm="1">
        <f t="array" ref="E83">GEOMEAN(IF(C48:C83&gt;0,1+C48:C83))-1</f>
        <v>3.9039535014485871E-2</v>
      </c>
      <c r="F83">
        <f t="shared" si="0"/>
        <v>98.523733013249554</v>
      </c>
      <c r="G83" cm="1">
        <f t="array" ref="G83">GEOMEAN(IF(C48:C83&lt;0,1+B48:B83))-1</f>
        <v>-4.9703507878179898E-2</v>
      </c>
      <c r="H83" cm="1">
        <f t="array" ref="H83">GEOMEAN(IF(C48:C83&lt;0,1+C48:C83))-1</f>
        <v>-3.9376194295188127E-2</v>
      </c>
      <c r="I83">
        <f t="shared" si="1"/>
        <v>126.22730248020386</v>
      </c>
    </row>
    <row r="84" spans="1:9" x14ac:dyDescent="0.2">
      <c r="A84" t="str">
        <f>'MSCI EM_Monthly'!A84</f>
        <v>2023-11-30</v>
      </c>
      <c r="B84">
        <f>(EMF_Fund_Monthly!B84-EMF_Fund_Monthly!B83)/EMF_Fund_Monthly!B83</f>
        <v>7.3610023492560794E-2</v>
      </c>
      <c r="C84">
        <f>('MSCI EM_Monthly'!B84-'MSCI EM_Monthly'!B83)/'MSCI EM_Monthly'!B83</f>
        <v>8.0030096204422113E-2</v>
      </c>
      <c r="D84" cm="1">
        <f t="array" ref="D84">GEOMEAN(IF(C49:C84&gt;0,1+B49:B84))-1</f>
        <v>3.7931174306388371E-2</v>
      </c>
      <c r="E84" cm="1">
        <f t="array" ref="E84">GEOMEAN(IF(C49:C84&gt;0,1+C49:C84))-1</f>
        <v>3.8338830964707249E-2</v>
      </c>
      <c r="F84">
        <f t="shared" si="0"/>
        <v>98.936700342547894</v>
      </c>
      <c r="G84" cm="1">
        <f t="array" ref="G84">GEOMEAN(IF(C49:C84&lt;0,1+B49:B84))-1</f>
        <v>-4.9703507878179898E-2</v>
      </c>
      <c r="H84" cm="1">
        <f t="array" ref="H84">GEOMEAN(IF(C49:C84&lt;0,1+C49:C84))-1</f>
        <v>-3.9376194295188127E-2</v>
      </c>
      <c r="I84">
        <f t="shared" si="1"/>
        <v>126.22730248020386</v>
      </c>
    </row>
    <row r="85" spans="1:9" x14ac:dyDescent="0.2">
      <c r="A85" t="str">
        <f>'MSCI EM_Monthly'!A85</f>
        <v>2023-12-29</v>
      </c>
      <c r="B85">
        <f>(EMF_Fund_Monthly!B85-EMF_Fund_Monthly!B84)/EMF_Fund_Monthly!B84</f>
        <v>-1.3129102844639058E-2</v>
      </c>
      <c r="C85">
        <f>('MSCI EM_Monthly'!B85-'MSCI EM_Monthly'!B84)/'MSCI EM_Monthly'!B84</f>
        <v>3.9094209624127914E-2</v>
      </c>
      <c r="D85" cm="1">
        <f t="array" ref="D85">GEOMEAN(IF(C50:C85&gt;0,1+B50:B85))-1</f>
        <v>3.4634593284760262E-2</v>
      </c>
      <c r="E85" cm="1">
        <f t="array" ref="E85">GEOMEAN(IF(C50:C85&gt;0,1+C50:C85))-1</f>
        <v>3.6350333388132094E-2</v>
      </c>
      <c r="F85">
        <f t="shared" si="0"/>
        <v>95.279987985111575</v>
      </c>
      <c r="G85" cm="1">
        <f t="array" ref="G85">GEOMEAN(IF(C50:C85&lt;0,1+B50:B85))-1</f>
        <v>-4.9703507878179898E-2</v>
      </c>
      <c r="H85" cm="1">
        <f t="array" ref="H85">GEOMEAN(IF(C50:C85&lt;0,1+C50:C85))-1</f>
        <v>-3.9376194295188127E-2</v>
      </c>
      <c r="I85">
        <f t="shared" si="1"/>
        <v>126.22730248020386</v>
      </c>
    </row>
    <row r="86" spans="1:9" x14ac:dyDescent="0.2">
      <c r="A86" t="str">
        <f>'MSCI EM_Monthly'!A86</f>
        <v>2024-01-31</v>
      </c>
      <c r="B86">
        <f>(EMF_Fund_Monthly!B86-EMF_Fund_Monthly!B85)/EMF_Fund_Monthly!B85</f>
        <v>-4.7302291204730139E-2</v>
      </c>
      <c r="C86">
        <f>('MSCI EM_Monthly'!B86-'MSCI EM_Monthly'!B85)/'MSCI EM_Monthly'!B85</f>
        <v>-4.6433636951650953E-2</v>
      </c>
      <c r="D86" cm="1">
        <f t="array" ref="D86">GEOMEAN(IF(C51:C86&gt;0,1+B51:B86))-1</f>
        <v>3.3402163716386601E-2</v>
      </c>
      <c r="E86" cm="1">
        <f t="array" ref="E86">GEOMEAN(IF(C51:C86&gt;0,1+C51:C86))-1</f>
        <v>3.6707159588059701E-2</v>
      </c>
      <c r="F86">
        <f t="shared" si="0"/>
        <v>90.996318133130174</v>
      </c>
      <c r="G86" cm="1">
        <f t="array" ref="G86">GEOMEAN(IF(C51:C86&lt;0,1+B51:B86))-1</f>
        <v>-4.9583590909336728E-2</v>
      </c>
      <c r="H86" cm="1">
        <f t="array" ref="H86">GEOMEAN(IF(C51:C86&lt;0,1+C51:C86))-1</f>
        <v>-3.9730303757080643E-2</v>
      </c>
      <c r="I86">
        <f t="shared" si="1"/>
        <v>124.80043246711914</v>
      </c>
    </row>
    <row r="87" spans="1:9" x14ac:dyDescent="0.2">
      <c r="A87" t="str">
        <f>'MSCI EM_Monthly'!A87</f>
        <v>2024-02-29</v>
      </c>
      <c r="B87">
        <f>(EMF_Fund_Monthly!B87-EMF_Fund_Monthly!B86)/EMF_Fund_Monthly!B86</f>
        <v>3.8013964313421272E-2</v>
      </c>
      <c r="C87">
        <f>('MSCI EM_Monthly'!B87-'MSCI EM_Monthly'!B86)/'MSCI EM_Monthly'!B86</f>
        <v>4.7572390299644857E-2</v>
      </c>
      <c r="D87" cm="1">
        <f t="array" ref="D87">GEOMEAN(IF(C52:C87&gt;0,1+B52:B87))-1</f>
        <v>3.5112074303137453E-2</v>
      </c>
      <c r="E87" cm="1">
        <f t="array" ref="E87">GEOMEAN(IF(C52:C87&gt;0,1+C52:C87))-1</f>
        <v>3.922785569442877E-2</v>
      </c>
      <c r="F87">
        <f t="shared" si="0"/>
        <v>89.508013327692922</v>
      </c>
      <c r="G87" cm="1">
        <f t="array" ref="G87">GEOMEAN(IF(C52:C87&lt;0,1+B52:B87))-1</f>
        <v>-4.9583590909336728E-2</v>
      </c>
      <c r="H87" cm="1">
        <f t="array" ref="H87">GEOMEAN(IF(C52:C87&lt;0,1+C52:C87))-1</f>
        <v>-3.9730303757080643E-2</v>
      </c>
      <c r="I87">
        <f t="shared" si="1"/>
        <v>124.80043246711914</v>
      </c>
    </row>
    <row r="88" spans="1:9" x14ac:dyDescent="0.2">
      <c r="A88" t="str">
        <f>'MSCI EM_Monthly'!A88</f>
        <v>2024-03-29</v>
      </c>
      <c r="B88">
        <f>(EMF_Fund_Monthly!B88-EMF_Fund_Monthly!B87)/EMF_Fund_Monthly!B87</f>
        <v>4.035874439461877E-2</v>
      </c>
      <c r="C88">
        <f>('MSCI EM_Monthly'!B88-'MSCI EM_Monthly'!B87)/'MSCI EM_Monthly'!B87</f>
        <v>2.4779625947390523E-2</v>
      </c>
      <c r="D88" cm="1">
        <f t="array" ref="D88">GEOMEAN(IF(C53:C88&gt;0,1+B53:B88))-1</f>
        <v>3.5419968200918639E-2</v>
      </c>
      <c r="E88" cm="1">
        <f t="array" ref="E88">GEOMEAN(IF(C53:C88&gt;0,1+C53:C88))-1</f>
        <v>3.8372348829251113E-2</v>
      </c>
      <c r="F88">
        <f t="shared" si="0"/>
        <v>92.305968442354285</v>
      </c>
      <c r="G88" cm="1">
        <f t="array" ref="G88">GEOMEAN(IF(C53:C88&lt;0,1+B53:B88))-1</f>
        <v>-5.1865715922852051E-2</v>
      </c>
      <c r="H88" cm="1">
        <f t="array" ref="H88">GEOMEAN(IF(C53:C88&lt;0,1+C53:C88))-1</f>
        <v>-4.1009302930528513E-2</v>
      </c>
      <c r="I88">
        <f t="shared" si="1"/>
        <v>126.47304932423444</v>
      </c>
    </row>
    <row r="89" spans="1:9" x14ac:dyDescent="0.2">
      <c r="A89" t="str">
        <f>'MSCI EM_Monthly'!A89</f>
        <v>2024-04-30</v>
      </c>
      <c r="B89">
        <f>(EMF_Fund_Monthly!B89-EMF_Fund_Monthly!B88)/EMF_Fund_Monthly!B88</f>
        <v>-1.2212643678160915E-2</v>
      </c>
      <c r="C89">
        <f>('MSCI EM_Monthly'!B89-'MSCI EM_Monthly'!B88)/'MSCI EM_Monthly'!B88</f>
        <v>4.4742561215191387E-3</v>
      </c>
      <c r="D89" cm="1">
        <f t="array" ref="D89">GEOMEAN(IF(C54:C89&gt;0,1+B54:B89))-1</f>
        <v>3.3816543369425522E-2</v>
      </c>
      <c r="E89" cm="1">
        <f t="array" ref="E89">GEOMEAN(IF(C54:C89&gt;0,1+C54:C89))-1</f>
        <v>3.7143607976915405E-2</v>
      </c>
      <c r="F89">
        <f t="shared" si="0"/>
        <v>91.042699434159331</v>
      </c>
      <c r="G89" cm="1">
        <f t="array" ref="G89">GEOMEAN(IF(C54:C89&lt;0,1+B54:B89))-1</f>
        <v>-5.1865715922852051E-2</v>
      </c>
      <c r="H89" cm="1">
        <f t="array" ref="H89">GEOMEAN(IF(C54:C89&lt;0,1+C54:C89))-1</f>
        <v>-4.1009302930528513E-2</v>
      </c>
      <c r="I89">
        <f t="shared" si="1"/>
        <v>126.47304932423444</v>
      </c>
    </row>
    <row r="90" spans="1:9" x14ac:dyDescent="0.2">
      <c r="A90" t="str">
        <f>'MSCI EM_Monthly'!A90</f>
        <v>2024-05-31</v>
      </c>
      <c r="B90">
        <f>(EMF_Fund_Monthly!B90-EMF_Fund_Monthly!B89)/EMF_Fund_Monthly!B89</f>
        <v>1.8909090909090893E-2</v>
      </c>
      <c r="C90">
        <f>('MSCI EM_Monthly'!B90-'MSCI EM_Monthly'!B89)/'MSCI EM_Monthly'!B89</f>
        <v>5.6482218153749812E-3</v>
      </c>
      <c r="D90" cm="1">
        <f t="array" ref="D90">GEOMEAN(IF(C55:C90&gt;0,1+B55:B90))-1</f>
        <v>3.4758383772513612E-2</v>
      </c>
      <c r="E90" cm="1">
        <f t="array" ref="E90">GEOMEAN(IF(C55:C90&gt;0,1+C55:C90))-1</f>
        <v>3.6089113776786919E-2</v>
      </c>
      <c r="F90">
        <f t="shared" si="0"/>
        <v>96.312655355008332</v>
      </c>
      <c r="G90" cm="1">
        <f t="array" ref="G90">GEOMEAN(IF(C55:C90&lt;0,1+B55:B90))-1</f>
        <v>-5.1865715922852051E-2</v>
      </c>
      <c r="H90" cm="1">
        <f t="array" ref="H90">GEOMEAN(IF(C55:C90&lt;0,1+C55:C90))-1</f>
        <v>-4.1009302930528513E-2</v>
      </c>
      <c r="I90">
        <f t="shared" si="1"/>
        <v>126.47304932423444</v>
      </c>
    </row>
    <row r="91" spans="1:9" x14ac:dyDescent="0.2">
      <c r="A91" t="str">
        <f>'MSCI EM_Monthly'!A91</f>
        <v>2024-06-28</v>
      </c>
      <c r="B91">
        <f>(EMF_Fund_Monthly!B91-EMF_Fund_Monthly!B90)/EMF_Fund_Monthly!B90</f>
        <v>3.1406138472519593E-2</v>
      </c>
      <c r="C91">
        <f>('MSCI EM_Monthly'!B91-'MSCI EM_Monthly'!B90)/'MSCI EM_Monthly'!B90</f>
        <v>3.9443604307665546E-2</v>
      </c>
      <c r="D91" cm="1">
        <f t="array" ref="D91">GEOMEAN(IF(C56:C91&gt;0,1+B56:B91))-1</f>
        <v>3.6444681414983915E-2</v>
      </c>
      <c r="E91" cm="1">
        <f t="array" ref="E91">GEOMEAN(IF(C56:C91&gt;0,1+C56:C91))-1</f>
        <v>3.8344367526606415E-2</v>
      </c>
      <c r="F91">
        <f t="shared" si="0"/>
        <v>95.045723181365958</v>
      </c>
      <c r="G91" cm="1">
        <f t="array" ref="G91">GEOMEAN(IF(C56:C91&lt;0,1+B56:B91))-1</f>
        <v>-5.1865715922852051E-2</v>
      </c>
      <c r="H91" cm="1">
        <f t="array" ref="H91">GEOMEAN(IF(C56:C91&lt;0,1+C56:C91))-1</f>
        <v>-4.1009302930528513E-2</v>
      </c>
      <c r="I91">
        <f t="shared" si="1"/>
        <v>126.47304932423444</v>
      </c>
    </row>
    <row r="92" spans="1:9" x14ac:dyDescent="0.2">
      <c r="A92" t="str">
        <f>'MSCI EM_Monthly'!A92</f>
        <v>2024-07-31</v>
      </c>
      <c r="B92">
        <f>(EMF_Fund_Monthly!B92-EMF_Fund_Monthly!B91)/EMF_Fund_Monthly!B91</f>
        <v>1.1764705882352938E-2</v>
      </c>
      <c r="C92">
        <f>('MSCI EM_Monthly'!B92-'MSCI EM_Monthly'!B91)/'MSCI EM_Monthly'!B91</f>
        <v>2.9760308386670041E-3</v>
      </c>
      <c r="D92" cm="1">
        <f t="array" ref="D92">GEOMEAN(IF(C57:C92&gt;0,1+B57:B92))-1</f>
        <v>3.5057911843444201E-2</v>
      </c>
      <c r="E92" cm="1">
        <f t="array" ref="E92">GEOMEAN(IF(C57:C92&gt;0,1+C57:C92))-1</f>
        <v>3.6347138753151986E-2</v>
      </c>
      <c r="F92">
        <f t="shared" si="0"/>
        <v>96.453016787749263</v>
      </c>
      <c r="G92" cm="1">
        <f t="array" ref="G92">GEOMEAN(IF(C57:C92&lt;0,1+B57:B92))-1</f>
        <v>-5.0622268391497638E-2</v>
      </c>
      <c r="H92" cm="1">
        <f t="array" ref="H92">GEOMEAN(IF(C57:C92&lt;0,1+C57:C92))-1</f>
        <v>-3.9527258563221812E-2</v>
      </c>
      <c r="I92">
        <f t="shared" si="1"/>
        <v>128.06926215368549</v>
      </c>
    </row>
    <row r="93" spans="1:9" x14ac:dyDescent="0.2">
      <c r="A93" t="str">
        <f>'MSCI EM_Monthly'!A93</f>
        <v>2024-08-30</v>
      </c>
      <c r="B93">
        <f>(EMF_Fund_Monthly!B93-EMF_Fund_Monthly!B92)/EMF_Fund_Monthly!B92</f>
        <v>1.2995896032831826E-2</v>
      </c>
      <c r="C93">
        <f>('MSCI EM_Monthly'!B93-'MSCI EM_Monthly'!B92)/'MSCI EM_Monthly'!B92</f>
        <v>1.6145434929060024E-2</v>
      </c>
      <c r="D93" cm="1">
        <f t="array" ref="D93">GEOMEAN(IF(C58:C93&gt;0,1+B58:B93))-1</f>
        <v>3.5628566840357756E-2</v>
      </c>
      <c r="E93" cm="1">
        <f t="array" ref="E93">GEOMEAN(IF(C58:C93&gt;0,1+C58:C93))-1</f>
        <v>3.5781788452384333E-2</v>
      </c>
      <c r="F93">
        <f t="shared" si="0"/>
        <v>99.571788838250853</v>
      </c>
      <c r="G93" cm="1">
        <f t="array" ref="G93">GEOMEAN(IF(C58:C93&lt;0,1+B58:B93))-1</f>
        <v>-5.0622268391497638E-2</v>
      </c>
      <c r="H93" cm="1">
        <f t="array" ref="H93">GEOMEAN(IF(C58:C93&lt;0,1+C58:C93))-1</f>
        <v>-3.9527258563221812E-2</v>
      </c>
      <c r="I93">
        <f t="shared" si="1"/>
        <v>128.06926215368549</v>
      </c>
    </row>
    <row r="94" spans="1:9" x14ac:dyDescent="0.2">
      <c r="A94" t="str">
        <f>'MSCI EM_Monthly'!A94</f>
        <v>2024-09-30</v>
      </c>
      <c r="B94">
        <f>(EMF_Fund_Monthly!B94-EMF_Fund_Monthly!B93)/EMF_Fund_Monthly!B93</f>
        <v>5.401755570560425E-2</v>
      </c>
      <c r="C94">
        <f>('MSCI EM_Monthly'!B94-'MSCI EM_Monthly'!B93)/'MSCI EM_Monthly'!B93</f>
        <v>6.6775057286273309E-2</v>
      </c>
      <c r="D94" cm="1">
        <f t="array" ref="D94">GEOMEAN(IF(C59:C94&gt;0,1+B59:B94))-1</f>
        <v>3.6588360552668897E-2</v>
      </c>
      <c r="E94" cm="1">
        <f t="array" ref="E94">GEOMEAN(IF(C59:C94&gt;0,1+C59:C94))-1</f>
        <v>3.739033179492024E-2</v>
      </c>
      <c r="F94">
        <f t="shared" si="0"/>
        <v>97.855137401160221</v>
      </c>
      <c r="G94" cm="1">
        <f t="array" ref="G94">GEOMEAN(IF(C59:C94&lt;0,1+B59:B94))-1</f>
        <v>-5.0905526394494638E-2</v>
      </c>
      <c r="H94" cm="1">
        <f t="array" ref="H94">GEOMEAN(IF(C59:C94&lt;0,1+C59:C94))-1</f>
        <v>-3.9514701249565132E-2</v>
      </c>
      <c r="I94">
        <f t="shared" si="1"/>
        <v>128.82680315102942</v>
      </c>
    </row>
    <row r="95" spans="1:9" x14ac:dyDescent="0.2">
      <c r="A95" t="str">
        <f>'MSCI EM_Monthly'!A95</f>
        <v>2024-10-31</v>
      </c>
      <c r="B95">
        <f>(EMF_Fund_Monthly!B95-EMF_Fund_Monthly!B94)/EMF_Fund_Monthly!B94</f>
        <v>-3.0749519538757122E-2</v>
      </c>
      <c r="C95">
        <f>('MSCI EM_Monthly'!B95-'MSCI EM_Monthly'!B94)/'MSCI EM_Monthly'!B94</f>
        <v>-4.447323247284965E-2</v>
      </c>
      <c r="D95" cm="1">
        <f t="array" ref="D95">GEOMEAN(IF(C60:C95&gt;0,1+B60:B95))-1</f>
        <v>3.7058118319049482E-2</v>
      </c>
      <c r="E95" cm="1">
        <f t="array" ref="E95">GEOMEAN(IF(C60:C95&gt;0,1+C60:C95))-1</f>
        <v>3.8941452753270989E-2</v>
      </c>
      <c r="F95">
        <f t="shared" si="0"/>
        <v>95.1636770046713</v>
      </c>
      <c r="G95" cm="1">
        <f t="array" ref="G95">GEOMEAN(IF(C60:C95&lt;0,1+B60:B95))-1</f>
        <v>-4.9796825873600126E-2</v>
      </c>
      <c r="H95" cm="1">
        <f t="array" ref="H95">GEOMEAN(IF(C60:C95&lt;0,1+C60:C95))-1</f>
        <v>-3.9790849029030961E-2</v>
      </c>
      <c r="I95">
        <f t="shared" si="1"/>
        <v>125.1464271025454</v>
      </c>
    </row>
    <row r="96" spans="1:9" x14ac:dyDescent="0.2">
      <c r="A96" t="str">
        <f>'MSCI EM_Monthly'!A96</f>
        <v>2024-11-29</v>
      </c>
      <c r="B96">
        <f>(EMF_Fund_Monthly!B96-EMF_Fund_Monthly!B95)/EMF_Fund_Monthly!B95</f>
        <v>-1.6523463317911432E-2</v>
      </c>
      <c r="C96">
        <f>('MSCI EM_Monthly'!B96-'MSCI EM_Monthly'!B95)/'MSCI EM_Monthly'!B95</f>
        <v>-3.5930222588182965E-2</v>
      </c>
      <c r="D96" cm="1">
        <f t="array" ref="D96">GEOMEAN(IF(C61:C96&gt;0,1+B61:B96))-1</f>
        <v>3.7058118319049482E-2</v>
      </c>
      <c r="E96" cm="1">
        <f t="array" ref="E96">GEOMEAN(IF(C61:C96&gt;0,1+C61:C96))-1</f>
        <v>3.8941452753270989E-2</v>
      </c>
      <c r="F96">
        <f t="shared" si="0"/>
        <v>95.1636770046713</v>
      </c>
      <c r="G96" cm="1">
        <f t="array" ref="G96">GEOMEAN(IF(C61:C96&lt;0,1+B61:B96))-1</f>
        <v>-4.7357299715627299E-2</v>
      </c>
      <c r="H96" cm="1">
        <f t="array" ref="H96">GEOMEAN(IF(C61:C96&lt;0,1+C61:C96))-1</f>
        <v>-3.9523269885525014E-2</v>
      </c>
      <c r="I96">
        <f t="shared" si="1"/>
        <v>119.8213099594055</v>
      </c>
    </row>
    <row r="97" spans="1:9" x14ac:dyDescent="0.2">
      <c r="A97" t="str">
        <f>'MSCI EM_Monthly'!A97</f>
        <v>2024-12-31</v>
      </c>
      <c r="B97">
        <f>(EMF_Fund_Monthly!B97-EMF_Fund_Monthly!B96)/EMF_Fund_Monthly!B96</f>
        <v>-5.3763440860215096E-2</v>
      </c>
      <c r="C97">
        <f>('MSCI EM_Monthly'!B97-'MSCI EM_Monthly'!B96)/'MSCI EM_Monthly'!B96</f>
        <v>-1.3732325416683693E-3</v>
      </c>
      <c r="D97" cm="1">
        <f t="array" ref="D97">GEOMEAN(IF(C62:C97&gt;0,1+B62:B97))-1</f>
        <v>4.1777523040193776E-2</v>
      </c>
      <c r="E97" cm="1">
        <f t="array" ref="E97">GEOMEAN(IF(C62:C97&gt;0,1+C62:C97))-1</f>
        <v>4.0140759152522909E-2</v>
      </c>
      <c r="F97">
        <f t="shared" si="0"/>
        <v>104.07756086887059</v>
      </c>
      <c r="G97" cm="1">
        <f t="array" ref="G97">GEOMEAN(IF(C62:C97&lt;0,1+B62:B97))-1</f>
        <v>-4.76955437355564E-2</v>
      </c>
      <c r="H97" cm="1">
        <f t="array" ref="H97">GEOMEAN(IF(C62:C97&lt;0,1+C62:C97))-1</f>
        <v>-3.7552204743191653E-2</v>
      </c>
      <c r="I97">
        <f t="shared" si="1"/>
        <v>127.01130083235333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C8F-BEE2-4D22-BE9A-39E81233C9A4}">
  <dimension ref="A1:B97"/>
  <sheetViews>
    <sheetView workbookViewId="0">
      <selection activeCell="B26" sqref="B26"/>
    </sheetView>
  </sheetViews>
  <sheetFormatPr baseColWidth="10" defaultRowHeight="15" x14ac:dyDescent="0.2"/>
  <sheetData>
    <row r="1" spans="1:2" x14ac:dyDescent="0.2">
      <c r="A1" s="7" t="s">
        <v>114</v>
      </c>
      <c r="B1" s="7" t="s">
        <v>115</v>
      </c>
    </row>
    <row r="2" spans="1:2" x14ac:dyDescent="0.2">
      <c r="A2" s="8">
        <v>42736</v>
      </c>
      <c r="B2" s="6">
        <v>0.51</v>
      </c>
    </row>
    <row r="3" spans="1:2" x14ac:dyDescent="0.2">
      <c r="A3" s="8">
        <v>42767</v>
      </c>
      <c r="B3" s="6">
        <v>0.52</v>
      </c>
    </row>
    <row r="4" spans="1:2" x14ac:dyDescent="0.2">
      <c r="A4" s="8">
        <v>42795</v>
      </c>
      <c r="B4" s="6">
        <v>0.74</v>
      </c>
    </row>
    <row r="5" spans="1:2" x14ac:dyDescent="0.2">
      <c r="A5" s="8">
        <v>42826</v>
      </c>
      <c r="B5" s="6">
        <v>0.8</v>
      </c>
    </row>
    <row r="6" spans="1:2" x14ac:dyDescent="0.2">
      <c r="A6" s="8">
        <v>42856</v>
      </c>
      <c r="B6" s="6">
        <v>0.89</v>
      </c>
    </row>
    <row r="7" spans="1:2" x14ac:dyDescent="0.2">
      <c r="A7" s="8">
        <v>42887</v>
      </c>
      <c r="B7" s="6">
        <v>0.98</v>
      </c>
    </row>
    <row r="8" spans="1:2" x14ac:dyDescent="0.2">
      <c r="A8" s="8">
        <v>42917</v>
      </c>
      <c r="B8" s="6">
        <v>1.07</v>
      </c>
    </row>
    <row r="9" spans="1:2" x14ac:dyDescent="0.2">
      <c r="A9" s="8">
        <v>42948</v>
      </c>
      <c r="B9" s="6">
        <v>1.01</v>
      </c>
    </row>
    <row r="10" spans="1:2" x14ac:dyDescent="0.2">
      <c r="A10" s="8">
        <v>42979</v>
      </c>
      <c r="B10" s="6">
        <v>1.03</v>
      </c>
    </row>
    <row r="11" spans="1:2" x14ac:dyDescent="0.2">
      <c r="A11" s="8">
        <v>43009</v>
      </c>
      <c r="B11" s="6">
        <v>1.07</v>
      </c>
    </row>
    <row r="12" spans="1:2" x14ac:dyDescent="0.2">
      <c r="A12" s="8">
        <v>43040</v>
      </c>
      <c r="B12" s="6">
        <v>1.23</v>
      </c>
    </row>
    <row r="13" spans="1:2" x14ac:dyDescent="0.2">
      <c r="A13" s="8">
        <v>43070</v>
      </c>
      <c r="B13" s="6">
        <v>1.32</v>
      </c>
    </row>
    <row r="14" spans="1:2" x14ac:dyDescent="0.2">
      <c r="A14" s="8">
        <v>43101</v>
      </c>
      <c r="B14" s="6">
        <v>1.41</v>
      </c>
    </row>
    <row r="15" spans="1:2" x14ac:dyDescent="0.2">
      <c r="A15" s="8">
        <v>43132</v>
      </c>
      <c r="B15" s="6">
        <v>1.57</v>
      </c>
    </row>
    <row r="16" spans="1:2" x14ac:dyDescent="0.2">
      <c r="A16" s="8">
        <v>43160</v>
      </c>
      <c r="B16" s="6">
        <v>1.7</v>
      </c>
    </row>
    <row r="17" spans="1:2" x14ac:dyDescent="0.2">
      <c r="A17" s="8">
        <v>43191</v>
      </c>
      <c r="B17" s="6">
        <v>1.76</v>
      </c>
    </row>
    <row r="18" spans="1:2" x14ac:dyDescent="0.2">
      <c r="A18" s="8">
        <v>43221</v>
      </c>
      <c r="B18" s="6">
        <v>1.86</v>
      </c>
    </row>
    <row r="19" spans="1:2" x14ac:dyDescent="0.2">
      <c r="A19" s="8">
        <v>43252</v>
      </c>
      <c r="B19" s="6">
        <v>1.9</v>
      </c>
    </row>
    <row r="20" spans="1:2" x14ac:dyDescent="0.2">
      <c r="A20" s="8">
        <v>43282</v>
      </c>
      <c r="B20" s="6">
        <v>1.96</v>
      </c>
    </row>
    <row r="21" spans="1:2" x14ac:dyDescent="0.2">
      <c r="A21" s="8">
        <v>43313</v>
      </c>
      <c r="B21" s="6">
        <v>2.0299999999999998</v>
      </c>
    </row>
    <row r="22" spans="1:2" x14ac:dyDescent="0.2">
      <c r="A22" s="8">
        <v>43344</v>
      </c>
      <c r="B22" s="6">
        <v>2.13</v>
      </c>
    </row>
    <row r="23" spans="1:2" x14ac:dyDescent="0.2">
      <c r="A23" s="8">
        <v>43374</v>
      </c>
      <c r="B23" s="6">
        <v>2.25</v>
      </c>
    </row>
    <row r="24" spans="1:2" x14ac:dyDescent="0.2">
      <c r="A24" s="8">
        <v>43405</v>
      </c>
      <c r="B24" s="6">
        <v>2.33</v>
      </c>
    </row>
    <row r="25" spans="1:2" x14ac:dyDescent="0.2">
      <c r="A25" s="8">
        <v>43435</v>
      </c>
      <c r="B25" s="6">
        <v>2.37</v>
      </c>
    </row>
    <row r="26" spans="1:2" x14ac:dyDescent="0.2">
      <c r="A26" s="8">
        <v>43466</v>
      </c>
      <c r="B26" s="6">
        <v>2.37</v>
      </c>
    </row>
    <row r="27" spans="1:2" x14ac:dyDescent="0.2">
      <c r="A27" s="8">
        <v>43497</v>
      </c>
      <c r="B27" s="6">
        <v>2.39</v>
      </c>
    </row>
    <row r="28" spans="1:2" x14ac:dyDescent="0.2">
      <c r="A28" s="8">
        <v>43525</v>
      </c>
      <c r="B28" s="6">
        <v>2.4</v>
      </c>
    </row>
    <row r="29" spans="1:2" x14ac:dyDescent="0.2">
      <c r="A29" s="8">
        <v>43556</v>
      </c>
      <c r="B29" s="6">
        <v>2.38</v>
      </c>
    </row>
    <row r="30" spans="1:2" x14ac:dyDescent="0.2">
      <c r="A30" s="8">
        <v>43586</v>
      </c>
      <c r="B30" s="6">
        <v>2.35</v>
      </c>
    </row>
    <row r="31" spans="1:2" x14ac:dyDescent="0.2">
      <c r="A31" s="8">
        <v>43617</v>
      </c>
      <c r="B31" s="6">
        <v>2.17</v>
      </c>
    </row>
    <row r="32" spans="1:2" x14ac:dyDescent="0.2">
      <c r="A32" s="8">
        <v>43647</v>
      </c>
      <c r="B32" s="6">
        <v>2.1</v>
      </c>
    </row>
    <row r="33" spans="1:2" x14ac:dyDescent="0.2">
      <c r="A33" s="8">
        <v>43678</v>
      </c>
      <c r="B33" s="6">
        <v>1.95</v>
      </c>
    </row>
    <row r="34" spans="1:2" x14ac:dyDescent="0.2">
      <c r="A34" s="8">
        <v>43709</v>
      </c>
      <c r="B34" s="6">
        <v>1.89</v>
      </c>
    </row>
    <row r="35" spans="1:2" x14ac:dyDescent="0.2">
      <c r="A35" s="8">
        <v>43739</v>
      </c>
      <c r="B35" s="6">
        <v>1.65</v>
      </c>
    </row>
    <row r="36" spans="1:2" x14ac:dyDescent="0.2">
      <c r="A36" s="8">
        <v>43770</v>
      </c>
      <c r="B36" s="6">
        <v>1.54</v>
      </c>
    </row>
    <row r="37" spans="1:2" x14ac:dyDescent="0.2">
      <c r="A37" s="8">
        <v>43800</v>
      </c>
      <c r="B37" s="6">
        <v>1.54</v>
      </c>
    </row>
    <row r="38" spans="1:2" x14ac:dyDescent="0.2">
      <c r="A38" s="8">
        <v>43831</v>
      </c>
      <c r="B38" s="6">
        <v>1.52</v>
      </c>
    </row>
    <row r="39" spans="1:2" x14ac:dyDescent="0.2">
      <c r="A39" s="8">
        <v>43862</v>
      </c>
      <c r="B39" s="6">
        <v>1.52</v>
      </c>
    </row>
    <row r="40" spans="1:2" x14ac:dyDescent="0.2">
      <c r="A40" s="8">
        <v>43891</v>
      </c>
      <c r="B40" s="6">
        <v>0.28999999999999998</v>
      </c>
    </row>
    <row r="41" spans="1:2" x14ac:dyDescent="0.2">
      <c r="A41" s="8">
        <v>43922</v>
      </c>
      <c r="B41" s="6">
        <v>0.14000000000000001</v>
      </c>
    </row>
    <row r="42" spans="1:2" x14ac:dyDescent="0.2">
      <c r="A42" s="8">
        <v>43952</v>
      </c>
      <c r="B42" s="6">
        <v>0.13</v>
      </c>
    </row>
    <row r="43" spans="1:2" x14ac:dyDescent="0.2">
      <c r="A43" s="8">
        <v>43983</v>
      </c>
      <c r="B43" s="6">
        <v>0.16</v>
      </c>
    </row>
    <row r="44" spans="1:2" x14ac:dyDescent="0.2">
      <c r="A44" s="8">
        <v>44013</v>
      </c>
      <c r="B44" s="6">
        <v>0.13</v>
      </c>
    </row>
    <row r="45" spans="1:2" x14ac:dyDescent="0.2">
      <c r="A45" s="8">
        <v>44044</v>
      </c>
      <c r="B45" s="6">
        <v>0.1</v>
      </c>
    </row>
    <row r="46" spans="1:2" x14ac:dyDescent="0.2">
      <c r="A46" s="8">
        <v>44075</v>
      </c>
      <c r="B46" s="6">
        <v>0.11</v>
      </c>
    </row>
    <row r="47" spans="1:2" x14ac:dyDescent="0.2">
      <c r="A47" s="8">
        <v>44105</v>
      </c>
      <c r="B47" s="6">
        <v>0.1</v>
      </c>
    </row>
    <row r="48" spans="1:2" x14ac:dyDescent="0.2">
      <c r="A48" s="8">
        <v>44136</v>
      </c>
      <c r="B48" s="6">
        <v>0.09</v>
      </c>
    </row>
    <row r="49" spans="1:2" x14ac:dyDescent="0.2">
      <c r="A49" s="8">
        <v>44166</v>
      </c>
      <c r="B49" s="6">
        <v>0.09</v>
      </c>
    </row>
    <row r="50" spans="1:2" x14ac:dyDescent="0.2">
      <c r="A50" s="8">
        <v>44197</v>
      </c>
      <c r="B50" s="6">
        <v>0.08</v>
      </c>
    </row>
    <row r="51" spans="1:2" x14ac:dyDescent="0.2">
      <c r="A51" s="8">
        <v>44228</v>
      </c>
      <c r="B51" s="6">
        <v>0.04</v>
      </c>
    </row>
    <row r="52" spans="1:2" x14ac:dyDescent="0.2">
      <c r="A52" s="8">
        <v>44256</v>
      </c>
      <c r="B52" s="6">
        <v>0.03</v>
      </c>
    </row>
    <row r="53" spans="1:2" x14ac:dyDescent="0.2">
      <c r="A53" s="8">
        <v>44287</v>
      </c>
      <c r="B53" s="6">
        <v>0.02</v>
      </c>
    </row>
    <row r="54" spans="1:2" x14ac:dyDescent="0.2">
      <c r="A54" s="8">
        <v>44317</v>
      </c>
      <c r="B54" s="6">
        <v>0.02</v>
      </c>
    </row>
    <row r="55" spans="1:2" x14ac:dyDescent="0.2">
      <c r="A55" s="8">
        <v>44348</v>
      </c>
      <c r="B55" s="6">
        <v>0.04</v>
      </c>
    </row>
    <row r="56" spans="1:2" x14ac:dyDescent="0.2">
      <c r="A56" s="8">
        <v>44378</v>
      </c>
      <c r="B56" s="6">
        <v>0.05</v>
      </c>
    </row>
    <row r="57" spans="1:2" x14ac:dyDescent="0.2">
      <c r="A57" s="8">
        <v>44409</v>
      </c>
      <c r="B57" s="6">
        <v>0.05</v>
      </c>
    </row>
    <row r="58" spans="1:2" x14ac:dyDescent="0.2">
      <c r="A58" s="8">
        <v>44440</v>
      </c>
      <c r="B58" s="6">
        <v>0.04</v>
      </c>
    </row>
    <row r="59" spans="1:2" x14ac:dyDescent="0.2">
      <c r="A59" s="8">
        <v>44470</v>
      </c>
      <c r="B59" s="6">
        <v>0.05</v>
      </c>
    </row>
    <row r="60" spans="1:2" x14ac:dyDescent="0.2">
      <c r="A60" s="8">
        <v>44501</v>
      </c>
      <c r="B60" s="6">
        <v>0.05</v>
      </c>
    </row>
    <row r="61" spans="1:2" x14ac:dyDescent="0.2">
      <c r="A61" s="8">
        <v>44531</v>
      </c>
      <c r="B61" s="6">
        <v>0.06</v>
      </c>
    </row>
    <row r="62" spans="1:2" x14ac:dyDescent="0.2">
      <c r="A62" s="8">
        <v>44562</v>
      </c>
      <c r="B62" s="6">
        <v>0.15</v>
      </c>
    </row>
    <row r="63" spans="1:2" x14ac:dyDescent="0.2">
      <c r="A63" s="8">
        <v>44593</v>
      </c>
      <c r="B63" s="6">
        <v>0.33</v>
      </c>
    </row>
    <row r="64" spans="1:2" x14ac:dyDescent="0.2">
      <c r="A64" s="8">
        <v>44621</v>
      </c>
      <c r="B64" s="6">
        <v>0.44</v>
      </c>
    </row>
    <row r="65" spans="1:2" x14ac:dyDescent="0.2">
      <c r="A65" s="8">
        <v>44652</v>
      </c>
      <c r="B65" s="6">
        <v>0.76</v>
      </c>
    </row>
    <row r="66" spans="1:2" x14ac:dyDescent="0.2">
      <c r="A66" s="8">
        <v>44682</v>
      </c>
      <c r="B66" s="6">
        <v>0.98</v>
      </c>
    </row>
    <row r="67" spans="1:2" x14ac:dyDescent="0.2">
      <c r="A67" s="8">
        <v>44713</v>
      </c>
      <c r="B67" s="6">
        <v>1.49</v>
      </c>
    </row>
    <row r="68" spans="1:2" x14ac:dyDescent="0.2">
      <c r="A68" s="8">
        <v>44743</v>
      </c>
      <c r="B68" s="6">
        <v>2.23</v>
      </c>
    </row>
    <row r="69" spans="1:2" x14ac:dyDescent="0.2">
      <c r="A69" s="8">
        <v>44774</v>
      </c>
      <c r="B69" s="6">
        <v>2.63</v>
      </c>
    </row>
    <row r="70" spans="1:2" x14ac:dyDescent="0.2">
      <c r="A70" s="8">
        <v>44805</v>
      </c>
      <c r="B70" s="6">
        <v>3.13</v>
      </c>
    </row>
    <row r="71" spans="1:2" x14ac:dyDescent="0.2">
      <c r="A71" s="8">
        <v>44835</v>
      </c>
      <c r="B71" s="6">
        <v>3.72</v>
      </c>
    </row>
    <row r="72" spans="1:2" x14ac:dyDescent="0.2">
      <c r="A72" s="8">
        <v>44866</v>
      </c>
      <c r="B72" s="6">
        <v>4.1500000000000004</v>
      </c>
    </row>
    <row r="73" spans="1:2" x14ac:dyDescent="0.2">
      <c r="A73" s="8">
        <v>44896</v>
      </c>
      <c r="B73" s="6">
        <v>4.25</v>
      </c>
    </row>
    <row r="74" spans="1:2" x14ac:dyDescent="0.2">
      <c r="A74" s="8">
        <v>44927</v>
      </c>
      <c r="B74" s="6">
        <v>4.54</v>
      </c>
    </row>
    <row r="75" spans="1:2" x14ac:dyDescent="0.2">
      <c r="A75" s="8">
        <v>44958</v>
      </c>
      <c r="B75" s="6">
        <v>4.6500000000000004</v>
      </c>
    </row>
    <row r="76" spans="1:2" x14ac:dyDescent="0.2">
      <c r="A76" s="8">
        <v>44986</v>
      </c>
      <c r="B76" s="6">
        <v>4.6900000000000004</v>
      </c>
    </row>
    <row r="77" spans="1:2" x14ac:dyDescent="0.2">
      <c r="A77" s="8">
        <v>45017</v>
      </c>
      <c r="B77" s="6">
        <v>4.92</v>
      </c>
    </row>
    <row r="78" spans="1:2" x14ac:dyDescent="0.2">
      <c r="A78" s="8">
        <v>45047</v>
      </c>
      <c r="B78" s="6">
        <v>5.14</v>
      </c>
    </row>
    <row r="79" spans="1:2" x14ac:dyDescent="0.2">
      <c r="A79" s="8">
        <v>45078</v>
      </c>
      <c r="B79" s="6">
        <v>5.16</v>
      </c>
    </row>
    <row r="80" spans="1:2" x14ac:dyDescent="0.2">
      <c r="A80" s="8">
        <v>45108</v>
      </c>
      <c r="B80" s="6">
        <v>5.25</v>
      </c>
    </row>
    <row r="81" spans="1:2" x14ac:dyDescent="0.2">
      <c r="A81" s="8">
        <v>45139</v>
      </c>
      <c r="B81" s="6">
        <v>5.3</v>
      </c>
    </row>
    <row r="82" spans="1:2" x14ac:dyDescent="0.2">
      <c r="A82" s="8">
        <v>45170</v>
      </c>
      <c r="B82" s="6">
        <v>5.32</v>
      </c>
    </row>
    <row r="83" spans="1:2" x14ac:dyDescent="0.2">
      <c r="A83" s="8">
        <v>45200</v>
      </c>
      <c r="B83" s="6">
        <v>5.34</v>
      </c>
    </row>
    <row r="84" spans="1:2" x14ac:dyDescent="0.2">
      <c r="A84" s="8">
        <v>45231</v>
      </c>
      <c r="B84" s="6">
        <v>5.27</v>
      </c>
    </row>
    <row r="85" spans="1:2" x14ac:dyDescent="0.2">
      <c r="A85" s="8">
        <v>45261</v>
      </c>
      <c r="B85" s="6">
        <v>5.24</v>
      </c>
    </row>
    <row r="86" spans="1:2" x14ac:dyDescent="0.2">
      <c r="A86" s="8">
        <v>45292</v>
      </c>
      <c r="B86" s="6">
        <v>5.22</v>
      </c>
    </row>
    <row r="87" spans="1:2" x14ac:dyDescent="0.2">
      <c r="A87" s="8">
        <v>45323</v>
      </c>
      <c r="B87" s="6">
        <v>5.24</v>
      </c>
    </row>
    <row r="88" spans="1:2" x14ac:dyDescent="0.2">
      <c r="A88" s="8">
        <v>45352</v>
      </c>
      <c r="B88" s="6">
        <v>5.24</v>
      </c>
    </row>
    <row r="89" spans="1:2" x14ac:dyDescent="0.2">
      <c r="A89" s="8">
        <v>45383</v>
      </c>
      <c r="B89" s="6">
        <v>5.24</v>
      </c>
    </row>
    <row r="90" spans="1:2" x14ac:dyDescent="0.2">
      <c r="A90" s="8">
        <v>45413</v>
      </c>
      <c r="B90" s="6">
        <v>5.25</v>
      </c>
    </row>
    <row r="91" spans="1:2" x14ac:dyDescent="0.2">
      <c r="A91" s="8">
        <v>45444</v>
      </c>
      <c r="B91" s="6">
        <v>5.24</v>
      </c>
    </row>
    <row r="92" spans="1:2" x14ac:dyDescent="0.2">
      <c r="A92" s="8">
        <v>45474</v>
      </c>
      <c r="B92" s="6">
        <v>5.2</v>
      </c>
    </row>
    <row r="93" spans="1:2" x14ac:dyDescent="0.2">
      <c r="A93" s="8">
        <v>45505</v>
      </c>
      <c r="B93" s="6">
        <v>5.05</v>
      </c>
    </row>
    <row r="94" spans="1:2" x14ac:dyDescent="0.2">
      <c r="A94" s="8">
        <v>45536</v>
      </c>
      <c r="B94" s="6">
        <v>4.72</v>
      </c>
    </row>
    <row r="95" spans="1:2" x14ac:dyDescent="0.2">
      <c r="A95" s="8">
        <v>45566</v>
      </c>
      <c r="B95" s="6">
        <v>4.51</v>
      </c>
    </row>
    <row r="96" spans="1:2" x14ac:dyDescent="0.2">
      <c r="A96" s="8">
        <v>45597</v>
      </c>
      <c r="B96" s="6">
        <v>4.42</v>
      </c>
    </row>
    <row r="97" spans="1:2" x14ac:dyDescent="0.2">
      <c r="A97" s="8">
        <v>45627</v>
      </c>
      <c r="B97" s="6">
        <v>4.2699999999999996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9349-D647-446F-B9FA-406146956D2B}">
  <dimension ref="A1:C97"/>
  <sheetViews>
    <sheetView workbookViewId="0">
      <selection activeCell="C2" sqref="C2:C97"/>
    </sheetView>
  </sheetViews>
  <sheetFormatPr baseColWidth="10" defaultRowHeight="15" x14ac:dyDescent="0.2"/>
  <sheetData>
    <row r="1" spans="1:3" x14ac:dyDescent="0.2">
      <c r="A1" s="3" t="s">
        <v>0</v>
      </c>
      <c r="B1" s="3" t="s">
        <v>113</v>
      </c>
    </row>
    <row r="2" spans="1:3" x14ac:dyDescent="0.2">
      <c r="A2" t="s">
        <v>90</v>
      </c>
      <c r="B2">
        <v>14.73</v>
      </c>
      <c r="C2" t="b">
        <f>A2='MSCI EM_Monthly'!A2</f>
        <v>1</v>
      </c>
    </row>
    <row r="3" spans="1:3" x14ac:dyDescent="0.2">
      <c r="A3" t="s">
        <v>91</v>
      </c>
      <c r="B3">
        <v>15.18</v>
      </c>
      <c r="C3" t="b">
        <f>A3='MSCI EM_Monthly'!A3</f>
        <v>1</v>
      </c>
    </row>
    <row r="4" spans="1:3" x14ac:dyDescent="0.2">
      <c r="A4" t="s">
        <v>92</v>
      </c>
      <c r="B4">
        <v>15.64</v>
      </c>
      <c r="C4" t="b">
        <f>A4='MSCI EM_Monthly'!A4</f>
        <v>1</v>
      </c>
    </row>
    <row r="5" spans="1:3" x14ac:dyDescent="0.2">
      <c r="A5" t="s">
        <v>93</v>
      </c>
      <c r="B5">
        <v>16.12</v>
      </c>
      <c r="C5" t="b">
        <f>A5='MSCI EM_Monthly'!A5</f>
        <v>1</v>
      </c>
    </row>
    <row r="6" spans="1:3" x14ac:dyDescent="0.2">
      <c r="A6" t="s">
        <v>94</v>
      </c>
      <c r="B6">
        <v>16.63</v>
      </c>
      <c r="C6" t="b">
        <f>A6='MSCI EM_Monthly'!A6</f>
        <v>1</v>
      </c>
    </row>
    <row r="7" spans="1:3" x14ac:dyDescent="0.2">
      <c r="A7" t="s">
        <v>95</v>
      </c>
      <c r="B7">
        <v>16.690000000000001</v>
      </c>
      <c r="C7" t="b">
        <f>A7='MSCI EM_Monthly'!A7</f>
        <v>1</v>
      </c>
    </row>
    <row r="8" spans="1:3" x14ac:dyDescent="0.2">
      <c r="A8" t="s">
        <v>96</v>
      </c>
      <c r="B8">
        <v>17.89</v>
      </c>
      <c r="C8" t="b">
        <f>A8='MSCI EM_Monthly'!A8</f>
        <v>1</v>
      </c>
    </row>
    <row r="9" spans="1:3" x14ac:dyDescent="0.2">
      <c r="A9" t="s">
        <v>97</v>
      </c>
      <c r="B9">
        <v>18.309999999999999</v>
      </c>
      <c r="C9" t="b">
        <f>A9='MSCI EM_Monthly'!A9</f>
        <v>1</v>
      </c>
    </row>
    <row r="10" spans="1:3" x14ac:dyDescent="0.2">
      <c r="A10" t="s">
        <v>98</v>
      </c>
      <c r="B10">
        <v>18.399999999999999</v>
      </c>
      <c r="C10" t="b">
        <f>A10='MSCI EM_Monthly'!A10</f>
        <v>1</v>
      </c>
    </row>
    <row r="11" spans="1:3" x14ac:dyDescent="0.2">
      <c r="A11" t="s">
        <v>99</v>
      </c>
      <c r="B11">
        <v>19.100000000000001</v>
      </c>
      <c r="C11" t="b">
        <f>A11='MSCI EM_Monthly'!A11</f>
        <v>1</v>
      </c>
    </row>
    <row r="12" spans="1:3" x14ac:dyDescent="0.2">
      <c r="A12" t="s">
        <v>100</v>
      </c>
      <c r="B12">
        <v>19.149999999999999</v>
      </c>
      <c r="C12" t="b">
        <f>A12='MSCI EM_Monthly'!A12</f>
        <v>1</v>
      </c>
    </row>
    <row r="13" spans="1:3" x14ac:dyDescent="0.2">
      <c r="A13" t="s">
        <v>101</v>
      </c>
      <c r="B13">
        <v>18.47</v>
      </c>
      <c r="C13" t="b">
        <f>A13='MSCI EM_Monthly'!A13</f>
        <v>1</v>
      </c>
    </row>
    <row r="14" spans="1:3" x14ac:dyDescent="0.2">
      <c r="A14" t="s">
        <v>102</v>
      </c>
      <c r="B14">
        <v>19.670000000000002</v>
      </c>
      <c r="C14" t="b">
        <f>A14='MSCI EM_Monthly'!A14</f>
        <v>1</v>
      </c>
    </row>
    <row r="15" spans="1:3" x14ac:dyDescent="0.2">
      <c r="A15" t="s">
        <v>103</v>
      </c>
      <c r="B15">
        <v>18.84</v>
      </c>
      <c r="C15" t="b">
        <f>A15='MSCI EM_Monthly'!A15</f>
        <v>1</v>
      </c>
    </row>
    <row r="16" spans="1:3" x14ac:dyDescent="0.2">
      <c r="A16" t="s">
        <v>104</v>
      </c>
      <c r="B16">
        <v>18.350000000000001</v>
      </c>
      <c r="C16" t="b">
        <f>A16='MSCI EM_Monthly'!A16</f>
        <v>1</v>
      </c>
    </row>
    <row r="17" spans="1:3" x14ac:dyDescent="0.2">
      <c r="A17" t="s">
        <v>105</v>
      </c>
      <c r="B17">
        <v>17.91</v>
      </c>
      <c r="C17" t="b">
        <f>A17='MSCI EM_Monthly'!A17</f>
        <v>1</v>
      </c>
    </row>
    <row r="18" spans="1:3" x14ac:dyDescent="0.2">
      <c r="A18" t="s">
        <v>106</v>
      </c>
      <c r="B18">
        <v>17.41</v>
      </c>
      <c r="C18" t="b">
        <f>A18='MSCI EM_Monthly'!A18</f>
        <v>1</v>
      </c>
    </row>
    <row r="19" spans="1:3" x14ac:dyDescent="0.2">
      <c r="A19" t="s">
        <v>107</v>
      </c>
      <c r="B19">
        <v>16.899999999999999</v>
      </c>
      <c r="C19" t="b">
        <f>A19='MSCI EM_Monthly'!A19</f>
        <v>1</v>
      </c>
    </row>
    <row r="20" spans="1:3" x14ac:dyDescent="0.2">
      <c r="A20" t="s">
        <v>108</v>
      </c>
      <c r="B20">
        <v>17.149999999999999</v>
      </c>
      <c r="C20" t="b">
        <f>A20='MSCI EM_Monthly'!A20</f>
        <v>1</v>
      </c>
    </row>
    <row r="21" spans="1:3" x14ac:dyDescent="0.2">
      <c r="A21" t="s">
        <v>109</v>
      </c>
      <c r="B21">
        <v>16.899999999999999</v>
      </c>
      <c r="C21" t="b">
        <f>A21='MSCI EM_Monthly'!A21</f>
        <v>1</v>
      </c>
    </row>
    <row r="22" spans="1:3" x14ac:dyDescent="0.2">
      <c r="A22" t="s">
        <v>110</v>
      </c>
      <c r="B22">
        <v>16.96</v>
      </c>
      <c r="C22" t="b">
        <f>A22='MSCI EM_Monthly'!A22</f>
        <v>1</v>
      </c>
    </row>
    <row r="23" spans="1:3" x14ac:dyDescent="0.2">
      <c r="A23" t="s">
        <v>111</v>
      </c>
      <c r="B23">
        <v>15.49</v>
      </c>
      <c r="C23" t="b">
        <f>A23='MSCI EM_Monthly'!A23</f>
        <v>1</v>
      </c>
    </row>
    <row r="24" spans="1:3" x14ac:dyDescent="0.2">
      <c r="A24" t="s">
        <v>112</v>
      </c>
      <c r="B24">
        <v>16.059999999999999</v>
      </c>
      <c r="C24" t="b">
        <f>A24='MSCI EM_Monthly'!A24</f>
        <v>1</v>
      </c>
    </row>
    <row r="25" spans="1:3" x14ac:dyDescent="0.2">
      <c r="A25" t="s">
        <v>1</v>
      </c>
      <c r="B25">
        <v>14.82</v>
      </c>
      <c r="C25" t="b">
        <f>A25='MSCI EM_Monthly'!A25</f>
        <v>1</v>
      </c>
    </row>
    <row r="26" spans="1:3" x14ac:dyDescent="0.2">
      <c r="A26" t="s">
        <v>2</v>
      </c>
      <c r="B26">
        <v>16.46</v>
      </c>
      <c r="C26" t="b">
        <f>A26='MSCI EM_Monthly'!A26</f>
        <v>1</v>
      </c>
    </row>
    <row r="27" spans="1:3" x14ac:dyDescent="0.2">
      <c r="A27" t="s">
        <v>3</v>
      </c>
      <c r="B27">
        <v>16.399999999999999</v>
      </c>
      <c r="C27" t="b">
        <f>A27='MSCI EM_Monthly'!A27</f>
        <v>1</v>
      </c>
    </row>
    <row r="28" spans="1:3" x14ac:dyDescent="0.2">
      <c r="A28" t="s">
        <v>4</v>
      </c>
      <c r="B28">
        <v>16.68</v>
      </c>
      <c r="C28" t="b">
        <f>A28='MSCI EM_Monthly'!A28</f>
        <v>1</v>
      </c>
    </row>
    <row r="29" spans="1:3" x14ac:dyDescent="0.2">
      <c r="A29" t="s">
        <v>5</v>
      </c>
      <c r="B29">
        <v>17.16</v>
      </c>
      <c r="C29" t="b">
        <f>A29='MSCI EM_Monthly'!A29</f>
        <v>1</v>
      </c>
    </row>
    <row r="30" spans="1:3" x14ac:dyDescent="0.2">
      <c r="A30" t="s">
        <v>6</v>
      </c>
      <c r="B30">
        <v>15.93</v>
      </c>
      <c r="C30" t="b">
        <f>A30='MSCI EM_Monthly'!A30</f>
        <v>1</v>
      </c>
    </row>
    <row r="31" spans="1:3" x14ac:dyDescent="0.2">
      <c r="A31" t="s">
        <v>7</v>
      </c>
      <c r="B31">
        <v>16.940000000000001</v>
      </c>
      <c r="C31" t="b">
        <f>A31='MSCI EM_Monthly'!A31</f>
        <v>1</v>
      </c>
    </row>
    <row r="32" spans="1:3" x14ac:dyDescent="0.2">
      <c r="A32" t="s">
        <v>8</v>
      </c>
      <c r="B32">
        <v>16.850000000000001</v>
      </c>
      <c r="C32" t="b">
        <f>A32='MSCI EM_Monthly'!A32</f>
        <v>1</v>
      </c>
    </row>
    <row r="33" spans="1:3" x14ac:dyDescent="0.2">
      <c r="A33" t="s">
        <v>9</v>
      </c>
      <c r="B33">
        <v>16.100000000000001</v>
      </c>
      <c r="C33" t="b">
        <f>A33='MSCI EM_Monthly'!A33</f>
        <v>1</v>
      </c>
    </row>
    <row r="34" spans="1:3" x14ac:dyDescent="0.2">
      <c r="A34" t="s">
        <v>10</v>
      </c>
      <c r="B34">
        <v>16.53</v>
      </c>
      <c r="C34" t="b">
        <f>A34='MSCI EM_Monthly'!A34</f>
        <v>1</v>
      </c>
    </row>
    <row r="35" spans="1:3" x14ac:dyDescent="0.2">
      <c r="A35" t="s">
        <v>11</v>
      </c>
      <c r="B35">
        <v>17.16</v>
      </c>
      <c r="C35" t="b">
        <f>A35='MSCI EM_Monthly'!A35</f>
        <v>1</v>
      </c>
    </row>
    <row r="36" spans="1:3" x14ac:dyDescent="0.2">
      <c r="A36" t="s">
        <v>12</v>
      </c>
      <c r="B36">
        <v>17.350000000000001</v>
      </c>
      <c r="C36" t="b">
        <f>A36='MSCI EM_Monthly'!A36</f>
        <v>1</v>
      </c>
    </row>
    <row r="37" spans="1:3" x14ac:dyDescent="0.2">
      <c r="A37" t="s">
        <v>13</v>
      </c>
      <c r="B37">
        <v>17.54</v>
      </c>
      <c r="C37" t="b">
        <f>A37='MSCI EM_Monthly'!A37</f>
        <v>1</v>
      </c>
    </row>
    <row r="38" spans="1:3" x14ac:dyDescent="0.2">
      <c r="A38" t="s">
        <v>14</v>
      </c>
      <c r="B38">
        <v>16.690000000000001</v>
      </c>
      <c r="C38" t="b">
        <f>A38='MSCI EM_Monthly'!A38</f>
        <v>1</v>
      </c>
    </row>
    <row r="39" spans="1:3" x14ac:dyDescent="0.2">
      <c r="A39" t="s">
        <v>15</v>
      </c>
      <c r="B39">
        <v>15.93</v>
      </c>
      <c r="C39" t="b">
        <f>A39='MSCI EM_Monthly'!A39</f>
        <v>1</v>
      </c>
    </row>
    <row r="40" spans="1:3" x14ac:dyDescent="0.2">
      <c r="A40" t="s">
        <v>16</v>
      </c>
      <c r="B40">
        <v>13.01</v>
      </c>
      <c r="C40" t="b">
        <f>A40='MSCI EM_Monthly'!A40</f>
        <v>1</v>
      </c>
    </row>
    <row r="41" spans="1:3" x14ac:dyDescent="0.2">
      <c r="A41" t="s">
        <v>17</v>
      </c>
      <c r="B41">
        <v>14.17</v>
      </c>
      <c r="C41" t="b">
        <f>A41='MSCI EM_Monthly'!A41</f>
        <v>1</v>
      </c>
    </row>
    <row r="42" spans="1:3" x14ac:dyDescent="0.2">
      <c r="A42" t="s">
        <v>18</v>
      </c>
      <c r="B42">
        <v>14.4</v>
      </c>
      <c r="C42" t="b">
        <f>A42='MSCI EM_Monthly'!A42</f>
        <v>1</v>
      </c>
    </row>
    <row r="43" spans="1:3" x14ac:dyDescent="0.2">
      <c r="A43" t="s">
        <v>19</v>
      </c>
      <c r="B43">
        <v>15.67</v>
      </c>
      <c r="C43" t="b">
        <f>A43='MSCI EM_Monthly'!A43</f>
        <v>1</v>
      </c>
    </row>
    <row r="44" spans="1:3" x14ac:dyDescent="0.2">
      <c r="A44" t="s">
        <v>20</v>
      </c>
      <c r="B44">
        <v>17.21</v>
      </c>
      <c r="C44" t="b">
        <f>A44='MSCI EM_Monthly'!A44</f>
        <v>1</v>
      </c>
    </row>
    <row r="45" spans="1:3" x14ac:dyDescent="0.2">
      <c r="A45" t="s">
        <v>21</v>
      </c>
      <c r="B45">
        <v>17.579999999999998</v>
      </c>
      <c r="C45" t="b">
        <f>A45='MSCI EM_Monthly'!A45</f>
        <v>1</v>
      </c>
    </row>
    <row r="46" spans="1:3" x14ac:dyDescent="0.2">
      <c r="A46" t="s">
        <v>22</v>
      </c>
      <c r="B46">
        <v>17.43</v>
      </c>
      <c r="C46" t="b">
        <f>A46='MSCI EM_Monthly'!A46</f>
        <v>1</v>
      </c>
    </row>
    <row r="47" spans="1:3" x14ac:dyDescent="0.2">
      <c r="A47" t="s">
        <v>23</v>
      </c>
      <c r="B47">
        <v>17.71</v>
      </c>
      <c r="C47" t="b">
        <f>A47='MSCI EM_Monthly'!A47</f>
        <v>1</v>
      </c>
    </row>
    <row r="48" spans="1:3" x14ac:dyDescent="0.2">
      <c r="A48" t="s">
        <v>24</v>
      </c>
      <c r="B48">
        <v>19.18</v>
      </c>
      <c r="C48" t="b">
        <f>A48='MSCI EM_Monthly'!A48</f>
        <v>1</v>
      </c>
    </row>
    <row r="49" spans="1:3" x14ac:dyDescent="0.2">
      <c r="A49" t="s">
        <v>25</v>
      </c>
      <c r="B49">
        <v>19.98</v>
      </c>
      <c r="C49" t="b">
        <f>A49='MSCI EM_Monthly'!A49</f>
        <v>1</v>
      </c>
    </row>
    <row r="50" spans="1:3" x14ac:dyDescent="0.2">
      <c r="A50" t="s">
        <v>26</v>
      </c>
      <c r="B50">
        <v>21.07</v>
      </c>
      <c r="C50" t="b">
        <f>A50='MSCI EM_Monthly'!A50</f>
        <v>1</v>
      </c>
    </row>
    <row r="51" spans="1:3" x14ac:dyDescent="0.2">
      <c r="A51" t="s">
        <v>27</v>
      </c>
      <c r="B51">
        <v>21.3</v>
      </c>
      <c r="C51" t="b">
        <f>A51='MSCI EM_Monthly'!A51</f>
        <v>1</v>
      </c>
    </row>
    <row r="52" spans="1:3" x14ac:dyDescent="0.2">
      <c r="A52" t="s">
        <v>28</v>
      </c>
      <c r="B52">
        <v>21.19</v>
      </c>
      <c r="C52" t="b">
        <f>A52='MSCI EM_Monthly'!A52</f>
        <v>1</v>
      </c>
    </row>
    <row r="53" spans="1:3" x14ac:dyDescent="0.2">
      <c r="A53" t="s">
        <v>29</v>
      </c>
      <c r="B53">
        <v>21.49</v>
      </c>
      <c r="C53" t="b">
        <f>A53='MSCI EM_Monthly'!A53</f>
        <v>1</v>
      </c>
    </row>
    <row r="54" spans="1:3" x14ac:dyDescent="0.2">
      <c r="A54" t="s">
        <v>74</v>
      </c>
      <c r="B54">
        <v>21.56</v>
      </c>
      <c r="C54" t="b">
        <f>A54='MSCI EM_Monthly'!A54</f>
        <v>1</v>
      </c>
    </row>
    <row r="55" spans="1:3" x14ac:dyDescent="0.2">
      <c r="A55" t="s">
        <v>30</v>
      </c>
      <c r="B55">
        <v>21.63</v>
      </c>
      <c r="C55" t="b">
        <f>A55='MSCI EM_Monthly'!A55</f>
        <v>1</v>
      </c>
    </row>
    <row r="56" spans="1:3" x14ac:dyDescent="0.2">
      <c r="A56" t="s">
        <v>31</v>
      </c>
      <c r="B56">
        <v>20.03</v>
      </c>
      <c r="C56" t="b">
        <f>A56='MSCI EM_Monthly'!A56</f>
        <v>1</v>
      </c>
    </row>
    <row r="57" spans="1:3" x14ac:dyDescent="0.2">
      <c r="A57" t="s">
        <v>32</v>
      </c>
      <c r="B57">
        <v>20.09</v>
      </c>
      <c r="C57" t="b">
        <f>A57='MSCI EM_Monthly'!A57</f>
        <v>1</v>
      </c>
    </row>
    <row r="58" spans="1:3" x14ac:dyDescent="0.2">
      <c r="A58" t="s">
        <v>33</v>
      </c>
      <c r="B58">
        <v>19.170000000000002</v>
      </c>
      <c r="C58" t="b">
        <f>A58='MSCI EM_Monthly'!A58</f>
        <v>1</v>
      </c>
    </row>
    <row r="59" spans="1:3" x14ac:dyDescent="0.2">
      <c r="A59" t="s">
        <v>34</v>
      </c>
      <c r="B59">
        <v>19.71</v>
      </c>
      <c r="C59" t="b">
        <f>A59='MSCI EM_Monthly'!A59</f>
        <v>1</v>
      </c>
    </row>
    <row r="60" spans="1:3" x14ac:dyDescent="0.2">
      <c r="A60" t="s">
        <v>35</v>
      </c>
      <c r="B60">
        <v>18.510000000000002</v>
      </c>
      <c r="C60" t="b">
        <f>A60='MSCI EM_Monthly'!A60</f>
        <v>1</v>
      </c>
    </row>
    <row r="61" spans="1:3" x14ac:dyDescent="0.2">
      <c r="A61" t="s">
        <v>36</v>
      </c>
      <c r="B61">
        <v>17.77</v>
      </c>
      <c r="C61" t="b">
        <f>A61='MSCI EM_Monthly'!A61</f>
        <v>1</v>
      </c>
    </row>
    <row r="62" spans="1:3" x14ac:dyDescent="0.2">
      <c r="A62" t="s">
        <v>37</v>
      </c>
      <c r="B62">
        <v>17.760000000000002</v>
      </c>
      <c r="C62" t="b">
        <f>A62='MSCI EM_Monthly'!A62</f>
        <v>1</v>
      </c>
    </row>
    <row r="63" spans="1:3" x14ac:dyDescent="0.2">
      <c r="A63" t="s">
        <v>38</v>
      </c>
      <c r="B63">
        <v>16.16</v>
      </c>
      <c r="C63" t="b">
        <f>A63='MSCI EM_Monthly'!A63</f>
        <v>1</v>
      </c>
    </row>
    <row r="64" spans="1:3" x14ac:dyDescent="0.2">
      <c r="A64" t="s">
        <v>39</v>
      </c>
      <c r="B64">
        <v>15.45</v>
      </c>
      <c r="C64" t="b">
        <f>A64='MSCI EM_Monthly'!A64</f>
        <v>1</v>
      </c>
    </row>
    <row r="65" spans="1:3" x14ac:dyDescent="0.2">
      <c r="A65" t="s">
        <v>40</v>
      </c>
      <c r="B65">
        <v>14.08</v>
      </c>
      <c r="C65" t="b">
        <f>A65='MSCI EM_Monthly'!A65</f>
        <v>1</v>
      </c>
    </row>
    <row r="66" spans="1:3" x14ac:dyDescent="0.2">
      <c r="A66" t="s">
        <v>41</v>
      </c>
      <c r="B66">
        <v>14.56</v>
      </c>
      <c r="C66" t="b">
        <f>A66='MSCI EM_Monthly'!A66</f>
        <v>1</v>
      </c>
    </row>
    <row r="67" spans="1:3" x14ac:dyDescent="0.2">
      <c r="A67" t="s">
        <v>42</v>
      </c>
      <c r="B67">
        <v>13.7</v>
      </c>
      <c r="C67" t="b">
        <f>A67='MSCI EM_Monthly'!A67</f>
        <v>1</v>
      </c>
    </row>
    <row r="68" spans="1:3" x14ac:dyDescent="0.2">
      <c r="A68" t="s">
        <v>43</v>
      </c>
      <c r="B68">
        <v>13.75</v>
      </c>
      <c r="C68" t="b">
        <f>A68='MSCI EM_Monthly'!A68</f>
        <v>1</v>
      </c>
    </row>
    <row r="69" spans="1:3" x14ac:dyDescent="0.2">
      <c r="A69" t="s">
        <v>44</v>
      </c>
      <c r="B69">
        <v>13.72</v>
      </c>
      <c r="C69" t="b">
        <f>A69='MSCI EM_Monthly'!A69</f>
        <v>1</v>
      </c>
    </row>
    <row r="70" spans="1:3" x14ac:dyDescent="0.2">
      <c r="A70" t="s">
        <v>45</v>
      </c>
      <c r="B70">
        <v>12.04</v>
      </c>
      <c r="C70" t="b">
        <f>A70='MSCI EM_Monthly'!A70</f>
        <v>1</v>
      </c>
    </row>
    <row r="71" spans="1:3" x14ac:dyDescent="0.2">
      <c r="A71" t="s">
        <v>46</v>
      </c>
      <c r="B71">
        <v>11.87</v>
      </c>
      <c r="C71" t="b">
        <f>A71='MSCI EM_Monthly'!A71</f>
        <v>1</v>
      </c>
    </row>
    <row r="72" spans="1:3" x14ac:dyDescent="0.2">
      <c r="A72" t="s">
        <v>47</v>
      </c>
      <c r="B72">
        <v>14.07</v>
      </c>
      <c r="C72" t="b">
        <f>A72='MSCI EM_Monthly'!A72</f>
        <v>1</v>
      </c>
    </row>
    <row r="73" spans="1:3" x14ac:dyDescent="0.2">
      <c r="A73" t="s">
        <v>48</v>
      </c>
      <c r="B73">
        <v>12.59</v>
      </c>
      <c r="C73" t="b">
        <f>A73='MSCI EM_Monthly'!A73</f>
        <v>1</v>
      </c>
    </row>
    <row r="74" spans="1:3" x14ac:dyDescent="0.2">
      <c r="A74" t="s">
        <v>49</v>
      </c>
      <c r="B74">
        <v>14</v>
      </c>
      <c r="C74" t="b">
        <f>A74='MSCI EM_Monthly'!A74</f>
        <v>1</v>
      </c>
    </row>
    <row r="75" spans="1:3" x14ac:dyDescent="0.2">
      <c r="A75" t="s">
        <v>50</v>
      </c>
      <c r="B75">
        <v>13</v>
      </c>
      <c r="C75" t="b">
        <f>A75='MSCI EM_Monthly'!A75</f>
        <v>1</v>
      </c>
    </row>
    <row r="76" spans="1:3" x14ac:dyDescent="0.2">
      <c r="A76" t="s">
        <v>51</v>
      </c>
      <c r="B76">
        <v>13.46</v>
      </c>
      <c r="C76" t="b">
        <f>A76='MSCI EM_Monthly'!A76</f>
        <v>1</v>
      </c>
    </row>
    <row r="77" spans="1:3" x14ac:dyDescent="0.2">
      <c r="A77" t="s">
        <v>52</v>
      </c>
      <c r="B77">
        <v>13.18</v>
      </c>
      <c r="C77" t="b">
        <f>A77='MSCI EM_Monthly'!A77</f>
        <v>1</v>
      </c>
    </row>
    <row r="78" spans="1:3" x14ac:dyDescent="0.2">
      <c r="A78" t="s">
        <v>53</v>
      </c>
      <c r="B78">
        <v>13.11</v>
      </c>
      <c r="C78" t="b">
        <f>A78='MSCI EM_Monthly'!A78</f>
        <v>1</v>
      </c>
    </row>
    <row r="79" spans="1:3" x14ac:dyDescent="0.2">
      <c r="A79" t="s">
        <v>54</v>
      </c>
      <c r="B79">
        <v>13.71</v>
      </c>
      <c r="C79" t="b">
        <f>A79='MSCI EM_Monthly'!A79</f>
        <v>1</v>
      </c>
    </row>
    <row r="80" spans="1:3" x14ac:dyDescent="0.2">
      <c r="A80" t="s">
        <v>55</v>
      </c>
      <c r="B80">
        <v>14.55</v>
      </c>
      <c r="C80" t="b">
        <f>A80='MSCI EM_Monthly'!A80</f>
        <v>1</v>
      </c>
    </row>
    <row r="81" spans="1:3" x14ac:dyDescent="0.2">
      <c r="A81" t="s">
        <v>56</v>
      </c>
      <c r="B81">
        <v>13.63</v>
      </c>
      <c r="C81" t="b">
        <f>A81='MSCI EM_Monthly'!A81</f>
        <v>1</v>
      </c>
    </row>
    <row r="82" spans="1:3" x14ac:dyDescent="0.2">
      <c r="A82" t="s">
        <v>57</v>
      </c>
      <c r="B82">
        <v>13.22</v>
      </c>
      <c r="C82" t="b">
        <f>A82='MSCI EM_Monthly'!A82</f>
        <v>1</v>
      </c>
    </row>
    <row r="83" spans="1:3" x14ac:dyDescent="0.2">
      <c r="A83" t="s">
        <v>58</v>
      </c>
      <c r="B83">
        <v>12.77</v>
      </c>
      <c r="C83" t="b">
        <f>A83='MSCI EM_Monthly'!A83</f>
        <v>1</v>
      </c>
    </row>
    <row r="84" spans="1:3" x14ac:dyDescent="0.2">
      <c r="A84" t="s">
        <v>59</v>
      </c>
      <c r="B84">
        <v>13.71</v>
      </c>
      <c r="C84" t="b">
        <f>A84='MSCI EM_Monthly'!A84</f>
        <v>1</v>
      </c>
    </row>
    <row r="85" spans="1:3" x14ac:dyDescent="0.2">
      <c r="A85" t="s">
        <v>60</v>
      </c>
      <c r="B85">
        <v>13.53</v>
      </c>
      <c r="C85" t="b">
        <f>A85='MSCI EM_Monthly'!A85</f>
        <v>1</v>
      </c>
    </row>
    <row r="86" spans="1:3" x14ac:dyDescent="0.2">
      <c r="A86" t="s">
        <v>61</v>
      </c>
      <c r="B86">
        <v>12.89</v>
      </c>
      <c r="C86" t="b">
        <f>A86='MSCI EM_Monthly'!A86</f>
        <v>1</v>
      </c>
    </row>
    <row r="87" spans="1:3" x14ac:dyDescent="0.2">
      <c r="A87" t="s">
        <v>62</v>
      </c>
      <c r="B87">
        <v>13.38</v>
      </c>
      <c r="C87" t="b">
        <f>A87='MSCI EM_Monthly'!A87</f>
        <v>1</v>
      </c>
    </row>
    <row r="88" spans="1:3" x14ac:dyDescent="0.2">
      <c r="A88" t="s">
        <v>75</v>
      </c>
      <c r="B88">
        <v>13.92</v>
      </c>
      <c r="C88" t="b">
        <f>A88='MSCI EM_Monthly'!A88</f>
        <v>1</v>
      </c>
    </row>
    <row r="89" spans="1:3" x14ac:dyDescent="0.2">
      <c r="A89" t="s">
        <v>63</v>
      </c>
      <c r="B89">
        <v>13.75</v>
      </c>
      <c r="C89" t="b">
        <f>A89='MSCI EM_Monthly'!A89</f>
        <v>1</v>
      </c>
    </row>
    <row r="90" spans="1:3" x14ac:dyDescent="0.2">
      <c r="A90" t="s">
        <v>64</v>
      </c>
      <c r="B90">
        <v>14.01</v>
      </c>
      <c r="C90" t="b">
        <f>A90='MSCI EM_Monthly'!A90</f>
        <v>1</v>
      </c>
    </row>
    <row r="91" spans="1:3" x14ac:dyDescent="0.2">
      <c r="A91" t="s">
        <v>65</v>
      </c>
      <c r="B91">
        <v>14.45</v>
      </c>
      <c r="C91" t="b">
        <f>A91='MSCI EM_Monthly'!A91</f>
        <v>1</v>
      </c>
    </row>
    <row r="92" spans="1:3" x14ac:dyDescent="0.2">
      <c r="A92" t="s">
        <v>66</v>
      </c>
      <c r="B92">
        <v>14.62</v>
      </c>
      <c r="C92" t="b">
        <f>A92='MSCI EM_Monthly'!A92</f>
        <v>1</v>
      </c>
    </row>
    <row r="93" spans="1:3" x14ac:dyDescent="0.2">
      <c r="A93" t="s">
        <v>67</v>
      </c>
      <c r="B93">
        <v>14.81</v>
      </c>
      <c r="C93" t="b">
        <f>A93='MSCI EM_Monthly'!A93</f>
        <v>1</v>
      </c>
    </row>
    <row r="94" spans="1:3" x14ac:dyDescent="0.2">
      <c r="A94" t="s">
        <v>68</v>
      </c>
      <c r="B94">
        <v>15.61</v>
      </c>
      <c r="C94" t="b">
        <f>A94='MSCI EM_Monthly'!A94</f>
        <v>1</v>
      </c>
    </row>
    <row r="95" spans="1:3" x14ac:dyDescent="0.2">
      <c r="A95" t="s">
        <v>69</v>
      </c>
      <c r="B95">
        <v>15.13</v>
      </c>
      <c r="C95" t="b">
        <f>A95='MSCI EM_Monthly'!A95</f>
        <v>1</v>
      </c>
    </row>
    <row r="96" spans="1:3" x14ac:dyDescent="0.2">
      <c r="A96" t="s">
        <v>70</v>
      </c>
      <c r="B96">
        <v>14.88</v>
      </c>
      <c r="C96" t="b">
        <f>A96='MSCI EM_Monthly'!A96</f>
        <v>1</v>
      </c>
    </row>
    <row r="97" spans="1:3" x14ac:dyDescent="0.2">
      <c r="A97" t="s">
        <v>76</v>
      </c>
      <c r="B97">
        <v>14.08</v>
      </c>
      <c r="C97" t="b">
        <f>A97='MSCI EM_Monthly'!A97</f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26D1-6CE2-4F14-81A0-27A67703E39C}">
  <dimension ref="A1:B97"/>
  <sheetViews>
    <sheetView workbookViewId="0">
      <selection activeCell="B1" sqref="B1"/>
    </sheetView>
  </sheetViews>
  <sheetFormatPr baseColWidth="10" defaultRowHeight="15" x14ac:dyDescent="0.2"/>
  <sheetData>
    <row r="1" spans="1:2" ht="64" x14ac:dyDescent="0.2">
      <c r="A1" s="5" t="s">
        <v>0</v>
      </c>
      <c r="B1" s="4" t="s">
        <v>73</v>
      </c>
    </row>
    <row r="2" spans="1:2" x14ac:dyDescent="0.2">
      <c r="A2" t="s">
        <v>90</v>
      </c>
      <c r="B2">
        <v>400.62607300000002</v>
      </c>
    </row>
    <row r="3" spans="1:2" x14ac:dyDescent="0.2">
      <c r="A3" t="s">
        <v>91</v>
      </c>
      <c r="B3">
        <v>412.889994</v>
      </c>
    </row>
    <row r="4" spans="1:2" x14ac:dyDescent="0.2">
      <c r="A4" t="s">
        <v>92</v>
      </c>
      <c r="B4">
        <v>423.31274300000001</v>
      </c>
    </row>
    <row r="5" spans="1:2" x14ac:dyDescent="0.2">
      <c r="A5" t="s">
        <v>93</v>
      </c>
      <c r="B5">
        <v>432.58049199999999</v>
      </c>
    </row>
    <row r="6" spans="1:2" x14ac:dyDescent="0.2">
      <c r="A6" t="s">
        <v>94</v>
      </c>
      <c r="B6">
        <v>445.369462</v>
      </c>
    </row>
    <row r="7" spans="1:2" x14ac:dyDescent="0.2">
      <c r="A7" t="s">
        <v>95</v>
      </c>
      <c r="B7">
        <v>449.85280499999999</v>
      </c>
    </row>
    <row r="8" spans="1:2" x14ac:dyDescent="0.2">
      <c r="A8" t="s">
        <v>96</v>
      </c>
      <c r="B8">
        <v>476.66831300000001</v>
      </c>
    </row>
    <row r="9" spans="1:2" x14ac:dyDescent="0.2">
      <c r="A9" t="s">
        <v>97</v>
      </c>
      <c r="B9">
        <v>487.30058700000001</v>
      </c>
    </row>
    <row r="10" spans="1:2" x14ac:dyDescent="0.2">
      <c r="A10" t="s">
        <v>98</v>
      </c>
      <c r="B10">
        <v>485.36297400000001</v>
      </c>
    </row>
    <row r="11" spans="1:2" x14ac:dyDescent="0.2">
      <c r="A11" t="s">
        <v>99</v>
      </c>
      <c r="B11">
        <v>502.37775199999999</v>
      </c>
    </row>
    <row r="12" spans="1:2" x14ac:dyDescent="0.2">
      <c r="A12" t="s">
        <v>100</v>
      </c>
      <c r="B12">
        <v>503.38621599999999</v>
      </c>
    </row>
    <row r="13" spans="1:2" x14ac:dyDescent="0.2">
      <c r="A13" t="s">
        <v>101</v>
      </c>
      <c r="B13">
        <v>521.45634700000005</v>
      </c>
    </row>
    <row r="14" spans="1:2" x14ac:dyDescent="0.2">
      <c r="A14" t="s">
        <v>102</v>
      </c>
      <c r="B14">
        <v>564.91753100000005</v>
      </c>
    </row>
    <row r="15" spans="1:2" x14ac:dyDescent="0.2">
      <c r="A15" t="s">
        <v>103</v>
      </c>
      <c r="B15">
        <v>538.863922</v>
      </c>
    </row>
    <row r="16" spans="1:2" x14ac:dyDescent="0.2">
      <c r="A16" t="s">
        <v>104</v>
      </c>
      <c r="B16">
        <v>528.84461999999996</v>
      </c>
    </row>
    <row r="17" spans="1:2" x14ac:dyDescent="0.2">
      <c r="A17" t="s">
        <v>105</v>
      </c>
      <c r="B17">
        <v>526.50486100000001</v>
      </c>
    </row>
    <row r="18" spans="1:2" x14ac:dyDescent="0.2">
      <c r="A18" t="s">
        <v>106</v>
      </c>
      <c r="B18">
        <v>507.84866599999998</v>
      </c>
    </row>
    <row r="19" spans="1:2" x14ac:dyDescent="0.2">
      <c r="A19" t="s">
        <v>107</v>
      </c>
      <c r="B19">
        <v>486.74909000000002</v>
      </c>
    </row>
    <row r="20" spans="1:2" x14ac:dyDescent="0.2">
      <c r="A20" t="s">
        <v>108</v>
      </c>
      <c r="B20">
        <v>497.44163500000002</v>
      </c>
    </row>
    <row r="21" spans="1:2" x14ac:dyDescent="0.2">
      <c r="A21" t="s">
        <v>109</v>
      </c>
      <c r="B21">
        <v>483.99122899999998</v>
      </c>
    </row>
    <row r="22" spans="1:2" x14ac:dyDescent="0.2">
      <c r="A22" t="s">
        <v>110</v>
      </c>
      <c r="B22">
        <v>481.42252400000001</v>
      </c>
    </row>
    <row r="23" spans="1:2" x14ac:dyDescent="0.2">
      <c r="A23" t="s">
        <v>111</v>
      </c>
      <c r="B23">
        <v>439.49900500000001</v>
      </c>
    </row>
    <row r="24" spans="1:2" x14ac:dyDescent="0.2">
      <c r="A24" t="s">
        <v>112</v>
      </c>
      <c r="B24">
        <v>457.61063899999999</v>
      </c>
    </row>
    <row r="25" spans="1:2" x14ac:dyDescent="0.2">
      <c r="A25" t="s">
        <v>1</v>
      </c>
      <c r="B25">
        <v>445.48794900000001</v>
      </c>
    </row>
    <row r="26" spans="1:2" x14ac:dyDescent="0.2">
      <c r="A26" t="s">
        <v>2</v>
      </c>
      <c r="B26">
        <v>484.49378200000001</v>
      </c>
    </row>
    <row r="27" spans="1:2" x14ac:dyDescent="0.2">
      <c r="A27" t="s">
        <v>3</v>
      </c>
      <c r="B27">
        <v>485.58305899999999</v>
      </c>
    </row>
    <row r="28" spans="1:2" x14ac:dyDescent="0.2">
      <c r="A28" t="s">
        <v>4</v>
      </c>
      <c r="B28">
        <v>489.65846399999998</v>
      </c>
    </row>
    <row r="29" spans="1:2" x14ac:dyDescent="0.2">
      <c r="A29" t="s">
        <v>5</v>
      </c>
      <c r="B29">
        <v>499.96667600000001</v>
      </c>
    </row>
    <row r="30" spans="1:2" x14ac:dyDescent="0.2">
      <c r="A30" t="s">
        <v>6</v>
      </c>
      <c r="B30">
        <v>463.68839600000001</v>
      </c>
    </row>
    <row r="31" spans="1:2" x14ac:dyDescent="0.2">
      <c r="A31" t="s">
        <v>7</v>
      </c>
      <c r="B31">
        <v>492.62772000000001</v>
      </c>
    </row>
    <row r="32" spans="1:2" x14ac:dyDescent="0.2">
      <c r="A32" t="s">
        <v>8</v>
      </c>
      <c r="B32">
        <v>486.60388499999999</v>
      </c>
    </row>
    <row r="33" spans="1:2" x14ac:dyDescent="0.2">
      <c r="A33" t="s">
        <v>9</v>
      </c>
      <c r="B33">
        <v>462.87866200000002</v>
      </c>
    </row>
    <row r="34" spans="1:2" x14ac:dyDescent="0.2">
      <c r="A34" t="s">
        <v>10</v>
      </c>
      <c r="B34">
        <v>471.71491600000002</v>
      </c>
    </row>
    <row r="35" spans="1:2" x14ac:dyDescent="0.2">
      <c r="A35" t="s">
        <v>11</v>
      </c>
      <c r="B35">
        <v>491.60564299999999</v>
      </c>
    </row>
    <row r="36" spans="1:2" x14ac:dyDescent="0.2">
      <c r="A36" t="s">
        <v>12</v>
      </c>
      <c r="B36">
        <v>490.929216</v>
      </c>
    </row>
    <row r="37" spans="1:2" x14ac:dyDescent="0.2">
      <c r="A37" t="s">
        <v>13</v>
      </c>
      <c r="B37">
        <v>527.55514600000004</v>
      </c>
    </row>
    <row r="38" spans="1:2" x14ac:dyDescent="0.2">
      <c r="A38" t="s">
        <v>14</v>
      </c>
      <c r="B38">
        <v>502.96333900000002</v>
      </c>
    </row>
    <row r="39" spans="1:2" x14ac:dyDescent="0.2">
      <c r="A39" t="s">
        <v>15</v>
      </c>
      <c r="B39">
        <v>476.44049799999999</v>
      </c>
    </row>
    <row r="40" spans="1:2" x14ac:dyDescent="0.2">
      <c r="A40" t="s">
        <v>16</v>
      </c>
      <c r="B40">
        <v>403.057794</v>
      </c>
    </row>
    <row r="41" spans="1:2" x14ac:dyDescent="0.2">
      <c r="A41" t="s">
        <v>17</v>
      </c>
      <c r="B41">
        <v>439.96734199999997</v>
      </c>
    </row>
    <row r="42" spans="1:2" x14ac:dyDescent="0.2">
      <c r="A42" t="s">
        <v>18</v>
      </c>
      <c r="B42">
        <v>443.34662200000002</v>
      </c>
    </row>
    <row r="43" spans="1:2" x14ac:dyDescent="0.2">
      <c r="A43" t="s">
        <v>19</v>
      </c>
      <c r="B43">
        <v>475.93660199999999</v>
      </c>
    </row>
    <row r="44" spans="1:2" x14ac:dyDescent="0.2">
      <c r="A44" t="s">
        <v>20</v>
      </c>
      <c r="B44">
        <v>518.46717200000001</v>
      </c>
    </row>
    <row r="45" spans="1:2" x14ac:dyDescent="0.2">
      <c r="A45" t="s">
        <v>21</v>
      </c>
      <c r="B45">
        <v>529.92767200000003</v>
      </c>
    </row>
    <row r="46" spans="1:2" x14ac:dyDescent="0.2">
      <c r="A46" t="s">
        <v>22</v>
      </c>
      <c r="B46">
        <v>521.42799600000001</v>
      </c>
    </row>
    <row r="47" spans="1:2" x14ac:dyDescent="0.2">
      <c r="A47" t="s">
        <v>23</v>
      </c>
      <c r="B47">
        <v>532.17096300000003</v>
      </c>
    </row>
    <row r="48" spans="1:2" x14ac:dyDescent="0.2">
      <c r="A48" t="s">
        <v>24</v>
      </c>
      <c r="B48">
        <v>581.39010900000005</v>
      </c>
    </row>
    <row r="49" spans="1:2" x14ac:dyDescent="0.2">
      <c r="A49" t="s">
        <v>25</v>
      </c>
      <c r="B49">
        <v>624.13011200000005</v>
      </c>
    </row>
    <row r="50" spans="1:2" x14ac:dyDescent="0.2">
      <c r="A50" t="s">
        <v>26</v>
      </c>
      <c r="B50">
        <v>643.26456099999996</v>
      </c>
    </row>
    <row r="51" spans="1:2" x14ac:dyDescent="0.2">
      <c r="A51" t="s">
        <v>27</v>
      </c>
      <c r="B51">
        <v>648.18468900000005</v>
      </c>
    </row>
    <row r="52" spans="1:2" x14ac:dyDescent="0.2">
      <c r="A52" t="s">
        <v>28</v>
      </c>
      <c r="B52">
        <v>638.39540799999997</v>
      </c>
    </row>
    <row r="53" spans="1:2" x14ac:dyDescent="0.2">
      <c r="A53" t="s">
        <v>29</v>
      </c>
      <c r="B53">
        <v>654.29002200000002</v>
      </c>
    </row>
    <row r="54" spans="1:2" x14ac:dyDescent="0.2">
      <c r="A54" t="s">
        <v>74</v>
      </c>
      <c r="B54">
        <v>669.46322299999997</v>
      </c>
    </row>
    <row r="55" spans="1:2" x14ac:dyDescent="0.2">
      <c r="A55" t="s">
        <v>30</v>
      </c>
      <c r="B55">
        <v>670.61697300000003</v>
      </c>
    </row>
    <row r="56" spans="1:2" x14ac:dyDescent="0.2">
      <c r="A56" t="s">
        <v>31</v>
      </c>
      <c r="B56">
        <v>625.48549100000002</v>
      </c>
    </row>
    <row r="57" spans="1:2" x14ac:dyDescent="0.2">
      <c r="A57" t="s">
        <v>32</v>
      </c>
      <c r="B57">
        <v>641.85774300000003</v>
      </c>
    </row>
    <row r="58" spans="1:2" x14ac:dyDescent="0.2">
      <c r="A58" t="s">
        <v>33</v>
      </c>
      <c r="B58">
        <v>616.34986200000003</v>
      </c>
    </row>
    <row r="59" spans="1:2" x14ac:dyDescent="0.2">
      <c r="A59" t="s">
        <v>34</v>
      </c>
      <c r="B59">
        <v>622.42881299999999</v>
      </c>
    </row>
    <row r="60" spans="1:2" x14ac:dyDescent="0.2">
      <c r="A60" t="s">
        <v>35</v>
      </c>
      <c r="B60">
        <v>597.06282599999997</v>
      </c>
    </row>
    <row r="61" spans="1:2" x14ac:dyDescent="0.2">
      <c r="A61" t="s">
        <v>36</v>
      </c>
      <c r="B61">
        <v>608.26582699999994</v>
      </c>
    </row>
    <row r="62" spans="1:2" x14ac:dyDescent="0.2">
      <c r="A62" t="s">
        <v>37</v>
      </c>
      <c r="B62">
        <v>596.75196800000003</v>
      </c>
    </row>
    <row r="63" spans="1:2" x14ac:dyDescent="0.2">
      <c r="A63" t="s">
        <v>38</v>
      </c>
      <c r="B63">
        <v>578.91493100000002</v>
      </c>
    </row>
    <row r="64" spans="1:2" x14ac:dyDescent="0.2">
      <c r="A64" t="s">
        <v>39</v>
      </c>
      <c r="B64">
        <v>565.83973900000001</v>
      </c>
    </row>
    <row r="65" spans="1:2" x14ac:dyDescent="0.2">
      <c r="A65" t="s">
        <v>40</v>
      </c>
      <c r="B65">
        <v>534.36414200000002</v>
      </c>
    </row>
    <row r="66" spans="1:2" x14ac:dyDescent="0.2">
      <c r="A66" t="s">
        <v>41</v>
      </c>
      <c r="B66">
        <v>536.71687099999997</v>
      </c>
    </row>
    <row r="67" spans="1:2" x14ac:dyDescent="0.2">
      <c r="A67" t="s">
        <v>42</v>
      </c>
      <c r="B67">
        <v>501.05226900000002</v>
      </c>
    </row>
    <row r="68" spans="1:2" x14ac:dyDescent="0.2">
      <c r="A68" t="s">
        <v>43</v>
      </c>
      <c r="B68">
        <v>499.821394</v>
      </c>
    </row>
    <row r="69" spans="1:2" x14ac:dyDescent="0.2">
      <c r="A69" t="s">
        <v>44</v>
      </c>
      <c r="B69">
        <v>501.90800100000001</v>
      </c>
    </row>
    <row r="70" spans="1:2" x14ac:dyDescent="0.2">
      <c r="A70" t="s">
        <v>45</v>
      </c>
      <c r="B70">
        <v>443.06822799999998</v>
      </c>
    </row>
    <row r="71" spans="1:2" x14ac:dyDescent="0.2">
      <c r="A71" t="s">
        <v>46</v>
      </c>
      <c r="B71">
        <v>429.31169799999998</v>
      </c>
    </row>
    <row r="72" spans="1:2" x14ac:dyDescent="0.2">
      <c r="A72" t="s">
        <v>47</v>
      </c>
      <c r="B72">
        <v>492.98620899999997</v>
      </c>
    </row>
    <row r="73" spans="1:2" x14ac:dyDescent="0.2">
      <c r="A73" t="s">
        <v>48</v>
      </c>
      <c r="B73">
        <v>486.056984</v>
      </c>
    </row>
    <row r="74" spans="1:2" x14ac:dyDescent="0.2">
      <c r="A74" t="s">
        <v>49</v>
      </c>
      <c r="B74">
        <v>524.43673899999999</v>
      </c>
    </row>
    <row r="75" spans="1:2" x14ac:dyDescent="0.2">
      <c r="A75" t="s">
        <v>50</v>
      </c>
      <c r="B75">
        <v>490.43101799999999</v>
      </c>
    </row>
    <row r="76" spans="1:2" x14ac:dyDescent="0.2">
      <c r="A76" t="s">
        <v>51</v>
      </c>
      <c r="B76">
        <v>505.28481499999998</v>
      </c>
    </row>
    <row r="77" spans="1:2" x14ac:dyDescent="0.2">
      <c r="A77" t="s">
        <v>52</v>
      </c>
      <c r="B77">
        <v>499.55857800000001</v>
      </c>
    </row>
    <row r="78" spans="1:2" x14ac:dyDescent="0.2">
      <c r="A78" t="s">
        <v>53</v>
      </c>
      <c r="B78">
        <v>491.16788200000002</v>
      </c>
    </row>
    <row r="79" spans="1:2" x14ac:dyDescent="0.2">
      <c r="A79" t="s">
        <v>54</v>
      </c>
      <c r="B79">
        <v>509.81743399999999</v>
      </c>
    </row>
    <row r="80" spans="1:2" x14ac:dyDescent="0.2">
      <c r="A80" t="s">
        <v>55</v>
      </c>
      <c r="B80">
        <v>541.55428400000005</v>
      </c>
    </row>
    <row r="81" spans="1:2" x14ac:dyDescent="0.2">
      <c r="A81" t="s">
        <v>56</v>
      </c>
      <c r="B81">
        <v>508.194411</v>
      </c>
    </row>
    <row r="82" spans="1:2" x14ac:dyDescent="0.2">
      <c r="A82" t="s">
        <v>57</v>
      </c>
      <c r="B82">
        <v>494.90401700000001</v>
      </c>
    </row>
    <row r="83" spans="1:2" x14ac:dyDescent="0.2">
      <c r="A83" t="s">
        <v>58</v>
      </c>
      <c r="B83">
        <v>475.6746</v>
      </c>
    </row>
    <row r="84" spans="1:2" x14ac:dyDescent="0.2">
      <c r="A84" t="s">
        <v>59</v>
      </c>
      <c r="B84">
        <v>513.742884</v>
      </c>
    </row>
    <row r="85" spans="1:2" x14ac:dyDescent="0.2">
      <c r="A85" t="s">
        <v>60</v>
      </c>
      <c r="B85">
        <v>533.82725600000003</v>
      </c>
    </row>
    <row r="86" spans="1:2" x14ac:dyDescent="0.2">
      <c r="A86" t="s">
        <v>61</v>
      </c>
      <c r="B86">
        <v>509.039715</v>
      </c>
    </row>
    <row r="87" spans="1:2" x14ac:dyDescent="0.2">
      <c r="A87" t="s">
        <v>62</v>
      </c>
      <c r="B87">
        <v>533.25595099999998</v>
      </c>
    </row>
    <row r="88" spans="1:2" x14ac:dyDescent="0.2">
      <c r="A88" t="s">
        <v>75</v>
      </c>
      <c r="B88">
        <v>546.46983399999999</v>
      </c>
    </row>
    <row r="89" spans="1:2" x14ac:dyDescent="0.2">
      <c r="A89" t="s">
        <v>63</v>
      </c>
      <c r="B89">
        <v>548.91488000000004</v>
      </c>
    </row>
    <row r="90" spans="1:2" x14ac:dyDescent="0.2">
      <c r="A90" t="s">
        <v>64</v>
      </c>
      <c r="B90">
        <v>552.01527299999998</v>
      </c>
    </row>
    <row r="91" spans="1:2" x14ac:dyDescent="0.2">
      <c r="A91" t="s">
        <v>65</v>
      </c>
      <c r="B91">
        <v>573.78874499999995</v>
      </c>
    </row>
    <row r="92" spans="1:2" x14ac:dyDescent="0.2">
      <c r="A92" t="s">
        <v>66</v>
      </c>
      <c r="B92">
        <v>575.49635799999999</v>
      </c>
    </row>
    <row r="93" spans="1:2" x14ac:dyDescent="0.2">
      <c r="A93" t="s">
        <v>67</v>
      </c>
      <c r="B93">
        <v>584.78799700000002</v>
      </c>
    </row>
    <row r="94" spans="1:2" x14ac:dyDescent="0.2">
      <c r="A94" t="s">
        <v>68</v>
      </c>
      <c r="B94">
        <v>623.83724900000004</v>
      </c>
    </row>
    <row r="95" spans="1:2" x14ac:dyDescent="0.2">
      <c r="A95" t="s">
        <v>69</v>
      </c>
      <c r="B95">
        <v>596.09319000000005</v>
      </c>
    </row>
    <row r="96" spans="1:2" x14ac:dyDescent="0.2">
      <c r="A96" t="s">
        <v>70</v>
      </c>
      <c r="B96">
        <v>574.67542900000001</v>
      </c>
    </row>
    <row r="97" spans="1:2" x14ac:dyDescent="0.2">
      <c r="A97" t="s">
        <v>76</v>
      </c>
      <c r="B97">
        <v>573.88626599999998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9D67-8B62-4620-A25C-FA1741547EEB}">
  <dimension ref="A1:J97"/>
  <sheetViews>
    <sheetView workbookViewId="0">
      <pane ySplit="1" topLeftCell="A2" activePane="bottomLeft" state="frozen"/>
      <selection pane="bottomLeft" activeCell="M26" sqref="M26"/>
    </sheetView>
  </sheetViews>
  <sheetFormatPr baseColWidth="10" defaultRowHeight="15" x14ac:dyDescent="0.2"/>
  <cols>
    <col min="3" max="3" width="14.33203125" bestFit="1" customWidth="1"/>
  </cols>
  <sheetData>
    <row r="1" spans="1:10" ht="32" x14ac:dyDescent="0.2">
      <c r="A1" s="1" t="s">
        <v>0</v>
      </c>
      <c r="B1" s="1" t="s">
        <v>78</v>
      </c>
      <c r="C1" s="1" t="s">
        <v>77</v>
      </c>
      <c r="D1" s="2" t="s">
        <v>79</v>
      </c>
      <c r="E1" s="2" t="s">
        <v>80</v>
      </c>
      <c r="F1" s="2" t="s">
        <v>81</v>
      </c>
      <c r="G1" s="2" t="s">
        <v>83</v>
      </c>
      <c r="H1" s="2" t="s">
        <v>82</v>
      </c>
      <c r="I1" s="2" t="s">
        <v>72</v>
      </c>
      <c r="J1" s="2" t="s">
        <v>71</v>
      </c>
    </row>
    <row r="2" spans="1:10" x14ac:dyDescent="0.2">
      <c r="A2" t="str">
        <f>'MSCI EM_Monthly'!A2</f>
        <v>2017-01-31</v>
      </c>
      <c r="B2">
        <f>EMF_Fund_Monthly!B2</f>
        <v>14.73</v>
      </c>
      <c r="C2">
        <f>'MSCI EM_Monthly'!B2</f>
        <v>400.62607300000002</v>
      </c>
      <c r="F2">
        <f>(1+'Risk-free rate'!B2/100)^(1/12)-1</f>
        <v>4.2400978746104379E-4</v>
      </c>
    </row>
    <row r="3" spans="1:10" x14ac:dyDescent="0.2">
      <c r="A3" t="str">
        <f>'MSCI EM_Monthly'!A3</f>
        <v>2017-02-28</v>
      </c>
      <c r="B3">
        <f>EMF_Fund_Monthly!B3</f>
        <v>15.18</v>
      </c>
      <c r="C3">
        <f>'MSCI EM_Monthly'!B3</f>
        <v>412.889994</v>
      </c>
      <c r="D3">
        <f>(EMF_Fund_Monthly!B3-EMF_Fund_Monthly!B2)/EMF_Fund_Monthly!B2</f>
        <v>3.0549898167006061E-2</v>
      </c>
      <c r="E3">
        <f>('MSCI EM_Monthly'!B3-'MSCI EM_Monthly'!B2)/'MSCI EM_Monthly'!B2</f>
        <v>3.061188930656538E-2</v>
      </c>
      <c r="F3">
        <f>(1+'Risk-free rate'!B3/100)^(1/12)-1</f>
        <v>4.3230397371596396E-4</v>
      </c>
      <c r="G3">
        <f>D3-$F3</f>
        <v>3.0117594193290097E-2</v>
      </c>
      <c r="H3">
        <f>E3-$F3</f>
        <v>3.0179585332849417E-2</v>
      </c>
    </row>
    <row r="4" spans="1:10" x14ac:dyDescent="0.2">
      <c r="A4" t="str">
        <f>'MSCI EM_Monthly'!A4</f>
        <v>2017-03-31</v>
      </c>
      <c r="B4">
        <f>EMF_Fund_Monthly!B4</f>
        <v>15.64</v>
      </c>
      <c r="C4">
        <f>'MSCI EM_Monthly'!B4</f>
        <v>423.31274300000001</v>
      </c>
      <c r="D4">
        <f>(EMF_Fund_Monthly!B4-EMF_Fund_Monthly!B3)/EMF_Fund_Monthly!B3</f>
        <v>3.0303030303030359E-2</v>
      </c>
      <c r="E4">
        <f>('MSCI EM_Monthly'!B4-'MSCI EM_Monthly'!B3)/'MSCI EM_Monthly'!B3</f>
        <v>2.524340417898335E-2</v>
      </c>
      <c r="F4">
        <f>(1+'Risk-free rate'!B4/100)^(1/12)-1</f>
        <v>6.1458497411925883E-4</v>
      </c>
      <c r="G4">
        <f t="shared" ref="G4:H67" si="0">D4-$F4</f>
        <v>2.9688445328911101E-2</v>
      </c>
      <c r="H4">
        <f t="shared" si="0"/>
        <v>2.4628819204864091E-2</v>
      </c>
    </row>
    <row r="5" spans="1:10" x14ac:dyDescent="0.2">
      <c r="A5" t="str">
        <f>'MSCI EM_Monthly'!A5</f>
        <v>2017-04-28</v>
      </c>
      <c r="B5">
        <f>EMF_Fund_Monthly!B5</f>
        <v>16.12</v>
      </c>
      <c r="C5">
        <f>'MSCI EM_Monthly'!B5</f>
        <v>432.58049199999999</v>
      </c>
      <c r="D5">
        <f>(EMF_Fund_Monthly!B5-EMF_Fund_Monthly!B4)/EMF_Fund_Monthly!B4</f>
        <v>3.0690537084399002E-2</v>
      </c>
      <c r="E5">
        <f>('MSCI EM_Monthly'!B5-'MSCI EM_Monthly'!B4)/'MSCI EM_Monthly'!B4</f>
        <v>2.1893385335673633E-2</v>
      </c>
      <c r="F5">
        <f>(1+'Risk-free rate'!B5/100)^(1/12)-1</f>
        <v>6.6423464362252993E-4</v>
      </c>
      <c r="G5">
        <f t="shared" si="0"/>
        <v>3.0026302440776472E-2</v>
      </c>
      <c r="H5">
        <f t="shared" si="0"/>
        <v>2.1229150692051103E-2</v>
      </c>
    </row>
    <row r="6" spans="1:10" x14ac:dyDescent="0.2">
      <c r="A6" t="str">
        <f>'MSCI EM_Monthly'!A6</f>
        <v>2017-05-31</v>
      </c>
      <c r="B6">
        <f>EMF_Fund_Monthly!B6</f>
        <v>16.63</v>
      </c>
      <c r="C6">
        <f>'MSCI EM_Monthly'!B6</f>
        <v>445.369462</v>
      </c>
      <c r="D6">
        <f>(EMF_Fund_Monthly!B6-EMF_Fund_Monthly!B5)/EMF_Fund_Monthly!B5</f>
        <v>3.1637717121587965E-2</v>
      </c>
      <c r="E6">
        <f>('MSCI EM_Monthly'!B6-'MSCI EM_Monthly'!B5)/'MSCI EM_Monthly'!B5</f>
        <v>2.9564370646654139E-2</v>
      </c>
      <c r="F6">
        <f>(1+'Risk-free rate'!B6/100)^(1/12)-1</f>
        <v>7.3865837651476696E-4</v>
      </c>
      <c r="G6">
        <f t="shared" si="0"/>
        <v>3.0899058745073198E-2</v>
      </c>
      <c r="H6">
        <f t="shared" si="0"/>
        <v>2.8825712270139373E-2</v>
      </c>
    </row>
    <row r="7" spans="1:10" x14ac:dyDescent="0.2">
      <c r="A7" t="str">
        <f>'MSCI EM_Monthly'!A7</f>
        <v>2017-06-30</v>
      </c>
      <c r="B7">
        <f>EMF_Fund_Monthly!B7</f>
        <v>16.690000000000001</v>
      </c>
      <c r="C7">
        <f>'MSCI EM_Monthly'!B7</f>
        <v>449.85280499999999</v>
      </c>
      <c r="D7">
        <f>(EMF_Fund_Monthly!B7-EMF_Fund_Monthly!B6)/EMF_Fund_Monthly!B6</f>
        <v>3.6079374624174549E-3</v>
      </c>
      <c r="E7">
        <f>('MSCI EM_Monthly'!B7-'MSCI EM_Monthly'!B6)/'MSCI EM_Monthly'!B6</f>
        <v>1.0066570302927484E-2</v>
      </c>
      <c r="F7">
        <f>(1+'Risk-free rate'!B7/100)^(1/12)-1</f>
        <v>8.1302127632687515E-4</v>
      </c>
      <c r="G7">
        <f t="shared" si="0"/>
        <v>2.7949161860905797E-3</v>
      </c>
      <c r="H7">
        <f t="shared" si="0"/>
        <v>9.2535490266006087E-3</v>
      </c>
    </row>
    <row r="8" spans="1:10" x14ac:dyDescent="0.2">
      <c r="A8" t="str">
        <f>'MSCI EM_Monthly'!A8</f>
        <v>2017-07-31</v>
      </c>
      <c r="B8">
        <f>EMF_Fund_Monthly!B8</f>
        <v>17.89</v>
      </c>
      <c r="C8">
        <f>'MSCI EM_Monthly'!B8</f>
        <v>476.66831300000001</v>
      </c>
      <c r="D8">
        <f>(EMF_Fund_Monthly!B8-EMF_Fund_Monthly!B7)/EMF_Fund_Monthly!B7</f>
        <v>7.1899340922708166E-2</v>
      </c>
      <c r="E8">
        <f>('MSCI EM_Monthly'!B8-'MSCI EM_Monthly'!B7)/'MSCI EM_Monthly'!B7</f>
        <v>5.9609516050477943E-2</v>
      </c>
      <c r="F8">
        <f>(1+'Risk-free rate'!B8/100)^(1/12)-1</f>
        <v>8.8732344693531751E-4</v>
      </c>
      <c r="G8">
        <f t="shared" si="0"/>
        <v>7.1012017475772848E-2</v>
      </c>
      <c r="H8">
        <f t="shared" si="0"/>
        <v>5.8722192603542625E-2</v>
      </c>
    </row>
    <row r="9" spans="1:10" x14ac:dyDescent="0.2">
      <c r="A9" t="str">
        <f>'MSCI EM_Monthly'!A9</f>
        <v>2017-08-31</v>
      </c>
      <c r="B9">
        <f>EMF_Fund_Monthly!B9</f>
        <v>18.309999999999999</v>
      </c>
      <c r="C9">
        <f>'MSCI EM_Monthly'!B9</f>
        <v>487.30058700000001</v>
      </c>
      <c r="D9">
        <f>(EMF_Fund_Monthly!B9-EMF_Fund_Monthly!B8)/EMF_Fund_Monthly!B8</f>
        <v>2.3476802683063059E-2</v>
      </c>
      <c r="E9">
        <f>('MSCI EM_Monthly'!B9-'MSCI EM_Monthly'!B8)/'MSCI EM_Monthly'!B8</f>
        <v>2.2305392890674475E-2</v>
      </c>
      <c r="F9">
        <f>(1+'Risk-free rate'!B9/100)^(1/12)-1</f>
        <v>8.3779540909700856E-4</v>
      </c>
      <c r="G9">
        <f t="shared" si="0"/>
        <v>2.263900727396605E-2</v>
      </c>
      <c r="H9">
        <f t="shared" si="0"/>
        <v>2.1467597481577467E-2</v>
      </c>
    </row>
    <row r="10" spans="1:10" x14ac:dyDescent="0.2">
      <c r="A10" t="str">
        <f>'MSCI EM_Monthly'!A10</f>
        <v>2017-09-29</v>
      </c>
      <c r="B10">
        <f>EMF_Fund_Monthly!B10</f>
        <v>18.399999999999999</v>
      </c>
      <c r="C10">
        <f>'MSCI EM_Monthly'!B10</f>
        <v>485.36297400000001</v>
      </c>
      <c r="D10">
        <f>(EMF_Fund_Monthly!B10-EMF_Fund_Monthly!B9)/EMF_Fund_Monthly!B9</f>
        <v>4.9153468050245697E-3</v>
      </c>
      <c r="E10">
        <f>('MSCI EM_Monthly'!B10-'MSCI EM_Monthly'!B9)/'MSCI EM_Monthly'!B9</f>
        <v>-3.9762172500727956E-3</v>
      </c>
      <c r="F10">
        <f>(1+'Risk-free rate'!B10/100)^(1/12)-1</f>
        <v>8.543077507923158E-4</v>
      </c>
      <c r="G10">
        <f t="shared" si="0"/>
        <v>4.0610390542322539E-3</v>
      </c>
      <c r="H10">
        <f t="shared" si="0"/>
        <v>-4.8305250008651114E-3</v>
      </c>
    </row>
    <row r="11" spans="1:10" x14ac:dyDescent="0.2">
      <c r="A11" t="str">
        <f>'MSCI EM_Monthly'!A11</f>
        <v>2017-10-31</v>
      </c>
      <c r="B11">
        <f>EMF_Fund_Monthly!B11</f>
        <v>19.100000000000001</v>
      </c>
      <c r="C11">
        <f>'MSCI EM_Monthly'!B11</f>
        <v>502.37775199999999</v>
      </c>
      <c r="D11">
        <f>(EMF_Fund_Monthly!B11-EMF_Fund_Monthly!B10)/EMF_Fund_Monthly!B10</f>
        <v>3.804347826086972E-2</v>
      </c>
      <c r="E11">
        <f>('MSCI EM_Monthly'!B11-'MSCI EM_Monthly'!B10)/'MSCI EM_Monthly'!B10</f>
        <v>3.5055780748533112E-2</v>
      </c>
      <c r="F11">
        <f>(1+'Risk-free rate'!B11/100)^(1/12)-1</f>
        <v>8.8732344693531751E-4</v>
      </c>
      <c r="G11">
        <f t="shared" si="0"/>
        <v>3.7156154813934403E-2</v>
      </c>
      <c r="H11">
        <f t="shared" si="0"/>
        <v>3.4168457301597795E-2</v>
      </c>
    </row>
    <row r="12" spans="1:10" x14ac:dyDescent="0.2">
      <c r="A12" t="str">
        <f>'MSCI EM_Monthly'!A12</f>
        <v>2017-11-30</v>
      </c>
      <c r="B12">
        <f>EMF_Fund_Monthly!B12</f>
        <v>19.149999999999999</v>
      </c>
      <c r="C12">
        <f>'MSCI EM_Monthly'!B12</f>
        <v>503.38621599999999</v>
      </c>
      <c r="D12">
        <f>(EMF_Fund_Monthly!B12-EMF_Fund_Monthly!B11)/EMF_Fund_Monthly!B11</f>
        <v>2.6178010471202698E-3</v>
      </c>
      <c r="E12">
        <f>('MSCI EM_Monthly'!B12-'MSCI EM_Monthly'!B11)/'MSCI EM_Monthly'!B11</f>
        <v>2.0073818874049255E-3</v>
      </c>
      <c r="F12">
        <f>(1+'Risk-free rate'!B12/100)^(1/12)-1</f>
        <v>1.0192665680117674E-3</v>
      </c>
      <c r="G12">
        <f t="shared" si="0"/>
        <v>1.5985344791085024E-3</v>
      </c>
      <c r="H12">
        <f t="shared" si="0"/>
        <v>9.881153193931581E-4</v>
      </c>
    </row>
    <row r="13" spans="1:10" x14ac:dyDescent="0.2">
      <c r="A13" t="str">
        <f>'MSCI EM_Monthly'!A13</f>
        <v>2017-12-29</v>
      </c>
      <c r="B13">
        <f>EMF_Fund_Monthly!B13</f>
        <v>18.47</v>
      </c>
      <c r="C13">
        <f>'MSCI EM_Monthly'!B13</f>
        <v>521.45634700000005</v>
      </c>
      <c r="D13">
        <f>(EMF_Fund_Monthly!B13-EMF_Fund_Monthly!B12)/EMF_Fund_Monthly!B12</f>
        <v>-3.5509138381201032E-2</v>
      </c>
      <c r="E13">
        <f>('MSCI EM_Monthly'!B13-'MSCI EM_Monthly'!B12)/'MSCI EM_Monthly'!B12</f>
        <v>3.5897150985954016E-2</v>
      </c>
      <c r="F13">
        <f>(1+'Risk-free rate'!B13/100)^(1/12)-1</f>
        <v>1.0934005891671816E-3</v>
      </c>
      <c r="G13">
        <f t="shared" si="0"/>
        <v>-3.6602538970368213E-2</v>
      </c>
      <c r="H13">
        <f t="shared" si="0"/>
        <v>3.4803750396786834E-2</v>
      </c>
    </row>
    <row r="14" spans="1:10" x14ac:dyDescent="0.2">
      <c r="A14" t="str">
        <f>'MSCI EM_Monthly'!A14</f>
        <v>2018-01-31</v>
      </c>
      <c r="B14">
        <f>EMF_Fund_Monthly!B14</f>
        <v>19.670000000000002</v>
      </c>
      <c r="C14">
        <f>'MSCI EM_Monthly'!B14</f>
        <v>564.91753100000005</v>
      </c>
      <c r="D14">
        <f>(EMF_Fund_Monthly!B14-EMF_Fund_Monthly!B13)/EMF_Fund_Monthly!B13</f>
        <v>6.4970221981591927E-2</v>
      </c>
      <c r="E14">
        <f>('MSCI EM_Monthly'!B14-'MSCI EM_Monthly'!B13)/'MSCI EM_Monthly'!B13</f>
        <v>8.3345776209336267E-2</v>
      </c>
      <c r="F14">
        <f>(1+'Risk-free rate'!B14/100)^(1/12)-1</f>
        <v>1.1674742711142994E-3</v>
      </c>
      <c r="G14">
        <f t="shared" si="0"/>
        <v>6.3802747710477628E-2</v>
      </c>
      <c r="H14">
        <f t="shared" si="0"/>
        <v>8.2178301938221968E-2</v>
      </c>
    </row>
    <row r="15" spans="1:10" x14ac:dyDescent="0.2">
      <c r="A15" t="str">
        <f>'MSCI EM_Monthly'!A15</f>
        <v>2018-02-28</v>
      </c>
      <c r="B15">
        <f>EMF_Fund_Monthly!B15</f>
        <v>18.84</v>
      </c>
      <c r="C15">
        <f>'MSCI EM_Monthly'!B15</f>
        <v>538.863922</v>
      </c>
      <c r="D15">
        <f>(EMF_Fund_Monthly!B15-EMF_Fund_Monthly!B14)/EMF_Fund_Monthly!B14</f>
        <v>-4.2196237925775384E-2</v>
      </c>
      <c r="E15">
        <f>('MSCI EM_Monthly'!B15-'MSCI EM_Monthly'!B14)/'MSCI EM_Monthly'!B14</f>
        <v>-4.6119314006560809E-2</v>
      </c>
      <c r="F15">
        <f>(1+'Risk-free rate'!B15/100)^(1/12)-1</f>
        <v>1.2990121499387719E-3</v>
      </c>
      <c r="G15">
        <f t="shared" si="0"/>
        <v>-4.3495250075714156E-2</v>
      </c>
      <c r="H15">
        <f t="shared" si="0"/>
        <v>-4.7418326156499581E-2</v>
      </c>
    </row>
    <row r="16" spans="1:10" x14ac:dyDescent="0.2">
      <c r="A16" t="str">
        <f>'MSCI EM_Monthly'!A16</f>
        <v>2018-03-30</v>
      </c>
      <c r="B16">
        <f>EMF_Fund_Monthly!B16</f>
        <v>18.350000000000001</v>
      </c>
      <c r="C16">
        <f>'MSCI EM_Monthly'!B16</f>
        <v>528.84461999999996</v>
      </c>
      <c r="D16">
        <f>(EMF_Fund_Monthly!B16-EMF_Fund_Monthly!B15)/EMF_Fund_Monthly!B15</f>
        <v>-2.6008492569002041E-2</v>
      </c>
      <c r="E16">
        <f>('MSCI EM_Monthly'!B16-'MSCI EM_Monthly'!B15)/'MSCI EM_Monthly'!B15</f>
        <v>-1.8593380612332105E-2</v>
      </c>
      <c r="F16">
        <f>(1+'Risk-free rate'!B16/100)^(1/12)-1</f>
        <v>1.4057468926966799E-3</v>
      </c>
      <c r="G16">
        <f t="shared" si="0"/>
        <v>-2.7414239461698721E-2</v>
      </c>
      <c r="H16">
        <f t="shared" si="0"/>
        <v>-1.9999127505028785E-2</v>
      </c>
    </row>
    <row r="17" spans="1:8" x14ac:dyDescent="0.2">
      <c r="A17" t="str">
        <f>'MSCI EM_Monthly'!A17</f>
        <v>2018-04-30</v>
      </c>
      <c r="B17">
        <f>EMF_Fund_Monthly!B17</f>
        <v>17.91</v>
      </c>
      <c r="C17">
        <f>'MSCI EM_Monthly'!B17</f>
        <v>526.50486100000001</v>
      </c>
      <c r="D17">
        <f>(EMF_Fund_Monthly!B17-EMF_Fund_Monthly!B16)/EMF_Fund_Monthly!B16</f>
        <v>-2.3978201634877454E-2</v>
      </c>
      <c r="E17">
        <f>('MSCI EM_Monthly'!B17-'MSCI EM_Monthly'!B16)/'MSCI EM_Monthly'!B16</f>
        <v>-4.4242843956698629E-3</v>
      </c>
      <c r="F17">
        <f>(1+'Risk-free rate'!B17/100)^(1/12)-1</f>
        <v>1.4549669057570824E-3</v>
      </c>
      <c r="G17">
        <f t="shared" si="0"/>
        <v>-2.5433168540634536E-2</v>
      </c>
      <c r="H17">
        <f t="shared" si="0"/>
        <v>-5.8792513014269453E-3</v>
      </c>
    </row>
    <row r="18" spans="1:8" x14ac:dyDescent="0.2">
      <c r="A18" t="str">
        <f>'MSCI EM_Monthly'!A18</f>
        <v>2018-05-31</v>
      </c>
      <c r="B18">
        <f>EMF_Fund_Monthly!B18</f>
        <v>17.41</v>
      </c>
      <c r="C18">
        <f>'MSCI EM_Monthly'!B18</f>
        <v>507.84866599999998</v>
      </c>
      <c r="D18">
        <f>(EMF_Fund_Monthly!B18-EMF_Fund_Monthly!B17)/EMF_Fund_Monthly!B17</f>
        <v>-2.7917364600781685E-2</v>
      </c>
      <c r="E18">
        <f>('MSCI EM_Monthly'!B18-'MSCI EM_Monthly'!B17)/'MSCI EM_Monthly'!B17</f>
        <v>-3.5434041320275722E-2</v>
      </c>
      <c r="F18">
        <f>(1+'Risk-free rate'!B18/100)^(1/12)-1</f>
        <v>1.5369411743291206E-3</v>
      </c>
      <c r="G18">
        <f t="shared" si="0"/>
        <v>-2.9454305775110805E-2</v>
      </c>
      <c r="H18">
        <f t="shared" si="0"/>
        <v>-3.6970982494604843E-2</v>
      </c>
    </row>
    <row r="19" spans="1:8" x14ac:dyDescent="0.2">
      <c r="A19" t="str">
        <f>'MSCI EM_Monthly'!A19</f>
        <v>2018-06-29</v>
      </c>
      <c r="B19">
        <f>EMF_Fund_Monthly!B19</f>
        <v>16.899999999999999</v>
      </c>
      <c r="C19">
        <f>'MSCI EM_Monthly'!B19</f>
        <v>486.74909000000002</v>
      </c>
      <c r="D19">
        <f>(EMF_Fund_Monthly!B19-EMF_Fund_Monthly!B18)/EMF_Fund_Monthly!B18</f>
        <v>-2.929350947731198E-2</v>
      </c>
      <c r="E19">
        <f>('MSCI EM_Monthly'!B19-'MSCI EM_Monthly'!B18)/'MSCI EM_Monthly'!B18</f>
        <v>-4.1546975334577248E-2</v>
      </c>
      <c r="F19">
        <f>(1+'Risk-free rate'!B19/100)^(1/12)-1</f>
        <v>1.5697102274137009E-3</v>
      </c>
      <c r="G19">
        <f t="shared" si="0"/>
        <v>-3.0863219704725681E-2</v>
      </c>
      <c r="H19">
        <f t="shared" si="0"/>
        <v>-4.3116685561990949E-2</v>
      </c>
    </row>
    <row r="20" spans="1:8" x14ac:dyDescent="0.2">
      <c r="A20" t="str">
        <f>'MSCI EM_Monthly'!A20</f>
        <v>2018-07-31</v>
      </c>
      <c r="B20">
        <f>EMF_Fund_Monthly!B20</f>
        <v>17.149999999999999</v>
      </c>
      <c r="C20">
        <f>'MSCI EM_Monthly'!B20</f>
        <v>497.44163500000002</v>
      </c>
      <c r="D20">
        <f>(EMF_Fund_Monthly!B20-EMF_Fund_Monthly!B19)/EMF_Fund_Monthly!B19</f>
        <v>1.4792899408284025E-2</v>
      </c>
      <c r="E20">
        <f>('MSCI EM_Monthly'!B20-'MSCI EM_Monthly'!B19)/'MSCI EM_Monthly'!B19</f>
        <v>2.1967262434943628E-2</v>
      </c>
      <c r="F20">
        <f>(1+'Risk-free rate'!B20/100)^(1/12)-1</f>
        <v>1.6188417051281601E-3</v>
      </c>
      <c r="G20">
        <f t="shared" si="0"/>
        <v>1.3174057703155865E-2</v>
      </c>
      <c r="H20">
        <f t="shared" si="0"/>
        <v>2.0348420729815467E-2</v>
      </c>
    </row>
    <row r="21" spans="1:8" x14ac:dyDescent="0.2">
      <c r="A21" t="str">
        <f>'MSCI EM_Monthly'!A21</f>
        <v>2018-08-31</v>
      </c>
      <c r="B21">
        <f>EMF_Fund_Monthly!B21</f>
        <v>16.899999999999999</v>
      </c>
      <c r="C21">
        <f>'MSCI EM_Monthly'!B21</f>
        <v>483.99122899999998</v>
      </c>
      <c r="D21">
        <f>(EMF_Fund_Monthly!B21-EMF_Fund_Monthly!B20)/EMF_Fund_Monthly!B20</f>
        <v>-1.457725947521866E-2</v>
      </c>
      <c r="E21">
        <f>('MSCI EM_Monthly'!B21-'MSCI EM_Monthly'!B20)/'MSCI EM_Monthly'!B20</f>
        <v>-2.7039164102136411E-2</v>
      </c>
      <c r="F21">
        <f>(1+'Risk-free rate'!B21/100)^(1/12)-1</f>
        <v>1.6761282769228725E-3</v>
      </c>
      <c r="G21">
        <f t="shared" si="0"/>
        <v>-1.6253387752141531E-2</v>
      </c>
      <c r="H21">
        <f t="shared" si="0"/>
        <v>-2.8715292379059284E-2</v>
      </c>
    </row>
    <row r="22" spans="1:8" x14ac:dyDescent="0.2">
      <c r="A22" t="str">
        <f>'MSCI EM_Monthly'!A22</f>
        <v>2018-09-28</v>
      </c>
      <c r="B22">
        <f>EMF_Fund_Monthly!B22</f>
        <v>16.96</v>
      </c>
      <c r="C22">
        <f>'MSCI EM_Monthly'!B22</f>
        <v>481.42252400000001</v>
      </c>
      <c r="D22">
        <f>(EMF_Fund_Monthly!B22-EMF_Fund_Monthly!B21)/EMF_Fund_Monthly!B21</f>
        <v>3.5502958579883004E-3</v>
      </c>
      <c r="E22">
        <f>('MSCI EM_Monthly'!B22-'MSCI EM_Monthly'!B21)/'MSCI EM_Monthly'!B21</f>
        <v>-5.3073379145884602E-3</v>
      </c>
      <c r="F22">
        <f>(1+'Risk-free rate'!B22/100)^(1/12)-1</f>
        <v>1.7579037712718293E-3</v>
      </c>
      <c r="G22">
        <f t="shared" si="0"/>
        <v>1.7923920867164711E-3</v>
      </c>
      <c r="H22">
        <f t="shared" si="0"/>
        <v>-7.0652416858602895E-3</v>
      </c>
    </row>
    <row r="23" spans="1:8" x14ac:dyDescent="0.2">
      <c r="A23" t="str">
        <f>'MSCI EM_Monthly'!A23</f>
        <v>2018-10-31</v>
      </c>
      <c r="B23">
        <f>EMF_Fund_Monthly!B23</f>
        <v>15.49</v>
      </c>
      <c r="C23">
        <f>'MSCI EM_Monthly'!B23</f>
        <v>439.49900500000001</v>
      </c>
      <c r="D23">
        <f>(EMF_Fund_Monthly!B23-EMF_Fund_Monthly!B22)/EMF_Fund_Monthly!B22</f>
        <v>-8.6674528301886822E-2</v>
      </c>
      <c r="E23">
        <f>('MSCI EM_Monthly'!B23-'MSCI EM_Monthly'!B22)/'MSCI EM_Monthly'!B22</f>
        <v>-8.7082587353141783E-2</v>
      </c>
      <c r="F23">
        <f>(1+'Risk-free rate'!B23/100)^(1/12)-1</f>
        <v>1.855937535336194E-3</v>
      </c>
      <c r="G23">
        <f t="shared" si="0"/>
        <v>-8.8530465837223016E-2</v>
      </c>
      <c r="H23">
        <f t="shared" si="0"/>
        <v>-8.8938524888477977E-2</v>
      </c>
    </row>
    <row r="24" spans="1:8" x14ac:dyDescent="0.2">
      <c r="A24" t="str">
        <f>'MSCI EM_Monthly'!A24</f>
        <v>2018-11-30</v>
      </c>
      <c r="B24">
        <f>EMF_Fund_Monthly!B24</f>
        <v>16.059999999999999</v>
      </c>
      <c r="C24">
        <f>'MSCI EM_Monthly'!B24</f>
        <v>457.61063899999999</v>
      </c>
      <c r="D24">
        <f>(EMF_Fund_Monthly!B24-EMF_Fund_Monthly!B23)/EMF_Fund_Monthly!B23</f>
        <v>3.6797934151065109E-2</v>
      </c>
      <c r="E24">
        <f>('MSCI EM_Monthly'!B24-'MSCI EM_Monthly'!B23)/'MSCI EM_Monthly'!B23</f>
        <v>4.1209726970826657E-2</v>
      </c>
      <c r="F24">
        <f>(1+'Risk-free rate'!B24/100)^(1/12)-1</f>
        <v>1.921234803683225E-3</v>
      </c>
      <c r="G24">
        <f t="shared" si="0"/>
        <v>3.4876699347381884E-2</v>
      </c>
      <c r="H24">
        <f t="shared" si="0"/>
        <v>3.9288492167143432E-2</v>
      </c>
    </row>
    <row r="25" spans="1:8" x14ac:dyDescent="0.2">
      <c r="A25" t="str">
        <f>'MSCI EM_Monthly'!A25</f>
        <v>2018-12-31</v>
      </c>
      <c r="B25">
        <f>EMF_Fund_Monthly!B25</f>
        <v>14.82</v>
      </c>
      <c r="C25">
        <f>'MSCI EM_Monthly'!B25</f>
        <v>445.48794900000001</v>
      </c>
      <c r="D25">
        <f>(EMF_Fund_Monthly!B25-EMF_Fund_Monthly!B24)/EMF_Fund_Monthly!B24</f>
        <v>-7.7210460772104514E-2</v>
      </c>
      <c r="E25">
        <f>('MSCI EM_Monthly'!B25-'MSCI EM_Monthly'!B24)/'MSCI EM_Monthly'!B24</f>
        <v>-2.6491276571915492E-2</v>
      </c>
      <c r="F25">
        <f>(1+'Risk-free rate'!B25/100)^(1/12)-1</f>
        <v>1.9538658918776264E-3</v>
      </c>
      <c r="G25">
        <f t="shared" si="0"/>
        <v>-7.916432666398214E-2</v>
      </c>
      <c r="H25">
        <f t="shared" si="0"/>
        <v>-2.8445142463793118E-2</v>
      </c>
    </row>
    <row r="26" spans="1:8" x14ac:dyDescent="0.2">
      <c r="A26" t="str">
        <f>'MSCI EM_Monthly'!A26</f>
        <v>2019-01-31</v>
      </c>
      <c r="B26">
        <f>EMF_Fund_Monthly!B26</f>
        <v>16.46</v>
      </c>
      <c r="C26">
        <f>'MSCI EM_Monthly'!B26</f>
        <v>484.49378200000001</v>
      </c>
      <c r="D26">
        <f>(EMF_Fund_Monthly!B26-EMF_Fund_Monthly!B25)/EMF_Fund_Monthly!B25</f>
        <v>0.11066126855600543</v>
      </c>
      <c r="E26">
        <f>('MSCI EM_Monthly'!B26-'MSCI EM_Monthly'!B25)/'MSCI EM_Monthly'!B25</f>
        <v>8.7557549171773427E-2</v>
      </c>
      <c r="F26">
        <f>(1+'Risk-free rate'!B26/100)^(1/12)-1</f>
        <v>1.9538658918776264E-3</v>
      </c>
      <c r="G26">
        <f t="shared" si="0"/>
        <v>0.1087074026641278</v>
      </c>
      <c r="H26">
        <f t="shared" si="0"/>
        <v>8.5603683279895801E-2</v>
      </c>
    </row>
    <row r="27" spans="1:8" x14ac:dyDescent="0.2">
      <c r="A27" t="str">
        <f>'MSCI EM_Monthly'!A27</f>
        <v>2019-02-28</v>
      </c>
      <c r="B27">
        <f>EMF_Fund_Monthly!B27</f>
        <v>16.399999999999999</v>
      </c>
      <c r="C27">
        <f>'MSCI EM_Monthly'!B27</f>
        <v>485.58305899999999</v>
      </c>
      <c r="D27">
        <f>(EMF_Fund_Monthly!B27-EMF_Fund_Monthly!B26)/EMF_Fund_Monthly!B26</f>
        <v>-3.6452004860268693E-3</v>
      </c>
      <c r="E27">
        <f>('MSCI EM_Monthly'!B27-'MSCI EM_Monthly'!B26)/'MSCI EM_Monthly'!B26</f>
        <v>2.2482785960707776E-3</v>
      </c>
      <c r="F27">
        <f>(1+'Risk-free rate'!B27/100)^(1/12)-1</f>
        <v>1.970177053312705E-3</v>
      </c>
      <c r="G27">
        <f t="shared" si="0"/>
        <v>-5.6153775393395743E-3</v>
      </c>
      <c r="H27">
        <f t="shared" si="0"/>
        <v>2.7810154275807264E-4</v>
      </c>
    </row>
    <row r="28" spans="1:8" x14ac:dyDescent="0.2">
      <c r="A28" t="str">
        <f>'MSCI EM_Monthly'!A28</f>
        <v>2019-03-29</v>
      </c>
      <c r="B28">
        <f>EMF_Fund_Monthly!B28</f>
        <v>16.68</v>
      </c>
      <c r="C28">
        <f>'MSCI EM_Monthly'!B28</f>
        <v>489.65846399999998</v>
      </c>
      <c r="D28">
        <f>(EMF_Fund_Monthly!B28-EMF_Fund_Monthly!B27)/EMF_Fund_Monthly!B27</f>
        <v>1.7073170731707388E-2</v>
      </c>
      <c r="E28">
        <f>('MSCI EM_Monthly'!B28-'MSCI EM_Monthly'!B27)/'MSCI EM_Monthly'!B27</f>
        <v>8.3928072128232733E-3</v>
      </c>
      <c r="F28">
        <f>(1+'Risk-free rate'!B28/100)^(1/12)-1</f>
        <v>1.9783315388433032E-3</v>
      </c>
      <c r="G28">
        <f t="shared" si="0"/>
        <v>1.5094839192864085E-2</v>
      </c>
      <c r="H28">
        <f t="shared" si="0"/>
        <v>6.4144756739799701E-3</v>
      </c>
    </row>
    <row r="29" spans="1:8" x14ac:dyDescent="0.2">
      <c r="A29" t="str">
        <f>'MSCI EM_Monthly'!A29</f>
        <v>2019-04-30</v>
      </c>
      <c r="B29">
        <f>EMF_Fund_Monthly!B29</f>
        <v>17.16</v>
      </c>
      <c r="C29">
        <f>'MSCI EM_Monthly'!B29</f>
        <v>499.96667600000001</v>
      </c>
      <c r="D29">
        <f>(EMF_Fund_Monthly!B29-EMF_Fund_Monthly!B28)/EMF_Fund_Monthly!B28</f>
        <v>2.8776978417266213E-2</v>
      </c>
      <c r="E29">
        <f>('MSCI EM_Monthly'!B29-'MSCI EM_Monthly'!B28)/'MSCI EM_Monthly'!B28</f>
        <v>2.1051840737710655E-2</v>
      </c>
      <c r="F29">
        <f>(1+'Risk-free rate'!B29/100)^(1/12)-1</f>
        <v>1.9620218377029985E-3</v>
      </c>
      <c r="G29">
        <f t="shared" si="0"/>
        <v>2.6814956579563214E-2</v>
      </c>
      <c r="H29">
        <f t="shared" si="0"/>
        <v>1.9089818900007657E-2</v>
      </c>
    </row>
    <row r="30" spans="1:8" x14ac:dyDescent="0.2">
      <c r="A30" t="str">
        <f>'MSCI EM_Monthly'!A30</f>
        <v>2019-05-31</v>
      </c>
      <c r="B30">
        <f>EMF_Fund_Monthly!B30</f>
        <v>15.93</v>
      </c>
      <c r="C30">
        <f>'MSCI EM_Monthly'!B30</f>
        <v>463.68839600000001</v>
      </c>
      <c r="D30">
        <f>(EMF_Fund_Monthly!B30-EMF_Fund_Monthly!B29)/EMF_Fund_Monthly!B29</f>
        <v>-7.1678321678321708E-2</v>
      </c>
      <c r="E30">
        <f>('MSCI EM_Monthly'!B30-'MSCI EM_Monthly'!B29)/'MSCI EM_Monthly'!B29</f>
        <v>-7.2561396071925396E-2</v>
      </c>
      <c r="F30">
        <f>(1+'Risk-free rate'!B30/100)^(1/12)-1</f>
        <v>1.937551809032545E-3</v>
      </c>
      <c r="G30">
        <f t="shared" si="0"/>
        <v>-7.3615873487354253E-2</v>
      </c>
      <c r="H30">
        <f t="shared" si="0"/>
        <v>-7.4498947880957941E-2</v>
      </c>
    </row>
    <row r="31" spans="1:8" x14ac:dyDescent="0.2">
      <c r="A31" t="str">
        <f>'MSCI EM_Monthly'!A31</f>
        <v>2019-06-28</v>
      </c>
      <c r="B31">
        <f>EMF_Fund_Monthly!B31</f>
        <v>16.940000000000001</v>
      </c>
      <c r="C31">
        <f>'MSCI EM_Monthly'!B31</f>
        <v>492.62772000000001</v>
      </c>
      <c r="D31">
        <f>(EMF_Fund_Monthly!B31-EMF_Fund_Monthly!B30)/EMF_Fund_Monthly!B30</f>
        <v>6.3402385436283834E-2</v>
      </c>
      <c r="E31">
        <f>('MSCI EM_Monthly'!B31-'MSCI EM_Monthly'!B30)/'MSCI EM_Monthly'!B30</f>
        <v>6.2411145609087011E-2</v>
      </c>
      <c r="F31">
        <f>(1+'Risk-free rate'!B31/100)^(1/12)-1</f>
        <v>1.7905934192179451E-3</v>
      </c>
      <c r="G31">
        <f t="shared" si="0"/>
        <v>6.1611792017065889E-2</v>
      </c>
      <c r="H31">
        <f t="shared" si="0"/>
        <v>6.0620552189869066E-2</v>
      </c>
    </row>
    <row r="32" spans="1:8" x14ac:dyDescent="0.2">
      <c r="A32" t="str">
        <f>'MSCI EM_Monthly'!A32</f>
        <v>2019-07-31</v>
      </c>
      <c r="B32">
        <f>EMF_Fund_Monthly!B32</f>
        <v>16.850000000000001</v>
      </c>
      <c r="C32">
        <f>'MSCI EM_Monthly'!B32</f>
        <v>486.60388499999999</v>
      </c>
      <c r="D32">
        <f>(EMF_Fund_Monthly!B32-EMF_Fund_Monthly!B31)/EMF_Fund_Monthly!B31</f>
        <v>-5.3128689492325772E-3</v>
      </c>
      <c r="E32">
        <f>('MSCI EM_Monthly'!B32-'MSCI EM_Monthly'!B31)/'MSCI EM_Monthly'!B31</f>
        <v>-1.2227965978041226E-2</v>
      </c>
      <c r="F32">
        <f>(1+'Risk-free rate'!B32/100)^(1/12)-1</f>
        <v>1.73337883251512E-3</v>
      </c>
      <c r="G32">
        <f t="shared" si="0"/>
        <v>-7.0462477817476972E-3</v>
      </c>
      <c r="H32">
        <f t="shared" si="0"/>
        <v>-1.3961344810556347E-2</v>
      </c>
    </row>
    <row r="33" spans="1:10" x14ac:dyDescent="0.2">
      <c r="A33" t="str">
        <f>'MSCI EM_Monthly'!A33</f>
        <v>2019-08-30</v>
      </c>
      <c r="B33">
        <f>EMF_Fund_Monthly!B33</f>
        <v>16.100000000000001</v>
      </c>
      <c r="C33">
        <f>'MSCI EM_Monthly'!B33</f>
        <v>462.87866200000002</v>
      </c>
      <c r="D33">
        <f>(EMF_Fund_Monthly!B33-EMF_Fund_Monthly!B32)/EMF_Fund_Monthly!B32</f>
        <v>-4.4510385756676554E-2</v>
      </c>
      <c r="E33">
        <f>('MSCI EM_Monthly'!B33-'MSCI EM_Monthly'!B32)/'MSCI EM_Monthly'!B32</f>
        <v>-4.8756748006646047E-2</v>
      </c>
      <c r="F33">
        <f>(1+'Risk-free rate'!B33/100)^(1/12)-1</f>
        <v>1.6106549662961989E-3</v>
      </c>
      <c r="G33">
        <f t="shared" si="0"/>
        <v>-4.6121040722972753E-2</v>
      </c>
      <c r="H33">
        <f t="shared" si="0"/>
        <v>-5.0367402972942246E-2</v>
      </c>
    </row>
    <row r="34" spans="1:10" x14ac:dyDescent="0.2">
      <c r="A34" t="str">
        <f>'MSCI EM_Monthly'!A34</f>
        <v>2019-09-30</v>
      </c>
      <c r="B34">
        <f>EMF_Fund_Monthly!B34</f>
        <v>16.53</v>
      </c>
      <c r="C34">
        <f>'MSCI EM_Monthly'!B34</f>
        <v>471.71491600000002</v>
      </c>
      <c r="D34">
        <f>(EMF_Fund_Monthly!B34-EMF_Fund_Monthly!B33)/EMF_Fund_Monthly!B33</f>
        <v>2.670807453416147E-2</v>
      </c>
      <c r="E34">
        <f>('MSCI EM_Monthly'!B34-'MSCI EM_Monthly'!B33)/'MSCI EM_Monthly'!B33</f>
        <v>1.9089784700423273E-2</v>
      </c>
      <c r="F34">
        <f>(1+'Risk-free rate'!B34/100)^(1/12)-1</f>
        <v>1.5615190697231274E-3</v>
      </c>
      <c r="G34">
        <f t="shared" si="0"/>
        <v>2.5146555464438343E-2</v>
      </c>
      <c r="H34">
        <f t="shared" si="0"/>
        <v>1.7528265630700146E-2</v>
      </c>
    </row>
    <row r="35" spans="1:10" x14ac:dyDescent="0.2">
      <c r="A35" t="str">
        <f>'MSCI EM_Monthly'!A35</f>
        <v>2019-10-31</v>
      </c>
      <c r="B35">
        <f>EMF_Fund_Monthly!B35</f>
        <v>17.16</v>
      </c>
      <c r="C35">
        <f>'MSCI EM_Monthly'!B35</f>
        <v>491.60564299999999</v>
      </c>
      <c r="D35">
        <f>(EMF_Fund_Monthly!B35-EMF_Fund_Monthly!B34)/EMF_Fund_Monthly!B34</f>
        <v>3.8112522686025344E-2</v>
      </c>
      <c r="E35">
        <f>('MSCI EM_Monthly'!B35-'MSCI EM_Monthly'!B34)/'MSCI EM_Monthly'!B34</f>
        <v>4.2166839176228148E-2</v>
      </c>
      <c r="F35">
        <f>(1+'Risk-free rate'!B35/100)^(1/12)-1</f>
        <v>1.364709877352599E-3</v>
      </c>
      <c r="G35">
        <f t="shared" si="0"/>
        <v>3.6747812808672745E-2</v>
      </c>
      <c r="H35">
        <f t="shared" si="0"/>
        <v>4.0802129298875549E-2</v>
      </c>
    </row>
    <row r="36" spans="1:10" x14ac:dyDescent="0.2">
      <c r="A36" t="str">
        <f>'MSCI EM_Monthly'!A36</f>
        <v>2019-11-29</v>
      </c>
      <c r="B36">
        <f>EMF_Fund_Monthly!B36</f>
        <v>17.350000000000001</v>
      </c>
      <c r="C36">
        <f>'MSCI EM_Monthly'!B36</f>
        <v>490.929216</v>
      </c>
      <c r="D36">
        <f>(EMF_Fund_Monthly!B36-EMF_Fund_Monthly!B35)/EMF_Fund_Monthly!B35</f>
        <v>1.1072261072261147E-2</v>
      </c>
      <c r="E36">
        <f>('MSCI EM_Monthly'!B36-'MSCI EM_Monthly'!B35)/'MSCI EM_Monthly'!B35</f>
        <v>-1.3759545066898055E-3</v>
      </c>
      <c r="F36">
        <f>(1+'Risk-free rate'!B36/100)^(1/12)-1</f>
        <v>1.2743632726075482E-3</v>
      </c>
      <c r="G36">
        <f t="shared" si="0"/>
        <v>9.7978977996535984E-3</v>
      </c>
      <c r="H36">
        <f t="shared" si="0"/>
        <v>-2.6503177792973538E-3</v>
      </c>
    </row>
    <row r="37" spans="1:10" x14ac:dyDescent="0.2">
      <c r="A37" t="str">
        <f>'MSCI EM_Monthly'!A37</f>
        <v>2019-12-31</v>
      </c>
      <c r="B37">
        <f>EMF_Fund_Monthly!B37</f>
        <v>17.54</v>
      </c>
      <c r="C37">
        <f>'MSCI EM_Monthly'!B37</f>
        <v>527.55514600000004</v>
      </c>
      <c r="D37">
        <f>(EMF_Fund_Monthly!B37-EMF_Fund_Monthly!B36)/EMF_Fund_Monthly!B36</f>
        <v>1.0951008645533009E-2</v>
      </c>
      <c r="E37">
        <f>('MSCI EM_Monthly'!B37-'MSCI EM_Monthly'!B36)/'MSCI EM_Monthly'!B36</f>
        <v>7.4605317439490171E-2</v>
      </c>
      <c r="F37">
        <f>(1+'Risk-free rate'!B37/100)^(1/12)-1</f>
        <v>1.2743632726075482E-3</v>
      </c>
      <c r="G37">
        <f t="shared" si="0"/>
        <v>9.6766453729254607E-3</v>
      </c>
      <c r="H37">
        <f t="shared" si="0"/>
        <v>7.3330954166882623E-2</v>
      </c>
    </row>
    <row r="38" spans="1:10" x14ac:dyDescent="0.2">
      <c r="A38" t="str">
        <f>'MSCI EM_Monthly'!A38</f>
        <v>2020-01-31</v>
      </c>
      <c r="B38">
        <f>EMF_Fund_Monthly!B38</f>
        <v>16.690000000000001</v>
      </c>
      <c r="C38">
        <f>'MSCI EM_Monthly'!B38</f>
        <v>502.96333900000002</v>
      </c>
      <c r="D38">
        <f>(EMF_Fund_Monthly!B38-EMF_Fund_Monthly!B37)/EMF_Fund_Monthly!B37</f>
        <v>-4.8460661345495891E-2</v>
      </c>
      <c r="E38">
        <f>('MSCI EM_Monthly'!B38-'MSCI EM_Monthly'!B37)/'MSCI EM_Monthly'!B37</f>
        <v>-4.6614666137670499E-2</v>
      </c>
      <c r="F38">
        <f>(1+'Risk-free rate'!B38/100)^(1/12)-1</f>
        <v>1.2579269787644787E-3</v>
      </c>
      <c r="G38">
        <f t="shared" si="0"/>
        <v>-4.971858832426037E-2</v>
      </c>
      <c r="H38">
        <f t="shared" si="0"/>
        <v>-4.7872593116434978E-2</v>
      </c>
      <c r="I38">
        <f>((1+INDEX(LINEST(G3:G38,H3:H38,TRUE,TRUE),1,2))^12)-1</f>
        <v>-2.7535280833047793E-2</v>
      </c>
      <c r="J38">
        <f>INDEX(LINEST(G3:G38, H3:H38, TRUE, TRUE), 1, 1)</f>
        <v>0.91654160482265856</v>
      </c>
    </row>
    <row r="39" spans="1:10" x14ac:dyDescent="0.2">
      <c r="A39" t="str">
        <f>'MSCI EM_Monthly'!A39</f>
        <v>2020-02-28</v>
      </c>
      <c r="B39">
        <f>EMF_Fund_Monthly!B39</f>
        <v>15.93</v>
      </c>
      <c r="C39">
        <f>'MSCI EM_Monthly'!B39</f>
        <v>476.44049799999999</v>
      </c>
      <c r="D39">
        <f>(EMF_Fund_Monthly!B39-EMF_Fund_Monthly!B38)/EMF_Fund_Monthly!B38</f>
        <v>-4.553624925104862E-2</v>
      </c>
      <c r="E39">
        <f>('MSCI EM_Monthly'!B39-'MSCI EM_Monthly'!B38)/'MSCI EM_Monthly'!B38</f>
        <v>-5.2733149602380916E-2</v>
      </c>
      <c r="F39">
        <f>(1+'Risk-free rate'!B39/100)^(1/12)-1</f>
        <v>1.2579269787644787E-3</v>
      </c>
      <c r="G39">
        <f t="shared" si="0"/>
        <v>-4.6794176229813099E-2</v>
      </c>
      <c r="H39">
        <f t="shared" si="0"/>
        <v>-5.3991076581145395E-2</v>
      </c>
      <c r="I39">
        <f t="shared" ref="I39:I97" si="1">((1+INDEX(LINEST(G4:G39,H4:H39,TRUE,TRUE),1,2))^12)-1</f>
        <v>-2.719688085390648E-2</v>
      </c>
      <c r="J39">
        <f t="shared" ref="J39:J97" si="2">INDEX(LINEST(G4:G39, H4:H39, TRUE, TRUE), 1, 1)</f>
        <v>0.91007615498741767</v>
      </c>
    </row>
    <row r="40" spans="1:10" x14ac:dyDescent="0.2">
      <c r="A40" t="str">
        <f>'MSCI EM_Monthly'!A40</f>
        <v>2020-03-31</v>
      </c>
      <c r="B40">
        <f>EMF_Fund_Monthly!B40</f>
        <v>13.01</v>
      </c>
      <c r="C40">
        <f>'MSCI EM_Monthly'!B40</f>
        <v>403.057794</v>
      </c>
      <c r="D40">
        <f>(EMF_Fund_Monthly!B40-EMF_Fund_Monthly!B39)/EMF_Fund_Monthly!B39</f>
        <v>-0.18330194601381042</v>
      </c>
      <c r="E40">
        <f>('MSCI EM_Monthly'!B40-'MSCI EM_Monthly'!B39)/'MSCI EM_Monthly'!B39</f>
        <v>-0.15402280937083562</v>
      </c>
      <c r="F40">
        <f>(1+'Risk-free rate'!B40/100)^(1/12)-1</f>
        <v>2.4134604527370485E-4</v>
      </c>
      <c r="G40">
        <f t="shared" si="0"/>
        <v>-0.18354329205908412</v>
      </c>
      <c r="H40">
        <f t="shared" si="0"/>
        <v>-0.15426415541610933</v>
      </c>
      <c r="I40">
        <f t="shared" si="1"/>
        <v>-4.2279887553033579E-2</v>
      </c>
      <c r="J40">
        <f t="shared" si="2"/>
        <v>0.97826450172291346</v>
      </c>
    </row>
    <row r="41" spans="1:10" x14ac:dyDescent="0.2">
      <c r="A41" t="str">
        <f>'MSCI EM_Monthly'!A41</f>
        <v>2020-04-30</v>
      </c>
      <c r="B41">
        <f>EMF_Fund_Monthly!B41</f>
        <v>14.17</v>
      </c>
      <c r="C41">
        <f>'MSCI EM_Monthly'!B41</f>
        <v>439.96734199999997</v>
      </c>
      <c r="D41">
        <f>(EMF_Fund_Monthly!B41-EMF_Fund_Monthly!B40)/EMF_Fund_Monthly!B40</f>
        <v>8.9162182936202927E-2</v>
      </c>
      <c r="E41">
        <f>('MSCI EM_Monthly'!B41-'MSCI EM_Monthly'!B40)/'MSCI EM_Monthly'!B40</f>
        <v>9.1573835190493724E-2</v>
      </c>
      <c r="F41">
        <f>(1+'Risk-free rate'!B41/100)^(1/12)-1</f>
        <v>1.1659187244639213E-4</v>
      </c>
      <c r="G41">
        <f t="shared" si="0"/>
        <v>8.9045591063756535E-2</v>
      </c>
      <c r="H41">
        <f t="shared" si="0"/>
        <v>9.1457243318047332E-2</v>
      </c>
      <c r="I41">
        <f t="shared" si="1"/>
        <v>-4.5378586021771583E-2</v>
      </c>
      <c r="J41">
        <f t="shared" si="2"/>
        <v>0.97848784973153591</v>
      </c>
    </row>
    <row r="42" spans="1:10" x14ac:dyDescent="0.2">
      <c r="A42" t="str">
        <f>'MSCI EM_Monthly'!A42</f>
        <v>2020-05-29</v>
      </c>
      <c r="B42">
        <f>EMF_Fund_Monthly!B42</f>
        <v>14.4</v>
      </c>
      <c r="C42">
        <f>'MSCI EM_Monthly'!B42</f>
        <v>443.34662200000002</v>
      </c>
      <c r="D42">
        <f>(EMF_Fund_Monthly!B42-EMF_Fund_Monthly!B41)/EMF_Fund_Monthly!B41</f>
        <v>1.6231474947071306E-2</v>
      </c>
      <c r="E42">
        <f>('MSCI EM_Monthly'!B42-'MSCI EM_Monthly'!B41)/'MSCI EM_Monthly'!B41</f>
        <v>7.6807519045357948E-3</v>
      </c>
      <c r="F42">
        <f>(1+'Risk-free rate'!B42/100)^(1/12)-1</f>
        <v>1.0826883828274347E-4</v>
      </c>
      <c r="G42">
        <f t="shared" si="0"/>
        <v>1.6123206108788563E-2</v>
      </c>
      <c r="H42">
        <f t="shared" si="0"/>
        <v>7.5724830662530513E-3</v>
      </c>
      <c r="I42">
        <f t="shared" si="1"/>
        <v>-4.3455303852234506E-2</v>
      </c>
      <c r="J42">
        <f t="shared" si="2"/>
        <v>0.9775108030867532</v>
      </c>
    </row>
    <row r="43" spans="1:10" x14ac:dyDescent="0.2">
      <c r="A43" t="str">
        <f>'MSCI EM_Monthly'!A43</f>
        <v>2020-06-30</v>
      </c>
      <c r="B43">
        <f>EMF_Fund_Monthly!B43</f>
        <v>15.67</v>
      </c>
      <c r="C43">
        <f>'MSCI EM_Monthly'!B43</f>
        <v>475.93660199999999</v>
      </c>
      <c r="D43">
        <f>(EMF_Fund_Monthly!B43-EMF_Fund_Monthly!B42)/EMF_Fund_Monthly!B42</f>
        <v>8.8194444444444409E-2</v>
      </c>
      <c r="E43">
        <f>('MSCI EM_Monthly'!B43-'MSCI EM_Monthly'!B42)/'MSCI EM_Monthly'!B42</f>
        <v>7.3509029690994168E-2</v>
      </c>
      <c r="F43">
        <f>(1+'Risk-free rate'!B43/100)^(1/12)-1</f>
        <v>1.3323565538980731E-4</v>
      </c>
      <c r="G43">
        <f t="shared" si="0"/>
        <v>8.8061208789054601E-2</v>
      </c>
      <c r="H43">
        <f t="shared" si="0"/>
        <v>7.3375794035604361E-2</v>
      </c>
      <c r="I43">
        <f t="shared" si="1"/>
        <v>-3.6478295030572316E-2</v>
      </c>
      <c r="J43">
        <f t="shared" si="2"/>
        <v>0.99203317055025186</v>
      </c>
    </row>
    <row r="44" spans="1:10" x14ac:dyDescent="0.2">
      <c r="A44" t="str">
        <f>'MSCI EM_Monthly'!A44</f>
        <v>2020-07-31</v>
      </c>
      <c r="B44">
        <f>EMF_Fund_Monthly!B44</f>
        <v>17.21</v>
      </c>
      <c r="C44">
        <f>'MSCI EM_Monthly'!B44</f>
        <v>518.46717200000001</v>
      </c>
      <c r="D44">
        <f>(EMF_Fund_Monthly!B44-EMF_Fund_Monthly!B43)/EMF_Fund_Monthly!B43</f>
        <v>9.8276962348436567E-2</v>
      </c>
      <c r="E44">
        <f>('MSCI EM_Monthly'!B44-'MSCI EM_Monthly'!B43)/'MSCI EM_Monthly'!B43</f>
        <v>8.9361838995522372E-2</v>
      </c>
      <c r="F44">
        <f>(1+'Risk-free rate'!B44/100)^(1/12)-1</f>
        <v>1.0826883828274347E-4</v>
      </c>
      <c r="G44">
        <f t="shared" si="0"/>
        <v>9.8168693510153823E-2</v>
      </c>
      <c r="H44">
        <f t="shared" si="0"/>
        <v>8.9253570157239628E-2</v>
      </c>
      <c r="I44">
        <f t="shared" si="1"/>
        <v>-3.7545126474248569E-2</v>
      </c>
      <c r="J44">
        <f t="shared" si="2"/>
        <v>0.99406041330812134</v>
      </c>
    </row>
    <row r="45" spans="1:10" x14ac:dyDescent="0.2">
      <c r="A45" t="str">
        <f>'MSCI EM_Monthly'!A45</f>
        <v>2020-08-31</v>
      </c>
      <c r="B45">
        <f>EMF_Fund_Monthly!B45</f>
        <v>17.579999999999998</v>
      </c>
      <c r="C45">
        <f>'MSCI EM_Monthly'!B45</f>
        <v>529.92767200000003</v>
      </c>
      <c r="D45">
        <f>(EMF_Fund_Monthly!B45-EMF_Fund_Monthly!B44)/EMF_Fund_Monthly!B44</f>
        <v>2.1499128413712806E-2</v>
      </c>
      <c r="E45">
        <f>('MSCI EM_Monthly'!B45-'MSCI EM_Monthly'!B44)/'MSCI EM_Monthly'!B44</f>
        <v>2.210458177282635E-2</v>
      </c>
      <c r="F45">
        <f>(1+'Risk-free rate'!B45/100)^(1/12)-1</f>
        <v>8.3295163273211514E-5</v>
      </c>
      <c r="G45">
        <f t="shared" si="0"/>
        <v>2.1415833250439595E-2</v>
      </c>
      <c r="H45">
        <f t="shared" si="0"/>
        <v>2.2021286609553138E-2</v>
      </c>
      <c r="I45">
        <f t="shared" si="1"/>
        <v>-3.8106884957346931E-2</v>
      </c>
      <c r="J45">
        <f t="shared" si="2"/>
        <v>0.99375350000049978</v>
      </c>
    </row>
    <row r="46" spans="1:10" x14ac:dyDescent="0.2">
      <c r="A46" t="str">
        <f>'MSCI EM_Monthly'!A46</f>
        <v>2020-09-30</v>
      </c>
      <c r="B46">
        <f>EMF_Fund_Monthly!B46</f>
        <v>17.43</v>
      </c>
      <c r="C46">
        <f>'MSCI EM_Monthly'!B46</f>
        <v>521.42799600000001</v>
      </c>
      <c r="D46">
        <f>(EMF_Fund_Monthly!B46-EMF_Fund_Monthly!B45)/EMF_Fund_Monthly!B45</f>
        <v>-8.5324232081910468E-3</v>
      </c>
      <c r="E46">
        <f>('MSCI EM_Monthly'!B46-'MSCI EM_Monthly'!B45)/'MSCI EM_Monthly'!B45</f>
        <v>-1.603931338010977E-2</v>
      </c>
      <c r="F46">
        <f>(1+'Risk-free rate'!B46/100)^(1/12)-1</f>
        <v>9.1620483841925449E-5</v>
      </c>
      <c r="G46">
        <f t="shared" si="0"/>
        <v>-8.6240436920329722E-3</v>
      </c>
      <c r="H46">
        <f t="shared" si="0"/>
        <v>-1.6130933863951695E-2</v>
      </c>
      <c r="I46">
        <f t="shared" si="1"/>
        <v>-3.8548336039606168E-2</v>
      </c>
      <c r="J46">
        <f t="shared" si="2"/>
        <v>0.9927057378848394</v>
      </c>
    </row>
    <row r="47" spans="1:10" x14ac:dyDescent="0.2">
      <c r="A47" t="str">
        <f>'MSCI EM_Monthly'!A47</f>
        <v>2020-10-30</v>
      </c>
      <c r="B47">
        <f>EMF_Fund_Monthly!B47</f>
        <v>17.71</v>
      </c>
      <c r="C47">
        <f>'MSCI EM_Monthly'!B47</f>
        <v>532.17096300000003</v>
      </c>
      <c r="D47">
        <f>(EMF_Fund_Monthly!B47-EMF_Fund_Monthly!B46)/EMF_Fund_Monthly!B46</f>
        <v>1.6064257028112514E-2</v>
      </c>
      <c r="E47">
        <f>('MSCI EM_Monthly'!B47-'MSCI EM_Monthly'!B46)/'MSCI EM_Monthly'!B46</f>
        <v>2.0602973147609858E-2</v>
      </c>
      <c r="F47">
        <f>(1+'Risk-free rate'!B47/100)^(1/12)-1</f>
        <v>8.3295163273211514E-5</v>
      </c>
      <c r="G47">
        <f t="shared" si="0"/>
        <v>1.5980961864839303E-2</v>
      </c>
      <c r="H47">
        <f t="shared" si="0"/>
        <v>2.0519677984336647E-2</v>
      </c>
      <c r="I47">
        <f t="shared" si="1"/>
        <v>-4.095107637815687E-2</v>
      </c>
      <c r="J47">
        <f t="shared" si="2"/>
        <v>0.99048618909289221</v>
      </c>
    </row>
    <row r="48" spans="1:10" x14ac:dyDescent="0.2">
      <c r="A48" t="str">
        <f>'MSCI EM_Monthly'!A48</f>
        <v>2020-11-30</v>
      </c>
      <c r="B48">
        <f>EMF_Fund_Monthly!B48</f>
        <v>19.18</v>
      </c>
      <c r="C48">
        <f>'MSCI EM_Monthly'!B48</f>
        <v>581.39010900000005</v>
      </c>
      <c r="D48">
        <f>(EMF_Fund_Monthly!B48-EMF_Fund_Monthly!B47)/EMF_Fund_Monthly!B47</f>
        <v>8.3003952569169898E-2</v>
      </c>
      <c r="E48">
        <f>('MSCI EM_Monthly'!B48-'MSCI EM_Monthly'!B47)/'MSCI EM_Monthly'!B47</f>
        <v>9.2487470046350537E-2</v>
      </c>
      <c r="F48">
        <f>(1+'Risk-free rate'!B48/100)^(1/12)-1</f>
        <v>7.4969080277487166E-5</v>
      </c>
      <c r="G48">
        <f t="shared" si="0"/>
        <v>8.292898348889241E-2</v>
      </c>
      <c r="H48">
        <f t="shared" si="0"/>
        <v>9.241250096607305E-2</v>
      </c>
      <c r="I48">
        <f t="shared" si="1"/>
        <v>-4.3710689820334325E-2</v>
      </c>
      <c r="J48">
        <f t="shared" si="2"/>
        <v>0.98658833714544258</v>
      </c>
    </row>
    <row r="49" spans="1:10" x14ac:dyDescent="0.2">
      <c r="A49" t="str">
        <f>'MSCI EM_Monthly'!A49</f>
        <v>2020-12-31</v>
      </c>
      <c r="B49">
        <f>EMF_Fund_Monthly!B49</f>
        <v>19.98</v>
      </c>
      <c r="C49">
        <f>'MSCI EM_Monthly'!B49</f>
        <v>624.13011200000005</v>
      </c>
      <c r="D49">
        <f>(EMF_Fund_Monthly!B49-EMF_Fund_Monthly!B48)/EMF_Fund_Monthly!B48</f>
        <v>4.1710114702815472E-2</v>
      </c>
      <c r="E49">
        <f>('MSCI EM_Monthly'!B49-'MSCI EM_Monthly'!B48)/'MSCI EM_Monthly'!B48</f>
        <v>7.3513467701597932E-2</v>
      </c>
      <c r="F49">
        <f>(1+'Risk-free rate'!B49/100)^(1/12)-1</f>
        <v>7.4969080277487166E-5</v>
      </c>
      <c r="G49">
        <f t="shared" si="0"/>
        <v>4.1635145622537985E-2</v>
      </c>
      <c r="H49">
        <f t="shared" si="0"/>
        <v>7.3438498621320444E-2</v>
      </c>
      <c r="I49">
        <f t="shared" si="1"/>
        <v>-3.0866340012103088E-2</v>
      </c>
      <c r="J49">
        <f t="shared" si="2"/>
        <v>0.98772320801687574</v>
      </c>
    </row>
    <row r="50" spans="1:10" x14ac:dyDescent="0.2">
      <c r="A50" t="str">
        <f>'MSCI EM_Monthly'!A50</f>
        <v>2021-01-29</v>
      </c>
      <c r="B50">
        <f>EMF_Fund_Monthly!B50</f>
        <v>21.07</v>
      </c>
      <c r="C50">
        <f>'MSCI EM_Monthly'!B50</f>
        <v>643.26456099999996</v>
      </c>
      <c r="D50">
        <f>(EMF_Fund_Monthly!B50-EMF_Fund_Monthly!B49)/EMF_Fund_Monthly!B49</f>
        <v>5.4554554554554546E-2</v>
      </c>
      <c r="E50">
        <f>('MSCI EM_Monthly'!B50-'MSCI EM_Monthly'!B49)/'MSCI EM_Monthly'!B49</f>
        <v>3.0657788547782651E-2</v>
      </c>
      <c r="F50">
        <f>(1+'Risk-free rate'!B50/100)^(1/12)-1</f>
        <v>6.6642234708869097E-5</v>
      </c>
      <c r="G50">
        <f t="shared" si="0"/>
        <v>5.4487912319845677E-2</v>
      </c>
      <c r="H50">
        <f t="shared" si="0"/>
        <v>3.0591146313073782E-2</v>
      </c>
      <c r="I50">
        <f t="shared" si="1"/>
        <v>-1.8088564435083776E-2</v>
      </c>
      <c r="J50">
        <f t="shared" si="2"/>
        <v>1.0045989448237052</v>
      </c>
    </row>
    <row r="51" spans="1:10" x14ac:dyDescent="0.2">
      <c r="A51" t="str">
        <f>'MSCI EM_Monthly'!A51</f>
        <v>2021-02-26</v>
      </c>
      <c r="B51">
        <f>EMF_Fund_Monthly!B51</f>
        <v>21.3</v>
      </c>
      <c r="C51">
        <f>'MSCI EM_Monthly'!B51</f>
        <v>648.18468900000005</v>
      </c>
      <c r="D51">
        <f>(EMF_Fund_Monthly!B51-EMF_Fund_Monthly!B50)/EMF_Fund_Monthly!B50</f>
        <v>1.0915994304698643E-2</v>
      </c>
      <c r="E51">
        <f>('MSCI EM_Monthly'!B51-'MSCI EM_Monthly'!B50)/'MSCI EM_Monthly'!B50</f>
        <v>7.6486850019398022E-3</v>
      </c>
      <c r="F51">
        <f>(1+'Risk-free rate'!B51/100)^(1/12)-1</f>
        <v>3.3327223783574667E-5</v>
      </c>
      <c r="G51">
        <f t="shared" si="0"/>
        <v>1.0882667080915068E-2</v>
      </c>
      <c r="H51">
        <f t="shared" si="0"/>
        <v>7.6153577781562275E-3</v>
      </c>
      <c r="I51">
        <f t="shared" si="1"/>
        <v>-1.8573072048209571E-2</v>
      </c>
      <c r="J51">
        <f t="shared" si="2"/>
        <v>1.0074652410263287</v>
      </c>
    </row>
    <row r="52" spans="1:10" x14ac:dyDescent="0.2">
      <c r="A52" t="str">
        <f>'MSCI EM_Monthly'!A52</f>
        <v>2021-03-31</v>
      </c>
      <c r="B52">
        <f>EMF_Fund_Monthly!B52</f>
        <v>21.19</v>
      </c>
      <c r="C52">
        <f>'MSCI EM_Monthly'!B52</f>
        <v>638.39540799999997</v>
      </c>
      <c r="D52">
        <f>(EMF_Fund_Monthly!B52-EMF_Fund_Monthly!B51)/EMF_Fund_Monthly!B51</f>
        <v>-5.164319248826264E-3</v>
      </c>
      <c r="E52">
        <f>('MSCI EM_Monthly'!B52-'MSCI EM_Monthly'!B51)/'MSCI EM_Monthly'!B51</f>
        <v>-1.5102610669657568E-2</v>
      </c>
      <c r="F52">
        <f>(1+'Risk-free rate'!B52/100)^(1/12)-1</f>
        <v>2.4996563158685703E-5</v>
      </c>
      <c r="G52">
        <f t="shared" si="0"/>
        <v>-5.1893158119849497E-3</v>
      </c>
      <c r="H52">
        <f t="shared" si="0"/>
        <v>-1.5127607232816254E-2</v>
      </c>
      <c r="I52">
        <f t="shared" si="1"/>
        <v>-1.2642862953192835E-2</v>
      </c>
      <c r="J52">
        <f t="shared" si="2"/>
        <v>1.0038691722392481</v>
      </c>
    </row>
    <row r="53" spans="1:10" x14ac:dyDescent="0.2">
      <c r="A53" t="str">
        <f>'MSCI EM_Monthly'!A53</f>
        <v>2021-04-30</v>
      </c>
      <c r="B53">
        <f>EMF_Fund_Monthly!B53</f>
        <v>21.49</v>
      </c>
      <c r="C53">
        <f>'MSCI EM_Monthly'!B53</f>
        <v>654.29002200000002</v>
      </c>
      <c r="D53">
        <f>(EMF_Fund_Monthly!B53-EMF_Fund_Monthly!B52)/EMF_Fund_Monthly!B52</f>
        <v>1.4157621519584575E-2</v>
      </c>
      <c r="E53">
        <f>('MSCI EM_Monthly'!B53-'MSCI EM_Monthly'!B52)/'MSCI EM_Monthly'!B52</f>
        <v>2.4897757409934326E-2</v>
      </c>
      <c r="F53">
        <f>(1+'Risk-free rate'!B53/100)^(1/12)-1</f>
        <v>1.6665139084048874E-5</v>
      </c>
      <c r="G53">
        <f t="shared" si="0"/>
        <v>1.4140956380500527E-2</v>
      </c>
      <c r="H53">
        <f t="shared" si="0"/>
        <v>2.4881092270850277E-2</v>
      </c>
      <c r="I53">
        <f t="shared" si="1"/>
        <v>-9.4816519732626725E-3</v>
      </c>
      <c r="J53">
        <f t="shared" si="2"/>
        <v>1.0000878190180611</v>
      </c>
    </row>
    <row r="54" spans="1:10" x14ac:dyDescent="0.2">
      <c r="A54" t="str">
        <f>'MSCI EM_Monthly'!A54</f>
        <v>2021-05-31</v>
      </c>
      <c r="B54">
        <f>EMF_Fund_Monthly!B54</f>
        <v>21.56</v>
      </c>
      <c r="C54">
        <f>'MSCI EM_Monthly'!B54</f>
        <v>669.46322299999997</v>
      </c>
      <c r="D54">
        <f>(EMF_Fund_Monthly!B54-EMF_Fund_Monthly!B53)/EMF_Fund_Monthly!B53</f>
        <v>3.2573289902280266E-3</v>
      </c>
      <c r="E54">
        <f>('MSCI EM_Monthly'!B54-'MSCI EM_Monthly'!B53)/'MSCI EM_Monthly'!B53</f>
        <v>2.3190329196247392E-2</v>
      </c>
      <c r="F54">
        <f>(1+'Risk-free rate'!B54/100)^(1/12)-1</f>
        <v>1.6665139084048874E-5</v>
      </c>
      <c r="G54">
        <f t="shared" si="0"/>
        <v>3.2406638511439777E-3</v>
      </c>
      <c r="H54">
        <f t="shared" si="0"/>
        <v>2.3173664057163344E-2</v>
      </c>
      <c r="I54">
        <f t="shared" si="1"/>
        <v>-1.8595942786993391E-2</v>
      </c>
      <c r="J54">
        <f t="shared" si="2"/>
        <v>1.0009189988308329</v>
      </c>
    </row>
    <row r="55" spans="1:10" x14ac:dyDescent="0.2">
      <c r="A55" t="str">
        <f>'MSCI EM_Monthly'!A55</f>
        <v>2021-06-30</v>
      </c>
      <c r="B55">
        <f>EMF_Fund_Monthly!B55</f>
        <v>21.63</v>
      </c>
      <c r="C55">
        <f>'MSCI EM_Monthly'!B55</f>
        <v>670.61697300000003</v>
      </c>
      <c r="D55">
        <f>(EMF_Fund_Monthly!B55-EMF_Fund_Monthly!B54)/EMF_Fund_Monthly!B54</f>
        <v>3.24675324675326E-3</v>
      </c>
      <c r="E55">
        <f>('MSCI EM_Monthly'!B55-'MSCI EM_Monthly'!B54)/'MSCI EM_Monthly'!B54</f>
        <v>1.7233956405101273E-3</v>
      </c>
      <c r="F55">
        <f>(1+'Risk-free rate'!B55/100)^(1/12)-1</f>
        <v>3.3327223783574667E-5</v>
      </c>
      <c r="G55">
        <f t="shared" si="0"/>
        <v>3.2134260229696853E-3</v>
      </c>
      <c r="H55">
        <f t="shared" si="0"/>
        <v>1.6900684167265527E-3</v>
      </c>
      <c r="I55">
        <f t="shared" si="1"/>
        <v>-2.2871700616047597E-2</v>
      </c>
      <c r="J55">
        <f t="shared" si="2"/>
        <v>1.0077120725497819</v>
      </c>
    </row>
    <row r="56" spans="1:10" x14ac:dyDescent="0.2">
      <c r="A56" t="str">
        <f>'MSCI EM_Monthly'!A56</f>
        <v>2021-07-30</v>
      </c>
      <c r="B56">
        <f>EMF_Fund_Monthly!B56</f>
        <v>20.03</v>
      </c>
      <c r="C56">
        <f>'MSCI EM_Monthly'!B56</f>
        <v>625.48549100000002</v>
      </c>
      <c r="D56">
        <f>(EMF_Fund_Monthly!B56-EMF_Fund_Monthly!B55)/EMF_Fund_Monthly!B55</f>
        <v>-7.397133610725834E-2</v>
      </c>
      <c r="E56">
        <f>('MSCI EM_Monthly'!B56-'MSCI EM_Monthly'!B55)/'MSCI EM_Monthly'!B55</f>
        <v>-6.7298448767415864E-2</v>
      </c>
      <c r="F56">
        <f>(1+'Risk-free rate'!B56/100)^(1/12)-1</f>
        <v>4.1657121104599071E-5</v>
      </c>
      <c r="G56">
        <f t="shared" si="0"/>
        <v>-7.4012993228362939E-2</v>
      </c>
      <c r="H56">
        <f t="shared" si="0"/>
        <v>-6.7340105888520463E-2</v>
      </c>
      <c r="I56">
        <f t="shared" si="1"/>
        <v>-2.2777844054431062E-2</v>
      </c>
      <c r="J56">
        <f t="shared" si="2"/>
        <v>1.0112501412066337</v>
      </c>
    </row>
    <row r="57" spans="1:10" x14ac:dyDescent="0.2">
      <c r="A57" t="str">
        <f>'MSCI EM_Monthly'!A57</f>
        <v>2021-08-31</v>
      </c>
      <c r="B57">
        <f>EMF_Fund_Monthly!B57</f>
        <v>20.09</v>
      </c>
      <c r="C57">
        <f>'MSCI EM_Monthly'!B57</f>
        <v>641.85774300000003</v>
      </c>
      <c r="D57">
        <f>(EMF_Fund_Monthly!B57-EMF_Fund_Monthly!B56)/EMF_Fund_Monthly!B56</f>
        <v>2.9955067398901008E-3</v>
      </c>
      <c r="E57">
        <f>('MSCI EM_Monthly'!B57-'MSCI EM_Monthly'!B56)/'MSCI EM_Monthly'!B56</f>
        <v>2.617527062670108E-2</v>
      </c>
      <c r="F57">
        <f>(1+'Risk-free rate'!B57/100)^(1/12)-1</f>
        <v>4.1657121104599071E-5</v>
      </c>
      <c r="G57">
        <f t="shared" si="0"/>
        <v>2.9538496187855017E-3</v>
      </c>
      <c r="H57">
        <f t="shared" si="0"/>
        <v>2.6133613505596481E-2</v>
      </c>
      <c r="I57">
        <f t="shared" si="1"/>
        <v>-3.4699118317023214E-2</v>
      </c>
      <c r="J57">
        <f t="shared" si="2"/>
        <v>1.0127980616110954</v>
      </c>
    </row>
    <row r="58" spans="1:10" x14ac:dyDescent="0.2">
      <c r="A58" t="str">
        <f>'MSCI EM_Monthly'!A58</f>
        <v>2021-09-30</v>
      </c>
      <c r="B58">
        <f>EMF_Fund_Monthly!B58</f>
        <v>19.170000000000002</v>
      </c>
      <c r="C58">
        <f>'MSCI EM_Monthly'!B58</f>
        <v>616.34986200000003</v>
      </c>
      <c r="D58">
        <f>(EMF_Fund_Monthly!B58-EMF_Fund_Monthly!B57)/EMF_Fund_Monthly!B57</f>
        <v>-4.5793927327028278E-2</v>
      </c>
      <c r="E58">
        <f>('MSCI EM_Monthly'!B58-'MSCI EM_Monthly'!B57)/'MSCI EM_Monthly'!B57</f>
        <v>-3.9740707778608192E-2</v>
      </c>
      <c r="F58">
        <f>(1+'Risk-free rate'!B58/100)^(1/12)-1</f>
        <v>3.3327223783574667E-5</v>
      </c>
      <c r="G58">
        <f t="shared" si="0"/>
        <v>-4.5827254550811852E-2</v>
      </c>
      <c r="H58">
        <f t="shared" si="0"/>
        <v>-3.9774035002391767E-2</v>
      </c>
      <c r="I58">
        <f t="shared" si="1"/>
        <v>-3.9603072747645962E-2</v>
      </c>
      <c r="J58">
        <f t="shared" si="2"/>
        <v>1.0154984182289215</v>
      </c>
    </row>
    <row r="59" spans="1:10" x14ac:dyDescent="0.2">
      <c r="A59" t="str">
        <f>'MSCI EM_Monthly'!A59</f>
        <v>2021-10-29</v>
      </c>
      <c r="B59">
        <f>EMF_Fund_Monthly!B59</f>
        <v>19.71</v>
      </c>
      <c r="C59">
        <f>'MSCI EM_Monthly'!B59</f>
        <v>622.42881299999999</v>
      </c>
      <c r="D59">
        <f>(EMF_Fund_Monthly!B59-EMF_Fund_Monthly!B58)/EMF_Fund_Monthly!B58</f>
        <v>2.8169014084506994E-2</v>
      </c>
      <c r="E59">
        <f>('MSCI EM_Monthly'!B59-'MSCI EM_Monthly'!B58)/'MSCI EM_Monthly'!B58</f>
        <v>9.8628252795811625E-3</v>
      </c>
      <c r="F59">
        <f>(1+'Risk-free rate'!B59/100)^(1/12)-1</f>
        <v>4.1657121104599071E-5</v>
      </c>
      <c r="G59">
        <f t="shared" si="0"/>
        <v>2.8127356963402395E-2</v>
      </c>
      <c r="H59">
        <f t="shared" si="0"/>
        <v>9.8211681584765634E-3</v>
      </c>
      <c r="I59">
        <f t="shared" si="1"/>
        <v>-3.492912137991333E-2</v>
      </c>
      <c r="J59">
        <f t="shared" si="2"/>
        <v>1.0204620068757513</v>
      </c>
    </row>
    <row r="60" spans="1:10" x14ac:dyDescent="0.2">
      <c r="A60" t="str">
        <f>'MSCI EM_Monthly'!A60</f>
        <v>2021-11-30</v>
      </c>
      <c r="B60">
        <f>EMF_Fund_Monthly!B60</f>
        <v>18.510000000000002</v>
      </c>
      <c r="C60">
        <f>'MSCI EM_Monthly'!B60</f>
        <v>597.06282599999997</v>
      </c>
      <c r="D60">
        <f>(EMF_Fund_Monthly!B60-EMF_Fund_Monthly!B59)/EMF_Fund_Monthly!B59</f>
        <v>-6.0882800608827968E-2</v>
      </c>
      <c r="E60">
        <f>('MSCI EM_Monthly'!B60-'MSCI EM_Monthly'!B59)/'MSCI EM_Monthly'!B59</f>
        <v>-4.0753233896323529E-2</v>
      </c>
      <c r="F60">
        <f>(1+'Risk-free rate'!B60/100)^(1/12)-1</f>
        <v>4.1657121104599071E-5</v>
      </c>
      <c r="G60">
        <f t="shared" si="0"/>
        <v>-6.0924457729932567E-2</v>
      </c>
      <c r="H60">
        <f t="shared" si="0"/>
        <v>-4.0794891017428128E-2</v>
      </c>
      <c r="I60">
        <f t="shared" si="1"/>
        <v>-4.0259996953652566E-2</v>
      </c>
      <c r="J60">
        <f t="shared" si="2"/>
        <v>1.0289614709200976</v>
      </c>
    </row>
    <row r="61" spans="1:10" x14ac:dyDescent="0.2">
      <c r="A61" t="str">
        <f>'MSCI EM_Monthly'!A61</f>
        <v>2021-12-31</v>
      </c>
      <c r="B61">
        <f>EMF_Fund_Monthly!B61</f>
        <v>17.77</v>
      </c>
      <c r="C61">
        <f>'MSCI EM_Monthly'!B61</f>
        <v>608.26582699999994</v>
      </c>
      <c r="D61">
        <f>(EMF_Fund_Monthly!B61-EMF_Fund_Monthly!B60)/EMF_Fund_Monthly!B60</f>
        <v>-3.9978390059427438E-2</v>
      </c>
      <c r="E61">
        <f>('MSCI EM_Monthly'!B61-'MSCI EM_Monthly'!B60)/'MSCI EM_Monthly'!B60</f>
        <v>1.8763521211082688E-2</v>
      </c>
      <c r="F61">
        <f>(1+'Risk-free rate'!B61/100)^(1/12)-1</f>
        <v>4.99862552685304E-5</v>
      </c>
      <c r="G61">
        <f t="shared" si="0"/>
        <v>-4.0028376314695968E-2</v>
      </c>
      <c r="H61">
        <f t="shared" si="0"/>
        <v>1.8713534955814157E-2</v>
      </c>
      <c r="I61">
        <f t="shared" si="1"/>
        <v>-4.0814427366006822E-2</v>
      </c>
      <c r="J61">
        <f t="shared" si="2"/>
        <v>1.0064005227996007</v>
      </c>
    </row>
    <row r="62" spans="1:10" x14ac:dyDescent="0.2">
      <c r="A62" t="str">
        <f>'MSCI EM_Monthly'!A62</f>
        <v>2022-01-31</v>
      </c>
      <c r="B62">
        <f>EMF_Fund_Monthly!B62</f>
        <v>17.760000000000002</v>
      </c>
      <c r="C62">
        <f>'MSCI EM_Monthly'!B62</f>
        <v>596.75196800000003</v>
      </c>
      <c r="D62">
        <f>(EMF_Fund_Monthly!B62-EMF_Fund_Monthly!B61)/EMF_Fund_Monthly!B61</f>
        <v>-5.6274620146302815E-4</v>
      </c>
      <c r="E62">
        <f>('MSCI EM_Monthly'!B62-'MSCI EM_Monthly'!B61)/'MSCI EM_Monthly'!B61</f>
        <v>-1.8928992044131246E-2</v>
      </c>
      <c r="F62">
        <f>(1+'Risk-free rate'!B62/100)^(1/12)-1</f>
        <v>1.2491414476678564E-4</v>
      </c>
      <c r="G62">
        <f t="shared" si="0"/>
        <v>-6.8766034622981379E-4</v>
      </c>
      <c r="H62">
        <f t="shared" si="0"/>
        <v>-1.9053906188898032E-2</v>
      </c>
      <c r="I62">
        <f t="shared" si="1"/>
        <v>-4.0056688273276464E-2</v>
      </c>
      <c r="J62">
        <f t="shared" si="2"/>
        <v>0.97903451544708275</v>
      </c>
    </row>
    <row r="63" spans="1:10" x14ac:dyDescent="0.2">
      <c r="A63" t="str">
        <f>'MSCI EM_Monthly'!A63</f>
        <v>2022-02-28</v>
      </c>
      <c r="B63">
        <f>EMF_Fund_Monthly!B63</f>
        <v>16.16</v>
      </c>
      <c r="C63">
        <f>'MSCI EM_Monthly'!B63</f>
        <v>578.91493100000002</v>
      </c>
      <c r="D63">
        <f>(EMF_Fund_Monthly!B63-EMF_Fund_Monthly!B62)/EMF_Fund_Monthly!B62</f>
        <v>-9.0090090090090169E-2</v>
      </c>
      <c r="E63">
        <f>('MSCI EM_Monthly'!B63-'MSCI EM_Monthly'!B62)/'MSCI EM_Monthly'!B62</f>
        <v>-2.9890202222173499E-2</v>
      </c>
      <c r="F63">
        <f>(1+'Risk-free rate'!B63/100)^(1/12)-1</f>
        <v>2.7458493733023559E-4</v>
      </c>
      <c r="G63">
        <f t="shared" si="0"/>
        <v>-9.0364675027420405E-2</v>
      </c>
      <c r="H63">
        <f t="shared" si="0"/>
        <v>-3.0164787159503735E-2</v>
      </c>
      <c r="I63">
        <f t="shared" si="1"/>
        <v>-5.8910218336613807E-2</v>
      </c>
      <c r="J63">
        <f t="shared" si="2"/>
        <v>1.0001189878860266</v>
      </c>
    </row>
    <row r="64" spans="1:10" x14ac:dyDescent="0.2">
      <c r="A64" t="str">
        <f>'MSCI EM_Monthly'!A64</f>
        <v>2022-03-31</v>
      </c>
      <c r="B64">
        <f>EMF_Fund_Monthly!B64</f>
        <v>15.45</v>
      </c>
      <c r="C64">
        <f>'MSCI EM_Monthly'!B64</f>
        <v>565.83973900000001</v>
      </c>
      <c r="D64">
        <f>(EMF_Fund_Monthly!B64-EMF_Fund_Monthly!B63)/EMF_Fund_Monthly!B63</f>
        <v>-4.3935643564356489E-2</v>
      </c>
      <c r="E64">
        <f>('MSCI EM_Monthly'!B64-'MSCI EM_Monthly'!B63)/'MSCI EM_Monthly'!B63</f>
        <v>-2.2585687982540591E-2</v>
      </c>
      <c r="F64">
        <f>(1+'Risk-free rate'!B64/100)^(1/12)-1</f>
        <v>3.6592929423662213E-4</v>
      </c>
      <c r="G64">
        <f t="shared" si="0"/>
        <v>-4.4301572858593111E-2</v>
      </c>
      <c r="H64">
        <f t="shared" si="0"/>
        <v>-2.2951617276777213E-2</v>
      </c>
      <c r="I64">
        <f t="shared" si="1"/>
        <v>-6.8575451893366113E-2</v>
      </c>
      <c r="J64">
        <f t="shared" si="2"/>
        <v>1.0045376333816725</v>
      </c>
    </row>
    <row r="65" spans="1:10" x14ac:dyDescent="0.2">
      <c r="A65" t="str">
        <f>'MSCI EM_Monthly'!A65</f>
        <v>2022-04-29</v>
      </c>
      <c r="B65">
        <f>EMF_Fund_Monthly!B65</f>
        <v>14.08</v>
      </c>
      <c r="C65">
        <f>'MSCI EM_Monthly'!B65</f>
        <v>534.36414200000002</v>
      </c>
      <c r="D65">
        <f>(EMF_Fund_Monthly!B65-EMF_Fund_Monthly!B64)/EMF_Fund_Monthly!B64</f>
        <v>-8.8673139158576011E-2</v>
      </c>
      <c r="E65">
        <f>('MSCI EM_Monthly'!B65-'MSCI EM_Monthly'!B64)/'MSCI EM_Monthly'!B64</f>
        <v>-5.5626345819447635E-2</v>
      </c>
      <c r="F65">
        <f>(1+'Risk-free rate'!B65/100)^(1/12)-1</f>
        <v>6.3113787510671315E-4</v>
      </c>
      <c r="G65">
        <f t="shared" si="0"/>
        <v>-8.9304277033682725E-2</v>
      </c>
      <c r="H65">
        <f t="shared" si="0"/>
        <v>-5.6257483694554349E-2</v>
      </c>
      <c r="I65">
        <f t="shared" si="1"/>
        <v>-8.1539764119830327E-2</v>
      </c>
      <c r="J65">
        <f t="shared" si="2"/>
        <v>1.0180421035941929</v>
      </c>
    </row>
    <row r="66" spans="1:10" x14ac:dyDescent="0.2">
      <c r="A66" t="str">
        <f>'MSCI EM_Monthly'!A66</f>
        <v>2022-05-31</v>
      </c>
      <c r="B66">
        <f>EMF_Fund_Monthly!B66</f>
        <v>14.56</v>
      </c>
      <c r="C66">
        <f>'MSCI EM_Monthly'!B66</f>
        <v>536.71687099999997</v>
      </c>
      <c r="D66">
        <f>(EMF_Fund_Monthly!B66-EMF_Fund_Monthly!B65)/EMF_Fund_Monthly!B65</f>
        <v>3.4090909090909123E-2</v>
      </c>
      <c r="E66">
        <f>('MSCI EM_Monthly'!B66-'MSCI EM_Monthly'!B65)/'MSCI EM_Monthly'!B65</f>
        <v>4.4028571812364491E-3</v>
      </c>
      <c r="F66">
        <f>(1+'Risk-free rate'!B66/100)^(1/12)-1</f>
        <v>8.1302127632687515E-4</v>
      </c>
      <c r="G66">
        <f t="shared" si="0"/>
        <v>3.3277887814582248E-2</v>
      </c>
      <c r="H66">
        <f t="shared" si="0"/>
        <v>3.5898359049095739E-3</v>
      </c>
      <c r="I66">
        <f t="shared" si="1"/>
        <v>-7.3457537447500942E-2</v>
      </c>
      <c r="J66">
        <f t="shared" si="2"/>
        <v>1.0252868708188536</v>
      </c>
    </row>
    <row r="67" spans="1:10" x14ac:dyDescent="0.2">
      <c r="A67" t="str">
        <f>'MSCI EM_Monthly'!A67</f>
        <v>2022-06-30</v>
      </c>
      <c r="B67">
        <f>EMF_Fund_Monthly!B67</f>
        <v>13.7</v>
      </c>
      <c r="C67">
        <f>'MSCI EM_Monthly'!B67</f>
        <v>501.05226900000002</v>
      </c>
      <c r="D67">
        <f>(EMF_Fund_Monthly!B67-EMF_Fund_Monthly!B66)/EMF_Fund_Monthly!B66</f>
        <v>-5.9065934065934148E-2</v>
      </c>
      <c r="E67">
        <f>('MSCI EM_Monthly'!B67-'MSCI EM_Monthly'!B66)/'MSCI EM_Monthly'!B66</f>
        <v>-6.6449563870705955E-2</v>
      </c>
      <c r="F67">
        <f>(1+'Risk-free rate'!B67/100)^(1/12)-1</f>
        <v>1.2332669717645128E-3</v>
      </c>
      <c r="G67">
        <f t="shared" si="0"/>
        <v>-6.029920103769866E-2</v>
      </c>
      <c r="H67">
        <f t="shared" si="0"/>
        <v>-6.7682830842470468E-2</v>
      </c>
      <c r="I67">
        <f t="shared" si="1"/>
        <v>-7.0232861507799393E-2</v>
      </c>
      <c r="J67">
        <f t="shared" si="2"/>
        <v>1.0107213089163676</v>
      </c>
    </row>
    <row r="68" spans="1:10" x14ac:dyDescent="0.2">
      <c r="A68" t="str">
        <f>'MSCI EM_Monthly'!A68</f>
        <v>2022-07-29</v>
      </c>
      <c r="B68">
        <f>EMF_Fund_Monthly!B68</f>
        <v>13.75</v>
      </c>
      <c r="C68">
        <f>'MSCI EM_Monthly'!B68</f>
        <v>499.821394</v>
      </c>
      <c r="D68">
        <f>(EMF_Fund_Monthly!B68-EMF_Fund_Monthly!B67)/EMF_Fund_Monthly!B67</f>
        <v>3.6496350364964023E-3</v>
      </c>
      <c r="E68">
        <f>('MSCI EM_Monthly'!B68-'MSCI EM_Monthly'!B67)/'MSCI EM_Monthly'!B67</f>
        <v>-2.4565800339685236E-3</v>
      </c>
      <c r="F68">
        <f>(1+'Risk-free rate'!B68/100)^(1/12)-1</f>
        <v>1.8396059010297172E-3</v>
      </c>
      <c r="G68">
        <f t="shared" ref="G68:H97" si="3">D68-$F68</f>
        <v>1.8100291354666851E-3</v>
      </c>
      <c r="H68">
        <f t="shared" si="3"/>
        <v>-4.2961859349982413E-3</v>
      </c>
      <c r="I68">
        <f t="shared" si="1"/>
        <v>-7.0542615256503738E-2</v>
      </c>
      <c r="J68">
        <f t="shared" si="2"/>
        <v>1.0120904485471307</v>
      </c>
    </row>
    <row r="69" spans="1:10" x14ac:dyDescent="0.2">
      <c r="A69" t="str">
        <f>'MSCI EM_Monthly'!A69</f>
        <v>2022-08-31</v>
      </c>
      <c r="B69">
        <f>EMF_Fund_Monthly!B69</f>
        <v>13.72</v>
      </c>
      <c r="C69">
        <f>'MSCI EM_Monthly'!B69</f>
        <v>501.90800100000001</v>
      </c>
      <c r="D69">
        <f>(EMF_Fund_Monthly!B69-EMF_Fund_Monthly!B68)/EMF_Fund_Monthly!B68</f>
        <v>-2.1818181818181355E-3</v>
      </c>
      <c r="E69">
        <f>('MSCI EM_Monthly'!B69-'MSCI EM_Monthly'!B68)/'MSCI EM_Monthly'!B68</f>
        <v>4.1747052548135122E-3</v>
      </c>
      <c r="F69">
        <f>(1+'Risk-free rate'!B69/100)^(1/12)-1</f>
        <v>2.1656835180154932E-3</v>
      </c>
      <c r="G69">
        <f t="shared" si="3"/>
        <v>-4.3475016998336287E-3</v>
      </c>
      <c r="H69">
        <f t="shared" si="3"/>
        <v>2.009021736798019E-3</v>
      </c>
      <c r="I69">
        <f t="shared" si="1"/>
        <v>-7.4255223346064825E-2</v>
      </c>
      <c r="J69">
        <f t="shared" si="2"/>
        <v>1.0183285565673259</v>
      </c>
    </row>
    <row r="70" spans="1:10" x14ac:dyDescent="0.2">
      <c r="A70" t="str">
        <f>'MSCI EM_Monthly'!A70</f>
        <v>2022-09-30</v>
      </c>
      <c r="B70">
        <f>EMF_Fund_Monthly!B70</f>
        <v>12.04</v>
      </c>
      <c r="C70">
        <f>'MSCI EM_Monthly'!B70</f>
        <v>443.06822799999998</v>
      </c>
      <c r="D70">
        <f>(EMF_Fund_Monthly!B70-EMF_Fund_Monthly!B69)/EMF_Fund_Monthly!B69</f>
        <v>-0.12244897959183684</v>
      </c>
      <c r="E70">
        <f>('MSCI EM_Monthly'!B70-'MSCI EM_Monthly'!B69)/'MSCI EM_Monthly'!B69</f>
        <v>-0.1172321877371308</v>
      </c>
      <c r="F70">
        <f>(1+'Risk-free rate'!B70/100)^(1/12)-1</f>
        <v>2.5716462189622202E-3</v>
      </c>
      <c r="G70">
        <f t="shared" si="3"/>
        <v>-0.12502062581079906</v>
      </c>
      <c r="H70">
        <f t="shared" si="3"/>
        <v>-0.11980383395609302</v>
      </c>
      <c r="I70">
        <f t="shared" si="1"/>
        <v>-7.750280829244427E-2</v>
      </c>
      <c r="J70">
        <f t="shared" si="2"/>
        <v>1.0122847022111259</v>
      </c>
    </row>
    <row r="71" spans="1:10" x14ac:dyDescent="0.2">
      <c r="A71" t="str">
        <f>'MSCI EM_Monthly'!A71</f>
        <v>2022-10-31</v>
      </c>
      <c r="B71">
        <f>EMF_Fund_Monthly!B71</f>
        <v>11.87</v>
      </c>
      <c r="C71">
        <f>'MSCI EM_Monthly'!B71</f>
        <v>429.31169799999998</v>
      </c>
      <c r="D71">
        <f>(EMF_Fund_Monthly!B71-EMF_Fund_Monthly!B70)/EMF_Fund_Monthly!B70</f>
        <v>-1.411960132890365E-2</v>
      </c>
      <c r="E71">
        <f>('MSCI EM_Monthly'!B71-'MSCI EM_Monthly'!B70)/'MSCI EM_Monthly'!B70</f>
        <v>-3.1048333260312221E-2</v>
      </c>
      <c r="F71">
        <f>(1+'Risk-free rate'!B71/100)^(1/12)-1</f>
        <v>3.0483680766628662E-3</v>
      </c>
      <c r="G71">
        <f t="shared" si="3"/>
        <v>-1.7167969405566516E-2</v>
      </c>
      <c r="H71">
        <f t="shared" si="3"/>
        <v>-3.4096701336975087E-2</v>
      </c>
      <c r="I71">
        <f t="shared" si="1"/>
        <v>-7.094649593111535E-2</v>
      </c>
      <c r="J71">
        <f t="shared" si="2"/>
        <v>1.0044033061130222</v>
      </c>
    </row>
    <row r="72" spans="1:10" x14ac:dyDescent="0.2">
      <c r="A72" t="str">
        <f>'MSCI EM_Monthly'!A72</f>
        <v>2022-11-30</v>
      </c>
      <c r="B72">
        <f>EMF_Fund_Monthly!B72</f>
        <v>14.07</v>
      </c>
      <c r="C72">
        <f>'MSCI EM_Monthly'!B72</f>
        <v>492.98620899999997</v>
      </c>
      <c r="D72">
        <f>(EMF_Fund_Monthly!B72-EMF_Fund_Monthly!B71)/EMF_Fund_Monthly!B71</f>
        <v>0.18534119629317616</v>
      </c>
      <c r="E72">
        <f>('MSCI EM_Monthly'!B72-'MSCI EM_Monthly'!B71)/'MSCI EM_Monthly'!B71</f>
        <v>0.1483176705797567</v>
      </c>
      <c r="F72">
        <f>(1+'Risk-free rate'!B72/100)^(1/12)-1</f>
        <v>3.3942459274463044E-3</v>
      </c>
      <c r="G72">
        <f t="shared" si="3"/>
        <v>0.18194695036572986</v>
      </c>
      <c r="H72">
        <f t="shared" si="3"/>
        <v>0.1449234246523104</v>
      </c>
      <c r="I72">
        <f t="shared" si="1"/>
        <v>-6.4171374934137715E-2</v>
      </c>
      <c r="J72">
        <f t="shared" si="2"/>
        <v>1.0524433015218413</v>
      </c>
    </row>
    <row r="73" spans="1:10" x14ac:dyDescent="0.2">
      <c r="A73" t="str">
        <f>'MSCI EM_Monthly'!A73</f>
        <v>2022-12-30</v>
      </c>
      <c r="B73">
        <f>EMF_Fund_Monthly!B73</f>
        <v>12.59</v>
      </c>
      <c r="C73">
        <f>'MSCI EM_Monthly'!B73</f>
        <v>486.056984</v>
      </c>
      <c r="D73">
        <f>(EMF_Fund_Monthly!B73-EMF_Fund_Monthly!B72)/EMF_Fund_Monthly!B72</f>
        <v>-0.10518834399431418</v>
      </c>
      <c r="E73">
        <f>('MSCI EM_Monthly'!B73-'MSCI EM_Monthly'!B72)/'MSCI EM_Monthly'!B72</f>
        <v>-1.4055616310353977E-2</v>
      </c>
      <c r="F73">
        <f>(1+'Risk-free rate'!B73/100)^(1/12)-1</f>
        <v>3.474495003497502E-3</v>
      </c>
      <c r="G73">
        <f t="shared" si="3"/>
        <v>-0.10866283899781168</v>
      </c>
      <c r="H73">
        <f t="shared" si="3"/>
        <v>-1.7530111313851481E-2</v>
      </c>
      <c r="I73">
        <f t="shared" si="1"/>
        <v>-7.0605747794612594E-2</v>
      </c>
      <c r="J73">
        <f t="shared" si="2"/>
        <v>1.1010405604250182</v>
      </c>
    </row>
    <row r="74" spans="1:10" x14ac:dyDescent="0.2">
      <c r="A74" t="str">
        <f>'MSCI EM_Monthly'!A74</f>
        <v>2023-01-31</v>
      </c>
      <c r="B74">
        <f>EMF_Fund_Monthly!B74</f>
        <v>14</v>
      </c>
      <c r="C74">
        <f>'MSCI EM_Monthly'!B74</f>
        <v>524.43673899999999</v>
      </c>
      <c r="D74">
        <f>(EMF_Fund_Monthly!B74-EMF_Fund_Monthly!B73)/EMF_Fund_Monthly!B73</f>
        <v>0.11199364575059573</v>
      </c>
      <c r="E74">
        <f>('MSCI EM_Monthly'!B74-'MSCI EM_Monthly'!B73)/'MSCI EM_Monthly'!B73</f>
        <v>7.8961430991391718E-2</v>
      </c>
      <c r="F74">
        <f>(1+'Risk-free rate'!B74/100)^(1/12)-1</f>
        <v>3.7068189305531352E-3</v>
      </c>
      <c r="G74">
        <f t="shared" si="3"/>
        <v>0.10828682682004259</v>
      </c>
      <c r="H74">
        <f t="shared" si="3"/>
        <v>7.5254612060838583E-2</v>
      </c>
      <c r="I74">
        <f t="shared" si="1"/>
        <v>-6.4128228015765343E-2</v>
      </c>
      <c r="J74">
        <f t="shared" si="2"/>
        <v>1.1227840566039096</v>
      </c>
    </row>
    <row r="75" spans="1:10" x14ac:dyDescent="0.2">
      <c r="A75" t="str">
        <f>'MSCI EM_Monthly'!A75</f>
        <v>2023-02-28</v>
      </c>
      <c r="B75">
        <f>EMF_Fund_Monthly!B75</f>
        <v>13</v>
      </c>
      <c r="C75">
        <f>'MSCI EM_Monthly'!B75</f>
        <v>490.43101799999999</v>
      </c>
      <c r="D75">
        <f>(EMF_Fund_Monthly!B75-EMF_Fund_Monthly!B74)/EMF_Fund_Monthly!B74</f>
        <v>-7.1428571428571425E-2</v>
      </c>
      <c r="E75">
        <f>('MSCI EM_Monthly'!B75-'MSCI EM_Monthly'!B74)/'MSCI EM_Monthly'!B74</f>
        <v>-6.4842369863031268E-2</v>
      </c>
      <c r="F75">
        <f>(1+'Risk-free rate'!B75/100)^(1/12)-1</f>
        <v>3.7947872834442897E-3</v>
      </c>
      <c r="G75">
        <f t="shared" si="3"/>
        <v>-7.5223358712015714E-2</v>
      </c>
      <c r="H75">
        <f t="shared" si="3"/>
        <v>-6.8637157146475558E-2</v>
      </c>
      <c r="I75">
        <f t="shared" si="1"/>
        <v>-6.7968724865493768E-2</v>
      </c>
      <c r="J75">
        <f t="shared" si="2"/>
        <v>1.127144922107</v>
      </c>
    </row>
    <row r="76" spans="1:10" x14ac:dyDescent="0.2">
      <c r="A76" t="str">
        <f>'MSCI EM_Monthly'!A76</f>
        <v>2023-03-31</v>
      </c>
      <c r="B76">
        <f>EMF_Fund_Monthly!B76</f>
        <v>13.46</v>
      </c>
      <c r="C76">
        <f>'MSCI EM_Monthly'!B76</f>
        <v>505.28481499999998</v>
      </c>
      <c r="D76">
        <f>(EMF_Fund_Monthly!B76-EMF_Fund_Monthly!B75)/EMF_Fund_Monthly!B75</f>
        <v>3.5384615384615452E-2</v>
      </c>
      <c r="E76">
        <f>('MSCI EM_Monthly'!B76-'MSCI EM_Monthly'!B75)/'MSCI EM_Monthly'!B75</f>
        <v>3.0287229915788048E-2</v>
      </c>
      <c r="F76">
        <f>(1+'Risk-free rate'!B76/100)^(1/12)-1</f>
        <v>3.8267547616503972E-3</v>
      </c>
      <c r="G76">
        <f t="shared" si="3"/>
        <v>3.1557860622965055E-2</v>
      </c>
      <c r="H76">
        <f t="shared" si="3"/>
        <v>2.6460475154137651E-2</v>
      </c>
      <c r="I76">
        <f t="shared" si="1"/>
        <v>-6.405580365491792E-2</v>
      </c>
      <c r="J76">
        <f t="shared" si="2"/>
        <v>1.1226647894639155</v>
      </c>
    </row>
    <row r="77" spans="1:10" x14ac:dyDescent="0.2">
      <c r="A77" t="str">
        <f>'MSCI EM_Monthly'!A77</f>
        <v>2023-04-28</v>
      </c>
      <c r="B77">
        <f>EMF_Fund_Monthly!B77</f>
        <v>13.18</v>
      </c>
      <c r="C77">
        <f>'MSCI EM_Monthly'!B77</f>
        <v>499.55857800000001</v>
      </c>
      <c r="D77">
        <f>(EMF_Fund_Monthly!B77-EMF_Fund_Monthly!B76)/EMF_Fund_Monthly!B76</f>
        <v>-2.0802377414561746E-2</v>
      </c>
      <c r="E77">
        <f>('MSCI EM_Monthly'!B77-'MSCI EM_Monthly'!B76)/'MSCI EM_Monthly'!B76</f>
        <v>-1.1332691642435305E-2</v>
      </c>
      <c r="F77">
        <f>(1+'Risk-free rate'!B77/100)^(1/12)-1</f>
        <v>4.0103507726252374E-3</v>
      </c>
      <c r="G77">
        <f t="shared" si="3"/>
        <v>-2.4812728187186984E-2</v>
      </c>
      <c r="H77">
        <f t="shared" si="3"/>
        <v>-1.5343042415060543E-2</v>
      </c>
      <c r="I77">
        <f t="shared" si="1"/>
        <v>-6.2495910227908902E-2</v>
      </c>
      <c r="J77">
        <f t="shared" si="2"/>
        <v>1.1304208371740521</v>
      </c>
    </row>
    <row r="78" spans="1:10" x14ac:dyDescent="0.2">
      <c r="A78" t="str">
        <f>'MSCI EM_Monthly'!A78</f>
        <v>2023-05-31</v>
      </c>
      <c r="B78">
        <f>EMF_Fund_Monthly!B78</f>
        <v>13.11</v>
      </c>
      <c r="C78">
        <f>'MSCI EM_Monthly'!B78</f>
        <v>491.16788200000002</v>
      </c>
      <c r="D78">
        <f>(EMF_Fund_Monthly!B78-EMF_Fund_Monthly!B77)/EMF_Fund_Monthly!B77</f>
        <v>-5.3110773899848474E-3</v>
      </c>
      <c r="E78">
        <f>('MSCI EM_Monthly'!B78-'MSCI EM_Monthly'!B77)/'MSCI EM_Monthly'!B77</f>
        <v>-1.6796220442440269E-2</v>
      </c>
      <c r="F78">
        <f>(1+'Risk-free rate'!B78/100)^(1/12)-1</f>
        <v>4.1856194553282489E-3</v>
      </c>
      <c r="G78">
        <f t="shared" si="3"/>
        <v>-9.4966968453130962E-3</v>
      </c>
      <c r="H78">
        <f t="shared" si="3"/>
        <v>-2.0981839897768518E-2</v>
      </c>
      <c r="I78">
        <f t="shared" si="1"/>
        <v>-6.0214066448066261E-2</v>
      </c>
      <c r="J78">
        <f t="shared" si="2"/>
        <v>1.1249972154486552</v>
      </c>
    </row>
    <row r="79" spans="1:10" x14ac:dyDescent="0.2">
      <c r="A79" t="str">
        <f>'MSCI EM_Monthly'!A79</f>
        <v>2023-06-30</v>
      </c>
      <c r="B79">
        <f>EMF_Fund_Monthly!B79</f>
        <v>13.71</v>
      </c>
      <c r="C79">
        <f>'MSCI EM_Monthly'!B79</f>
        <v>509.81743399999999</v>
      </c>
      <c r="D79">
        <f>(EMF_Fund_Monthly!B79-EMF_Fund_Monthly!B78)/EMF_Fund_Monthly!B78</f>
        <v>4.5766590389016128E-2</v>
      </c>
      <c r="E79">
        <f>('MSCI EM_Monthly'!B79-'MSCI EM_Monthly'!B78)/'MSCI EM_Monthly'!B78</f>
        <v>3.7969811715009433E-2</v>
      </c>
      <c r="F79">
        <f>(1+'Risk-free rate'!B79/100)^(1/12)-1</f>
        <v>4.2015362976310922E-3</v>
      </c>
      <c r="G79">
        <f t="shared" si="3"/>
        <v>4.1565054091385036E-2</v>
      </c>
      <c r="H79">
        <f t="shared" si="3"/>
        <v>3.3768275417378341E-2</v>
      </c>
      <c r="I79">
        <f t="shared" si="1"/>
        <v>-6.0709449081121636E-2</v>
      </c>
      <c r="J79">
        <f t="shared" si="2"/>
        <v>1.1198165439279533</v>
      </c>
    </row>
    <row r="80" spans="1:10" x14ac:dyDescent="0.2">
      <c r="A80" t="str">
        <f>'MSCI EM_Monthly'!A80</f>
        <v>2023-07-31</v>
      </c>
      <c r="B80">
        <f>EMF_Fund_Monthly!B80</f>
        <v>14.55</v>
      </c>
      <c r="C80">
        <f>'MSCI EM_Monthly'!B80</f>
        <v>541.55428400000005</v>
      </c>
      <c r="D80">
        <f>(EMF_Fund_Monthly!B80-EMF_Fund_Monthly!B79)/EMF_Fund_Monthly!B79</f>
        <v>6.1269146608315082E-2</v>
      </c>
      <c r="E80">
        <f>('MSCI EM_Monthly'!B80-'MSCI EM_Monthly'!B79)/'MSCI EM_Monthly'!B79</f>
        <v>6.2251401940091482E-2</v>
      </c>
      <c r="F80">
        <f>(1+'Risk-free rate'!B80/100)^(1/12)-1</f>
        <v>4.2731277661580691E-3</v>
      </c>
      <c r="G80">
        <f t="shared" si="3"/>
        <v>5.6996018842157013E-2</v>
      </c>
      <c r="H80">
        <f t="shared" si="3"/>
        <v>5.7978274173933413E-2</v>
      </c>
      <c r="I80">
        <f t="shared" si="1"/>
        <v>-6.2580307113038969E-2</v>
      </c>
      <c r="J80">
        <f t="shared" si="2"/>
        <v>1.1146813331961676</v>
      </c>
    </row>
    <row r="81" spans="1:10" x14ac:dyDescent="0.2">
      <c r="A81" t="str">
        <f>'MSCI EM_Monthly'!A81</f>
        <v>2023-08-31</v>
      </c>
      <c r="B81">
        <f>EMF_Fund_Monthly!B81</f>
        <v>13.63</v>
      </c>
      <c r="C81">
        <f>'MSCI EM_Monthly'!B81</f>
        <v>508.194411</v>
      </c>
      <c r="D81">
        <f>(EMF_Fund_Monthly!B81-EMF_Fund_Monthly!B80)/EMF_Fund_Monthly!B80</f>
        <v>-6.3230240549828176E-2</v>
      </c>
      <c r="E81">
        <f>('MSCI EM_Monthly'!B81-'MSCI EM_Monthly'!B80)/'MSCI EM_Monthly'!B80</f>
        <v>-6.1600238398261932E-2</v>
      </c>
      <c r="F81">
        <f>(1+'Risk-free rate'!B81/100)^(1/12)-1</f>
        <v>4.3128765598297036E-3</v>
      </c>
      <c r="G81">
        <f t="shared" si="3"/>
        <v>-6.754311710965788E-2</v>
      </c>
      <c r="H81">
        <f t="shared" si="3"/>
        <v>-6.5913114958091629E-2</v>
      </c>
      <c r="I81">
        <f t="shared" si="1"/>
        <v>-5.9859818884111071E-2</v>
      </c>
      <c r="J81">
        <f t="shared" si="2"/>
        <v>1.1062603732142382</v>
      </c>
    </row>
    <row r="82" spans="1:10" x14ac:dyDescent="0.2">
      <c r="A82" t="str">
        <f>'MSCI EM_Monthly'!A82</f>
        <v>2023-09-29</v>
      </c>
      <c r="B82">
        <f>EMF_Fund_Monthly!B82</f>
        <v>13.22</v>
      </c>
      <c r="C82">
        <f>'MSCI EM_Monthly'!B82</f>
        <v>494.90401700000001</v>
      </c>
      <c r="D82">
        <f>(EMF_Fund_Monthly!B82-EMF_Fund_Monthly!B81)/EMF_Fund_Monthly!B81</f>
        <v>-3.008070432868673E-2</v>
      </c>
      <c r="E82">
        <f>('MSCI EM_Monthly'!B82-'MSCI EM_Monthly'!B81)/'MSCI EM_Monthly'!B81</f>
        <v>-2.6152184503264817E-2</v>
      </c>
      <c r="F82">
        <f>(1+'Risk-free rate'!B82/100)^(1/12)-1</f>
        <v>4.3287712331259165E-3</v>
      </c>
      <c r="G82">
        <f t="shared" si="3"/>
        <v>-3.4409475561812647E-2</v>
      </c>
      <c r="H82">
        <f t="shared" si="3"/>
        <v>-3.0480955736390734E-2</v>
      </c>
      <c r="I82">
        <f t="shared" si="1"/>
        <v>-6.2960132964504756E-2</v>
      </c>
      <c r="J82">
        <f t="shared" si="2"/>
        <v>1.1071026306900706</v>
      </c>
    </row>
    <row r="83" spans="1:10" x14ac:dyDescent="0.2">
      <c r="A83" t="str">
        <f>'MSCI EM_Monthly'!A83</f>
        <v>2023-10-31</v>
      </c>
      <c r="B83">
        <f>EMF_Fund_Monthly!B83</f>
        <v>12.77</v>
      </c>
      <c r="C83">
        <f>'MSCI EM_Monthly'!B83</f>
        <v>475.6746</v>
      </c>
      <c r="D83">
        <f>(EMF_Fund_Monthly!B83-EMF_Fund_Monthly!B82)/EMF_Fund_Monthly!B82</f>
        <v>-3.4039334341906279E-2</v>
      </c>
      <c r="E83">
        <f>('MSCI EM_Monthly'!B83-'MSCI EM_Monthly'!B82)/'MSCI EM_Monthly'!B82</f>
        <v>-3.8854841220656348E-2</v>
      </c>
      <c r="F83">
        <f>(1+'Risk-free rate'!B83/100)^(1/12)-1</f>
        <v>4.3446631398347257E-3</v>
      </c>
      <c r="G83">
        <f t="shared" si="3"/>
        <v>-3.8383997481741004E-2</v>
      </c>
      <c r="H83">
        <f t="shared" si="3"/>
        <v>-4.3199504360491074E-2</v>
      </c>
      <c r="I83">
        <f t="shared" si="1"/>
        <v>-5.8102640451989207E-2</v>
      </c>
      <c r="J83">
        <f t="shared" si="2"/>
        <v>1.101213423063933</v>
      </c>
    </row>
    <row r="84" spans="1:10" x14ac:dyDescent="0.2">
      <c r="A84" t="str">
        <f>'MSCI EM_Monthly'!A84</f>
        <v>2023-11-30</v>
      </c>
      <c r="B84">
        <f>EMF_Fund_Monthly!B84</f>
        <v>13.71</v>
      </c>
      <c r="C84">
        <f>'MSCI EM_Monthly'!B84</f>
        <v>513.742884</v>
      </c>
      <c r="D84">
        <f>(EMF_Fund_Monthly!B84-EMF_Fund_Monthly!B83)/EMF_Fund_Monthly!B83</f>
        <v>7.3610023492560794E-2</v>
      </c>
      <c r="E84">
        <f>('MSCI EM_Monthly'!B84-'MSCI EM_Monthly'!B83)/'MSCI EM_Monthly'!B83</f>
        <v>8.0030096204422113E-2</v>
      </c>
      <c r="F84">
        <f>(1+'Risk-free rate'!B84/100)^(1/12)-1</f>
        <v>4.2890293603305985E-3</v>
      </c>
      <c r="G84">
        <f t="shared" si="3"/>
        <v>6.9320994132230196E-2</v>
      </c>
      <c r="H84">
        <f t="shared" si="3"/>
        <v>7.5741066844091515E-2</v>
      </c>
      <c r="I84">
        <f t="shared" si="1"/>
        <v>-5.6300385979442091E-2</v>
      </c>
      <c r="J84">
        <f t="shared" si="2"/>
        <v>1.1078679915755378</v>
      </c>
    </row>
    <row r="85" spans="1:10" x14ac:dyDescent="0.2">
      <c r="A85" t="str">
        <f>'MSCI EM_Monthly'!A85</f>
        <v>2023-12-29</v>
      </c>
      <c r="B85">
        <f>EMF_Fund_Monthly!B85</f>
        <v>13.53</v>
      </c>
      <c r="C85">
        <f>'MSCI EM_Monthly'!B85</f>
        <v>533.82725600000003</v>
      </c>
      <c r="D85">
        <f>(EMF_Fund_Monthly!B85-EMF_Fund_Monthly!B84)/EMF_Fund_Monthly!B84</f>
        <v>-1.3129102844639058E-2</v>
      </c>
      <c r="E85">
        <f>('MSCI EM_Monthly'!B85-'MSCI EM_Monthly'!B84)/'MSCI EM_Monthly'!B84</f>
        <v>3.9094209624127914E-2</v>
      </c>
      <c r="F85">
        <f>(1+'Risk-free rate'!B85/100)^(1/12)-1</f>
        <v>4.2651759303415915E-3</v>
      </c>
      <c r="G85">
        <f t="shared" si="3"/>
        <v>-1.7394278774980648E-2</v>
      </c>
      <c r="H85">
        <f t="shared" si="3"/>
        <v>3.4829033693786322E-2</v>
      </c>
      <c r="I85">
        <f t="shared" si="1"/>
        <v>-6.0965440902551515E-2</v>
      </c>
      <c r="J85">
        <f t="shared" si="2"/>
        <v>1.1158952968348455</v>
      </c>
    </row>
    <row r="86" spans="1:10" x14ac:dyDescent="0.2">
      <c r="A86" t="str">
        <f>'MSCI EM_Monthly'!A86</f>
        <v>2024-01-31</v>
      </c>
      <c r="B86">
        <f>EMF_Fund_Monthly!B86</f>
        <v>12.89</v>
      </c>
      <c r="C86">
        <f>'MSCI EM_Monthly'!B86</f>
        <v>509.039715</v>
      </c>
      <c r="D86">
        <f>(EMF_Fund_Monthly!B86-EMF_Fund_Monthly!B85)/EMF_Fund_Monthly!B85</f>
        <v>-4.7302291204730139E-2</v>
      </c>
      <c r="E86">
        <f>('MSCI EM_Monthly'!B86-'MSCI EM_Monthly'!B85)/'MSCI EM_Monthly'!B85</f>
        <v>-4.6433636951650953E-2</v>
      </c>
      <c r="F86">
        <f>(1+'Risk-free rate'!B86/100)^(1/12)-1</f>
        <v>4.2492701806178257E-3</v>
      </c>
      <c r="G86">
        <f t="shared" si="3"/>
        <v>-5.1551561385347965E-2</v>
      </c>
      <c r="H86">
        <f t="shared" si="3"/>
        <v>-5.0682907132268779E-2</v>
      </c>
      <c r="I86">
        <f t="shared" si="1"/>
        <v>-6.7111510146931508E-2</v>
      </c>
      <c r="J86">
        <f t="shared" si="2"/>
        <v>1.0997858458114651</v>
      </c>
    </row>
    <row r="87" spans="1:10" x14ac:dyDescent="0.2">
      <c r="A87" t="str">
        <f>'MSCI EM_Monthly'!A87</f>
        <v>2024-02-29</v>
      </c>
      <c r="B87">
        <f>EMF_Fund_Monthly!B87</f>
        <v>13.38</v>
      </c>
      <c r="C87">
        <f>'MSCI EM_Monthly'!B87</f>
        <v>533.25595099999998</v>
      </c>
      <c r="D87">
        <f>(EMF_Fund_Monthly!B87-EMF_Fund_Monthly!B86)/EMF_Fund_Monthly!B86</f>
        <v>3.8013964313421272E-2</v>
      </c>
      <c r="E87">
        <f>('MSCI EM_Monthly'!B87-'MSCI EM_Monthly'!B86)/'MSCI EM_Monthly'!B86</f>
        <v>4.7572390299644857E-2</v>
      </c>
      <c r="F87">
        <f>(1+'Risk-free rate'!B87/100)^(1/12)-1</f>
        <v>4.2651759303415915E-3</v>
      </c>
      <c r="G87">
        <f t="shared" si="3"/>
        <v>3.3748788383079681E-2</v>
      </c>
      <c r="H87">
        <f t="shared" si="3"/>
        <v>4.3307214369303265E-2</v>
      </c>
      <c r="I87">
        <f t="shared" si="1"/>
        <v>-7.2631727535508617E-2</v>
      </c>
      <c r="J87">
        <f t="shared" si="2"/>
        <v>1.0940347618865855</v>
      </c>
    </row>
    <row r="88" spans="1:10" x14ac:dyDescent="0.2">
      <c r="A88" t="str">
        <f>'MSCI EM_Monthly'!A88</f>
        <v>2024-03-29</v>
      </c>
      <c r="B88">
        <f>EMF_Fund_Monthly!B88</f>
        <v>13.92</v>
      </c>
      <c r="C88">
        <f>'MSCI EM_Monthly'!B88</f>
        <v>546.46983399999999</v>
      </c>
      <c r="D88">
        <f>(EMF_Fund_Monthly!B88-EMF_Fund_Monthly!B87)/EMF_Fund_Monthly!B87</f>
        <v>4.035874439461877E-2</v>
      </c>
      <c r="E88">
        <f>('MSCI EM_Monthly'!B88-'MSCI EM_Monthly'!B87)/'MSCI EM_Monthly'!B87</f>
        <v>2.4779625947390523E-2</v>
      </c>
      <c r="F88">
        <f>(1+'Risk-free rate'!B88/100)^(1/12)-1</f>
        <v>4.2651759303415915E-3</v>
      </c>
      <c r="G88">
        <f t="shared" si="3"/>
        <v>3.6093568464277179E-2</v>
      </c>
      <c r="H88">
        <f t="shared" si="3"/>
        <v>2.0514450017048932E-2</v>
      </c>
      <c r="I88">
        <f t="shared" si="1"/>
        <v>-7.1465630871408004E-2</v>
      </c>
      <c r="J88">
        <f t="shared" si="2"/>
        <v>1.1016168793857948</v>
      </c>
    </row>
    <row r="89" spans="1:10" x14ac:dyDescent="0.2">
      <c r="A89" t="str">
        <f>'MSCI EM_Monthly'!A89</f>
        <v>2024-04-30</v>
      </c>
      <c r="B89">
        <f>EMF_Fund_Monthly!B89</f>
        <v>13.75</v>
      </c>
      <c r="C89">
        <f>'MSCI EM_Monthly'!B89</f>
        <v>548.91488000000004</v>
      </c>
      <c r="D89">
        <f>(EMF_Fund_Monthly!B89-EMF_Fund_Monthly!B88)/EMF_Fund_Monthly!B88</f>
        <v>-1.2212643678160915E-2</v>
      </c>
      <c r="E89">
        <f>('MSCI EM_Monthly'!B89-'MSCI EM_Monthly'!B88)/'MSCI EM_Monthly'!B88</f>
        <v>4.4742561215191387E-3</v>
      </c>
      <c r="F89">
        <f>(1+'Risk-free rate'!B89/100)^(1/12)-1</f>
        <v>4.2651759303415915E-3</v>
      </c>
      <c r="G89">
        <f t="shared" si="3"/>
        <v>-1.6477819608502507E-2</v>
      </c>
      <c r="H89">
        <f t="shared" si="3"/>
        <v>2.0908019117754726E-4</v>
      </c>
      <c r="I89">
        <f t="shared" si="1"/>
        <v>-7.2420560822916702E-2</v>
      </c>
      <c r="J89">
        <f t="shared" si="2"/>
        <v>1.1033319693228871</v>
      </c>
    </row>
    <row r="90" spans="1:10" x14ac:dyDescent="0.2">
      <c r="A90" t="str">
        <f>'MSCI EM_Monthly'!A90</f>
        <v>2024-05-31</v>
      </c>
      <c r="B90">
        <f>EMF_Fund_Monthly!B90</f>
        <v>14.01</v>
      </c>
      <c r="C90">
        <f>'MSCI EM_Monthly'!B90</f>
        <v>552.01527299999998</v>
      </c>
      <c r="D90">
        <f>(EMF_Fund_Monthly!B90-EMF_Fund_Monthly!B89)/EMF_Fund_Monthly!B89</f>
        <v>1.8909090909090893E-2</v>
      </c>
      <c r="E90">
        <f>('MSCI EM_Monthly'!B90-'MSCI EM_Monthly'!B89)/'MSCI EM_Monthly'!B89</f>
        <v>5.6482218153749812E-3</v>
      </c>
      <c r="F90">
        <f>(1+'Risk-free rate'!B90/100)^(1/12)-1</f>
        <v>4.2731277661580691E-3</v>
      </c>
      <c r="G90">
        <f t="shared" si="3"/>
        <v>1.4635963142932824E-2</v>
      </c>
      <c r="H90">
        <f t="shared" si="3"/>
        <v>1.3750940492169121E-3</v>
      </c>
      <c r="I90">
        <f t="shared" si="1"/>
        <v>-6.079611144925301E-2</v>
      </c>
      <c r="J90">
        <f t="shared" si="2"/>
        <v>1.1104633792695553</v>
      </c>
    </row>
    <row r="91" spans="1:10" x14ac:dyDescent="0.2">
      <c r="A91" t="str">
        <f>'MSCI EM_Monthly'!A91</f>
        <v>2024-06-28</v>
      </c>
      <c r="B91">
        <f>EMF_Fund_Monthly!B91</f>
        <v>14.45</v>
      </c>
      <c r="C91">
        <f>'MSCI EM_Monthly'!B91</f>
        <v>573.78874499999995</v>
      </c>
      <c r="D91">
        <f>(EMF_Fund_Monthly!B91-EMF_Fund_Monthly!B90)/EMF_Fund_Monthly!B90</f>
        <v>3.1406138472519593E-2</v>
      </c>
      <c r="E91">
        <f>('MSCI EM_Monthly'!B91-'MSCI EM_Monthly'!B90)/'MSCI EM_Monthly'!B90</f>
        <v>3.9443604307665546E-2</v>
      </c>
      <c r="F91">
        <f>(1+'Risk-free rate'!B91/100)^(1/12)-1</f>
        <v>4.2651759303415915E-3</v>
      </c>
      <c r="G91">
        <f t="shared" si="3"/>
        <v>2.7140962542178002E-2</v>
      </c>
      <c r="H91">
        <f t="shared" si="3"/>
        <v>3.5178428377323955E-2</v>
      </c>
      <c r="I91">
        <f t="shared" si="1"/>
        <v>-6.5189722570309971E-2</v>
      </c>
      <c r="J91">
        <f t="shared" si="2"/>
        <v>1.106901365918024</v>
      </c>
    </row>
    <row r="92" spans="1:10" x14ac:dyDescent="0.2">
      <c r="A92" t="str">
        <f>'MSCI EM_Monthly'!A92</f>
        <v>2024-07-31</v>
      </c>
      <c r="B92">
        <f>EMF_Fund_Monthly!B92</f>
        <v>14.62</v>
      </c>
      <c r="C92">
        <f>'MSCI EM_Monthly'!B92</f>
        <v>575.49635799999999</v>
      </c>
      <c r="D92">
        <f>(EMF_Fund_Monthly!B92-EMF_Fund_Monthly!B91)/EMF_Fund_Monthly!B91</f>
        <v>1.1764705882352938E-2</v>
      </c>
      <c r="E92">
        <f>('MSCI EM_Monthly'!B92-'MSCI EM_Monthly'!B91)/'MSCI EM_Monthly'!B91</f>
        <v>2.9760308386670041E-3</v>
      </c>
      <c r="F92">
        <f>(1+'Risk-free rate'!B92/100)^(1/12)-1</f>
        <v>4.2333616592649115E-3</v>
      </c>
      <c r="G92">
        <f t="shared" si="3"/>
        <v>7.5313442230880261E-3</v>
      </c>
      <c r="H92">
        <f t="shared" si="3"/>
        <v>-1.2573308205979074E-3</v>
      </c>
      <c r="I92">
        <f t="shared" si="1"/>
        <v>-6.2339807005079684E-2</v>
      </c>
      <c r="J92">
        <f t="shared" si="2"/>
        <v>1.1118248013257774</v>
      </c>
    </row>
    <row r="93" spans="1:10" x14ac:dyDescent="0.2">
      <c r="A93" t="str">
        <f>'MSCI EM_Monthly'!A93</f>
        <v>2024-08-30</v>
      </c>
      <c r="B93">
        <f>EMF_Fund_Monthly!B93</f>
        <v>14.81</v>
      </c>
      <c r="C93">
        <f>'MSCI EM_Monthly'!B93</f>
        <v>584.78799700000002</v>
      </c>
      <c r="D93">
        <f>(EMF_Fund_Monthly!B93-EMF_Fund_Monthly!B92)/EMF_Fund_Monthly!B92</f>
        <v>1.2995896032831826E-2</v>
      </c>
      <c r="E93">
        <f>('MSCI EM_Monthly'!B93-'MSCI EM_Monthly'!B92)/'MSCI EM_Monthly'!B92</f>
        <v>1.6145434929060024E-2</v>
      </c>
      <c r="F93">
        <f>(1+'Risk-free rate'!B93/100)^(1/12)-1</f>
        <v>4.1139593013970188E-3</v>
      </c>
      <c r="G93">
        <f t="shared" si="3"/>
        <v>8.8819367314348068E-3</v>
      </c>
      <c r="H93">
        <f t="shared" si="3"/>
        <v>1.2031475627663005E-2</v>
      </c>
      <c r="I93">
        <f t="shared" si="1"/>
        <v>-5.5164395937398747E-2</v>
      </c>
      <c r="J93">
        <f t="shared" si="2"/>
        <v>1.1193163306803011</v>
      </c>
    </row>
    <row r="94" spans="1:10" x14ac:dyDescent="0.2">
      <c r="A94" t="str">
        <f>'MSCI EM_Monthly'!A94</f>
        <v>2024-09-30</v>
      </c>
      <c r="B94">
        <f>EMF_Fund_Monthly!B94</f>
        <v>15.61</v>
      </c>
      <c r="C94">
        <f>'MSCI EM_Monthly'!B94</f>
        <v>623.83724900000004</v>
      </c>
      <c r="D94">
        <f>(EMF_Fund_Monthly!B94-EMF_Fund_Monthly!B93)/EMF_Fund_Monthly!B93</f>
        <v>5.401755570560425E-2</v>
      </c>
      <c r="E94">
        <f>('MSCI EM_Monthly'!B94-'MSCI EM_Monthly'!B93)/'MSCI EM_Monthly'!B93</f>
        <v>6.6775057286273309E-2</v>
      </c>
      <c r="F94">
        <f>(1+'Risk-free rate'!B94/100)^(1/12)-1</f>
        <v>3.8507230235700352E-3</v>
      </c>
      <c r="G94">
        <f t="shared" si="3"/>
        <v>5.0166832682034215E-2</v>
      </c>
      <c r="H94">
        <f t="shared" si="3"/>
        <v>6.2924334262703274E-2</v>
      </c>
      <c r="I94">
        <f t="shared" si="1"/>
        <v>-6.1301129213696681E-2</v>
      </c>
      <c r="J94">
        <f t="shared" si="2"/>
        <v>1.1095487199891212</v>
      </c>
    </row>
    <row r="95" spans="1:10" x14ac:dyDescent="0.2">
      <c r="A95" t="str">
        <f>'MSCI EM_Monthly'!A95</f>
        <v>2024-10-31</v>
      </c>
      <c r="B95">
        <f>EMF_Fund_Monthly!B95</f>
        <v>15.13</v>
      </c>
      <c r="C95">
        <f>'MSCI EM_Monthly'!B95</f>
        <v>596.09319000000005</v>
      </c>
      <c r="D95">
        <f>(EMF_Fund_Monthly!B95-EMF_Fund_Monthly!B94)/EMF_Fund_Monthly!B94</f>
        <v>-3.0749519538757122E-2</v>
      </c>
      <c r="E95">
        <f>('MSCI EM_Monthly'!B95-'MSCI EM_Monthly'!B94)/'MSCI EM_Monthly'!B94</f>
        <v>-4.447323247284965E-2</v>
      </c>
      <c r="F95">
        <f>(1+'Risk-free rate'!B95/100)^(1/12)-1</f>
        <v>3.6828128357737633E-3</v>
      </c>
      <c r="G95">
        <f t="shared" si="3"/>
        <v>-3.4432332374530888E-2</v>
      </c>
      <c r="H95">
        <f t="shared" si="3"/>
        <v>-4.8156045308623413E-2</v>
      </c>
      <c r="I95">
        <f t="shared" si="1"/>
        <v>-6.1263747323360707E-2</v>
      </c>
      <c r="J95">
        <f t="shared" si="2"/>
        <v>1.0943379328525573</v>
      </c>
    </row>
    <row r="96" spans="1:10" x14ac:dyDescent="0.2">
      <c r="A96" t="str">
        <f>'MSCI EM_Monthly'!A96</f>
        <v>2024-11-29</v>
      </c>
      <c r="B96">
        <f>EMF_Fund_Monthly!B96</f>
        <v>14.88</v>
      </c>
      <c r="C96">
        <f>'MSCI EM_Monthly'!B96</f>
        <v>574.67542900000001</v>
      </c>
      <c r="D96">
        <f>(EMF_Fund_Monthly!B96-EMF_Fund_Monthly!B95)/EMF_Fund_Monthly!B95</f>
        <v>-1.6523463317911432E-2</v>
      </c>
      <c r="E96">
        <f>('MSCI EM_Monthly'!B96-'MSCI EM_Monthly'!B95)/'MSCI EM_Monthly'!B95</f>
        <v>-3.5930222588182965E-2</v>
      </c>
      <c r="F96">
        <f>(1+'Risk-free rate'!B96/100)^(1/12)-1</f>
        <v>3.6107566318024364E-3</v>
      </c>
      <c r="G96">
        <f t="shared" si="3"/>
        <v>-2.0134219949713868E-2</v>
      </c>
      <c r="H96">
        <f t="shared" si="3"/>
        <v>-3.9540979219985402E-2</v>
      </c>
      <c r="I96">
        <f t="shared" si="1"/>
        <v>-4.9335367301633792E-2</v>
      </c>
      <c r="J96">
        <f t="shared" si="2"/>
        <v>1.0783258126910988</v>
      </c>
    </row>
    <row r="97" spans="1:10" x14ac:dyDescent="0.2">
      <c r="A97" t="str">
        <f>'MSCI EM_Monthly'!A97</f>
        <v>2024-12-31</v>
      </c>
      <c r="B97">
        <f>EMF_Fund_Monthly!B97</f>
        <v>14.08</v>
      </c>
      <c r="C97">
        <f>'MSCI EM_Monthly'!B97</f>
        <v>573.88626599999998</v>
      </c>
      <c r="D97">
        <f>(EMF_Fund_Monthly!B97-EMF_Fund_Monthly!B96)/EMF_Fund_Monthly!B96</f>
        <v>-5.3763440860215096E-2</v>
      </c>
      <c r="E97">
        <f>('MSCI EM_Monthly'!B97-'MSCI EM_Monthly'!B96)/'MSCI EM_Monthly'!B96</f>
        <v>-1.3732325416683693E-3</v>
      </c>
      <c r="F97">
        <f>(1+'Risk-free rate'!B97/100)^(1/12)-1</f>
        <v>3.4905363507502507E-3</v>
      </c>
      <c r="G97">
        <f t="shared" si="3"/>
        <v>-5.7253977210965347E-2</v>
      </c>
      <c r="H97">
        <f t="shared" si="3"/>
        <v>-4.86376889241862E-3</v>
      </c>
      <c r="I97">
        <f t="shared" si="1"/>
        <v>-4.6118063087145722E-2</v>
      </c>
      <c r="J97">
        <f t="shared" si="2"/>
        <v>1.0928214285671212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Rolling Alpha</vt:lpstr>
      <vt:lpstr>Up-Down Scatter Plot</vt:lpstr>
      <vt:lpstr>Risk-free rate</vt:lpstr>
      <vt:lpstr>EMF_Fund_Monthly</vt:lpstr>
      <vt:lpstr>MSCI EM_Monthly</vt:lpstr>
      <vt:lpstr>Metrics_36m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 Dyu</cp:lastModifiedBy>
  <dcterms:created xsi:type="dcterms:W3CDTF">2025-11-28T20:48:08Z</dcterms:created>
  <dcterms:modified xsi:type="dcterms:W3CDTF">2026-01-04T16:22:41Z</dcterms:modified>
</cp:coreProperties>
</file>